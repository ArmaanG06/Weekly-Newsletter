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gand\Desktop\Personal coding\Finance_Projects\02 - WEEKLY NEWSLETTER\Week_5\"/>
    </mc:Choice>
  </mc:AlternateContent>
  <xr:revisionPtr revIDLastSave="0" documentId="13_ncr:1_{60BBE5BF-32CC-492B-B01E-65920EA901E6}" xr6:coauthVersionLast="47" xr6:coauthVersionMax="47" xr10:uidLastSave="{00000000-0000-0000-0000-000000000000}"/>
  <bookViews>
    <workbookView xWindow="14550" yWindow="-16340" windowWidth="29020" windowHeight="15700" tabRatio="500" activeTab="6" xr2:uid="{00000000-000D-0000-FFFF-FFFF00000000}"/>
  </bookViews>
  <sheets>
    <sheet name="README" sheetId="1" r:id="rId1"/>
    <sheet name="Dashboard" sheetId="2" r:id="rId2"/>
    <sheet name="Article Table" sheetId="6" r:id="rId3"/>
    <sheet name="Inputs" sheetId="3" r:id="rId4"/>
    <sheet name="Engine" sheetId="4" r:id="rId5"/>
    <sheet name="Sensitivity" sheetId="5" r:id="rId6"/>
    <sheet name="Tornado" sheetId="7" r:id="rId7"/>
    <sheet name="Checks" sheetId="8" r:id="rId8"/>
    <sheet name="Pushback Q&amp;A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F40" i="7" l="1"/>
  <c r="AG34" i="7"/>
  <c r="AF34" i="7"/>
  <c r="AE34" i="7"/>
  <c r="AG33" i="7"/>
  <c r="AF33" i="7"/>
  <c r="AE33" i="7"/>
  <c r="AG32" i="7"/>
  <c r="AF32" i="7"/>
  <c r="AE32" i="7"/>
  <c r="AG31" i="7"/>
  <c r="AF31" i="7"/>
  <c r="AE31" i="7"/>
  <c r="AG30" i="7"/>
  <c r="AF30" i="7"/>
  <c r="AE30" i="7"/>
  <c r="AG29" i="7"/>
  <c r="AF29" i="7"/>
  <c r="AE29" i="7"/>
  <c r="AG28" i="7"/>
  <c r="AF28" i="7"/>
  <c r="AE28" i="7"/>
  <c r="AG27" i="7"/>
  <c r="AF27" i="7"/>
  <c r="AE27" i="7"/>
  <c r="AG26" i="7"/>
  <c r="AF26" i="7"/>
  <c r="AE26" i="7"/>
  <c r="AG25" i="7"/>
  <c r="AF25" i="7"/>
  <c r="AE25" i="7"/>
  <c r="AG24" i="7"/>
  <c r="AF24" i="7"/>
  <c r="AE24" i="7"/>
  <c r="AG23" i="7"/>
  <c r="AF23" i="7"/>
  <c r="AE23" i="7"/>
  <c r="AF39" i="7"/>
  <c r="AF38" i="7"/>
  <c r="AG22" i="7"/>
  <c r="AF22" i="7"/>
  <c r="AE22" i="7"/>
  <c r="B17" i="6"/>
  <c r="B18" i="6"/>
  <c r="B11" i="6"/>
  <c r="C11" i="6" s="1"/>
  <c r="B12" i="6"/>
  <c r="B13" i="6"/>
  <c r="B14" i="6"/>
  <c r="C12" i="6" s="1"/>
  <c r="B7" i="6"/>
  <c r="B6" i="6"/>
  <c r="B5" i="6"/>
  <c r="A2" i="6"/>
  <c r="E21" i="5"/>
  <c r="E20" i="5"/>
  <c r="E19" i="5"/>
  <c r="C12" i="5"/>
  <c r="D12" i="5"/>
  <c r="E12" i="5"/>
  <c r="F12" i="5"/>
  <c r="G12" i="5"/>
  <c r="C13" i="5"/>
  <c r="D13" i="5"/>
  <c r="E13" i="5"/>
  <c r="F13" i="5"/>
  <c r="G13" i="5"/>
  <c r="C14" i="5"/>
  <c r="D14" i="5"/>
  <c r="E14" i="5"/>
  <c r="F14" i="5"/>
  <c r="G14" i="5"/>
  <c r="C15" i="5"/>
  <c r="D15" i="5"/>
  <c r="E15" i="5"/>
  <c r="F15" i="5"/>
  <c r="G15" i="5"/>
  <c r="C16" i="5"/>
  <c r="D16" i="5"/>
  <c r="E16" i="5"/>
  <c r="F16" i="5"/>
  <c r="G16" i="5"/>
  <c r="C17" i="5"/>
  <c r="D17" i="5"/>
  <c r="E17" i="5"/>
  <c r="F17" i="5"/>
  <c r="G17" i="5"/>
  <c r="D11" i="5"/>
  <c r="E11" i="5"/>
  <c r="F11" i="5"/>
  <c r="G11" i="5"/>
  <c r="C11" i="5"/>
  <c r="B4" i="5"/>
  <c r="B5" i="5"/>
  <c r="B6" i="5"/>
  <c r="B7" i="5"/>
  <c r="B8" i="5"/>
  <c r="C15" i="8"/>
  <c r="E15" i="8" s="1"/>
  <c r="C12" i="8"/>
  <c r="E12" i="8" s="1"/>
  <c r="C11" i="8"/>
  <c r="D11" i="8"/>
  <c r="E11" i="8"/>
  <c r="C10" i="8"/>
  <c r="D10" i="8"/>
  <c r="E10" i="8"/>
  <c r="C9" i="8"/>
  <c r="E9" i="8" s="1"/>
  <c r="D9" i="8"/>
  <c r="C6" i="8"/>
  <c r="E6" i="8"/>
  <c r="C4" i="8"/>
  <c r="D4" i="8"/>
  <c r="E4" i="8" s="1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D6" i="7" a="1"/>
  <c r="D6" i="7" s="1"/>
  <c r="AB5" i="7" s="1"/>
  <c r="E6" i="7" a="1"/>
  <c r="E6" i="7" s="1"/>
  <c r="F6" i="7" a="1"/>
  <c r="F6" i="7" s="1"/>
  <c r="G6" i="7" a="1"/>
  <c r="G6" i="7" s="1"/>
  <c r="H6" i="7" a="1"/>
  <c r="H6" i="7" s="1"/>
  <c r="I6" i="7" a="1"/>
  <c r="I6" i="7" s="1"/>
  <c r="J6" i="7" a="1"/>
  <c r="J6" i="7" s="1"/>
  <c r="K6" i="7" a="1"/>
  <c r="K6" i="7"/>
  <c r="L6" i="7" a="1"/>
  <c r="L6" i="7" s="1"/>
  <c r="M6" i="7" a="1"/>
  <c r="M6" i="7" s="1"/>
  <c r="N6" i="7" a="1"/>
  <c r="N6" i="7" s="1"/>
  <c r="O6" i="7" a="1"/>
  <c r="O6" i="7" s="1"/>
  <c r="P6" i="7" a="1"/>
  <c r="P6" i="7" s="1"/>
  <c r="V6" i="7" a="1"/>
  <c r="V6" i="7" s="1"/>
  <c r="D7" i="7" a="1"/>
  <c r="D7" i="7" s="1"/>
  <c r="AC5" i="7" s="1"/>
  <c r="E7" i="7" a="1"/>
  <c r="E7" i="7"/>
  <c r="F7" i="7" a="1"/>
  <c r="F7" i="7" s="1"/>
  <c r="G7" i="7" a="1"/>
  <c r="G7" i="7" s="1"/>
  <c r="H7" i="7" a="1"/>
  <c r="H7" i="7" s="1"/>
  <c r="I7" i="7" a="1"/>
  <c r="I7" i="7" s="1"/>
  <c r="J7" i="7" a="1"/>
  <c r="J7" i="7" s="1"/>
  <c r="K7" i="7" a="1"/>
  <c r="K7" i="7" s="1"/>
  <c r="L7" i="7" a="1"/>
  <c r="L7" i="7" s="1"/>
  <c r="M7" i="7" a="1"/>
  <c r="M7" i="7" s="1"/>
  <c r="N7" i="7" a="1"/>
  <c r="N7" i="7" s="1"/>
  <c r="O7" i="7" a="1"/>
  <c r="O7" i="7" s="1"/>
  <c r="P7" i="7" a="1"/>
  <c r="P7" i="7" s="1"/>
  <c r="V7" i="7" a="1"/>
  <c r="V7" i="7" s="1"/>
  <c r="D8" i="7" a="1"/>
  <c r="D8" i="7" s="1"/>
  <c r="E8" i="7" a="1"/>
  <c r="E8" i="7"/>
  <c r="F8" i="7" a="1"/>
  <c r="F8" i="7" s="1"/>
  <c r="G8" i="7" a="1"/>
  <c r="G8" i="7" s="1"/>
  <c r="H8" i="7" a="1"/>
  <c r="H8" i="7"/>
  <c r="I8" i="7" a="1"/>
  <c r="I8" i="7" s="1"/>
  <c r="J8" i="7" a="1"/>
  <c r="J8" i="7" s="1"/>
  <c r="K8" i="7" a="1"/>
  <c r="K8" i="7" s="1"/>
  <c r="L8" i="7" a="1"/>
  <c r="L8" i="7" s="1"/>
  <c r="M8" i="7" a="1"/>
  <c r="M8" i="7" s="1"/>
  <c r="N8" i="7" a="1"/>
  <c r="N8" i="7" s="1"/>
  <c r="O8" i="7" a="1"/>
  <c r="O8" i="7" s="1"/>
  <c r="P8" i="7" a="1"/>
  <c r="P8" i="7"/>
  <c r="V8" i="7" a="1"/>
  <c r="V8" i="7" s="1"/>
  <c r="D9" i="7" a="1"/>
  <c r="D9" i="7" s="1"/>
  <c r="E9" i="7" a="1"/>
  <c r="E9" i="7" s="1"/>
  <c r="AC6" i="7" s="1"/>
  <c r="F9" i="7" a="1"/>
  <c r="F9" i="7" s="1"/>
  <c r="G9" i="7" a="1"/>
  <c r="G9" i="7" s="1"/>
  <c r="H9" i="7" a="1"/>
  <c r="H9" i="7" s="1"/>
  <c r="I9" i="7" a="1"/>
  <c r="I9" i="7"/>
  <c r="J9" i="7" a="1"/>
  <c r="J9" i="7" s="1"/>
  <c r="K9" i="7" a="1"/>
  <c r="K9" i="7" s="1"/>
  <c r="L9" i="7" a="1"/>
  <c r="L9" i="7" s="1"/>
  <c r="M9" i="7" a="1"/>
  <c r="M9" i="7" s="1"/>
  <c r="N9" i="7" a="1"/>
  <c r="N9" i="7" s="1"/>
  <c r="O9" i="7" a="1"/>
  <c r="O9" i="7"/>
  <c r="P9" i="7" a="1"/>
  <c r="P9" i="7" s="1"/>
  <c r="V9" i="7" a="1"/>
  <c r="V9" i="7"/>
  <c r="D10" i="7" a="1"/>
  <c r="D10" i="7" s="1"/>
  <c r="E10" i="7" a="1"/>
  <c r="E10" i="7" s="1"/>
  <c r="F10" i="7" a="1"/>
  <c r="F10" i="7" s="1"/>
  <c r="AB7" i="7" s="1"/>
  <c r="G10" i="7" a="1"/>
  <c r="G10" i="7"/>
  <c r="H10" i="7" a="1"/>
  <c r="H10" i="7" s="1"/>
  <c r="I10" i="7" a="1"/>
  <c r="I10" i="7" s="1"/>
  <c r="J10" i="7" a="1"/>
  <c r="J10" i="7"/>
  <c r="K10" i="7" a="1"/>
  <c r="K10" i="7" s="1"/>
  <c r="S10" i="7" s="1"/>
  <c r="L10" i="7" a="1"/>
  <c r="L10" i="7" s="1"/>
  <c r="M10" i="7" a="1"/>
  <c r="M10" i="7" s="1"/>
  <c r="N10" i="7" a="1"/>
  <c r="N10" i="7" s="1"/>
  <c r="O10" i="7" a="1"/>
  <c r="O10" i="7" s="1"/>
  <c r="P10" i="7" a="1"/>
  <c r="P10" i="7" s="1"/>
  <c r="V10" i="7" a="1"/>
  <c r="V10" i="7"/>
  <c r="D11" i="7" a="1"/>
  <c r="D11" i="7" s="1"/>
  <c r="E11" i="7" a="1"/>
  <c r="E11" i="7" s="1"/>
  <c r="F11" i="7" a="1"/>
  <c r="F11" i="7"/>
  <c r="AC7" i="7" s="1"/>
  <c r="G11" i="7" a="1"/>
  <c r="G11" i="7" s="1"/>
  <c r="H11" i="7" a="1"/>
  <c r="H11" i="7" s="1"/>
  <c r="I11" i="7" a="1"/>
  <c r="I11" i="7" s="1"/>
  <c r="S11" i="7" s="1"/>
  <c r="J11" i="7" a="1"/>
  <c r="J11" i="7" s="1"/>
  <c r="K11" i="7" a="1"/>
  <c r="K11" i="7" s="1"/>
  <c r="L11" i="7" a="1"/>
  <c r="L11" i="7" s="1"/>
  <c r="M11" i="7" a="1"/>
  <c r="M11" i="7" s="1"/>
  <c r="N11" i="7" a="1"/>
  <c r="N11" i="7" s="1"/>
  <c r="O11" i="7" a="1"/>
  <c r="O11" i="7"/>
  <c r="P11" i="7" a="1"/>
  <c r="P11" i="7" s="1"/>
  <c r="V11" i="7" a="1"/>
  <c r="V11" i="7" s="1"/>
  <c r="D12" i="7" a="1"/>
  <c r="D12" i="7" s="1"/>
  <c r="E12" i="7" a="1"/>
  <c r="E12" i="7" s="1"/>
  <c r="F12" i="7" a="1"/>
  <c r="F12" i="7" s="1"/>
  <c r="G12" i="7" a="1"/>
  <c r="G12" i="7" s="1"/>
  <c r="AB8" i="7" s="1"/>
  <c r="H12" i="7" a="1"/>
  <c r="H12" i="7" s="1"/>
  <c r="I12" i="7" a="1"/>
  <c r="I12" i="7"/>
  <c r="J12" i="7" a="1"/>
  <c r="J12" i="7"/>
  <c r="K12" i="7" a="1"/>
  <c r="K12" i="7" s="1"/>
  <c r="L12" i="7" a="1"/>
  <c r="L12" i="7" s="1"/>
  <c r="M12" i="7" a="1"/>
  <c r="M12" i="7"/>
  <c r="N12" i="7" a="1"/>
  <c r="N12" i="7" s="1"/>
  <c r="O12" i="7" a="1"/>
  <c r="O12" i="7" s="1"/>
  <c r="P12" i="7" a="1"/>
  <c r="P12" i="7" s="1"/>
  <c r="V12" i="7" a="1"/>
  <c r="V12" i="7"/>
  <c r="D13" i="7" a="1"/>
  <c r="D13" i="7" s="1"/>
  <c r="E13" i="7" a="1"/>
  <c r="E13" i="7"/>
  <c r="F13" i="7" a="1"/>
  <c r="F13" i="7" s="1"/>
  <c r="G13" i="7" a="1"/>
  <c r="G13" i="7" s="1"/>
  <c r="AC8" i="7" s="1"/>
  <c r="H13" i="7" a="1"/>
  <c r="H13" i="7"/>
  <c r="I13" i="7" a="1"/>
  <c r="I13" i="7" s="1"/>
  <c r="J13" i="7" a="1"/>
  <c r="J13" i="7" s="1"/>
  <c r="K13" i="7" a="1"/>
  <c r="K13" i="7" s="1"/>
  <c r="L13" i="7" a="1"/>
  <c r="L13" i="7" s="1"/>
  <c r="M13" i="7" a="1"/>
  <c r="M13" i="7" s="1"/>
  <c r="N13" i="7" a="1"/>
  <c r="N13" i="7" s="1"/>
  <c r="O13" i="7" a="1"/>
  <c r="O13" i="7" s="1"/>
  <c r="P13" i="7" a="1"/>
  <c r="P13" i="7" s="1"/>
  <c r="V13" i="7" a="1"/>
  <c r="V13" i="7" s="1"/>
  <c r="D14" i="7" a="1"/>
  <c r="D14" i="7" s="1"/>
  <c r="E14" i="7" a="1"/>
  <c r="E14" i="7" s="1"/>
  <c r="F14" i="7" a="1"/>
  <c r="F14" i="7"/>
  <c r="G14" i="7" a="1"/>
  <c r="G14" i="7" s="1"/>
  <c r="H14" i="7" a="1"/>
  <c r="H14" i="7" s="1"/>
  <c r="AB9" i="7" s="1"/>
  <c r="I14" i="7" a="1"/>
  <c r="I14" i="7" s="1"/>
  <c r="J14" i="7" a="1"/>
  <c r="J14" i="7"/>
  <c r="K14" i="7" a="1"/>
  <c r="K14" i="7"/>
  <c r="L14" i="7" a="1"/>
  <c r="L14" i="7" s="1"/>
  <c r="M14" i="7" a="1"/>
  <c r="M14" i="7" s="1"/>
  <c r="N14" i="7" a="1"/>
  <c r="N14" i="7" s="1"/>
  <c r="O14" i="7" a="1"/>
  <c r="O14" i="7" s="1"/>
  <c r="P14" i="7" a="1"/>
  <c r="P14" i="7" s="1"/>
  <c r="V14" i="7" a="1"/>
  <c r="V14" i="7"/>
  <c r="D15" i="7" a="1"/>
  <c r="D15" i="7" s="1"/>
  <c r="E15" i="7" a="1"/>
  <c r="E15" i="7" s="1"/>
  <c r="F15" i="7" a="1"/>
  <c r="F15" i="7"/>
  <c r="G15" i="7" a="1"/>
  <c r="G15" i="7" s="1"/>
  <c r="H15" i="7" a="1"/>
  <c r="H15" i="7" s="1"/>
  <c r="AC9" i="7" s="1"/>
  <c r="I15" i="7" a="1"/>
  <c r="I15" i="7" s="1"/>
  <c r="J15" i="7" a="1"/>
  <c r="J15" i="7" s="1"/>
  <c r="K15" i="7" a="1"/>
  <c r="K15" i="7" s="1"/>
  <c r="L15" i="7" a="1"/>
  <c r="L15" i="7" s="1"/>
  <c r="M15" i="7" a="1"/>
  <c r="M15" i="7" s="1"/>
  <c r="N15" i="7" a="1"/>
  <c r="N15" i="7" s="1"/>
  <c r="O15" i="7" a="1"/>
  <c r="O15" i="7" s="1"/>
  <c r="P15" i="7" a="1"/>
  <c r="P15" i="7" s="1"/>
  <c r="V15" i="7" a="1"/>
  <c r="V15" i="7"/>
  <c r="D16" i="7" a="1"/>
  <c r="D16" i="7" s="1"/>
  <c r="E16" i="7" a="1"/>
  <c r="E16" i="7" s="1"/>
  <c r="F16" i="7" a="1"/>
  <c r="F16" i="7" s="1"/>
  <c r="G16" i="7" a="1"/>
  <c r="G16" i="7" s="1"/>
  <c r="H16" i="7" a="1"/>
  <c r="H16" i="7" s="1"/>
  <c r="I16" i="7" a="1"/>
  <c r="I16" i="7" s="1"/>
  <c r="AB10" i="7" s="1"/>
  <c r="J16" i="7" a="1"/>
  <c r="J16" i="7"/>
  <c r="K16" i="7" a="1"/>
  <c r="K16" i="7" s="1"/>
  <c r="L16" i="7" a="1"/>
  <c r="L16" i="7" s="1"/>
  <c r="M16" i="7" a="1"/>
  <c r="M16" i="7" s="1"/>
  <c r="N16" i="7" a="1"/>
  <c r="N16" i="7" s="1"/>
  <c r="O16" i="7" a="1"/>
  <c r="O16" i="7" s="1"/>
  <c r="P16" i="7" a="1"/>
  <c r="P16" i="7" s="1"/>
  <c r="V16" i="7" a="1"/>
  <c r="V16" i="7" s="1"/>
  <c r="D17" i="7" a="1"/>
  <c r="D17" i="7" s="1"/>
  <c r="E17" i="7" a="1"/>
  <c r="E17" i="7" s="1"/>
  <c r="F17" i="7" a="1"/>
  <c r="F17" i="7" s="1"/>
  <c r="G17" i="7" a="1"/>
  <c r="G17" i="7" s="1"/>
  <c r="H17" i="7" a="1"/>
  <c r="H17" i="7"/>
  <c r="I17" i="7" a="1"/>
  <c r="I17" i="7"/>
  <c r="AC10" i="7" s="1"/>
  <c r="J17" i="7" a="1"/>
  <c r="J17" i="7" s="1"/>
  <c r="K17" i="7" a="1"/>
  <c r="K17" i="7" s="1"/>
  <c r="L17" i="7" a="1"/>
  <c r="L17" i="7"/>
  <c r="M17" i="7" a="1"/>
  <c r="M17" i="7" s="1"/>
  <c r="N17" i="7" a="1"/>
  <c r="N17" i="7" s="1"/>
  <c r="O17" i="7" a="1"/>
  <c r="O17" i="7"/>
  <c r="P17" i="7" a="1"/>
  <c r="P17" i="7" s="1"/>
  <c r="V17" i="7" a="1"/>
  <c r="V17" i="7" s="1"/>
  <c r="D18" i="7" a="1"/>
  <c r="D18" i="7" s="1"/>
  <c r="E18" i="7" a="1"/>
  <c r="E18" i="7" s="1"/>
  <c r="F18" i="7" a="1"/>
  <c r="F18" i="7" s="1"/>
  <c r="G18" i="7" a="1"/>
  <c r="G18" i="7" s="1"/>
  <c r="H18" i="7" a="1"/>
  <c r="H18" i="7" s="1"/>
  <c r="I18" i="7" a="1"/>
  <c r="I18" i="7" s="1"/>
  <c r="J18" i="7" a="1"/>
  <c r="J18" i="7"/>
  <c r="AB11" i="7" s="1"/>
  <c r="K18" i="7" a="1"/>
  <c r="K18" i="7" s="1"/>
  <c r="L18" i="7" a="1"/>
  <c r="L18" i="7" s="1"/>
  <c r="M18" i="7" a="1"/>
  <c r="M18" i="7" s="1"/>
  <c r="N18" i="7" a="1"/>
  <c r="N18" i="7" s="1"/>
  <c r="O18" i="7" a="1"/>
  <c r="O18" i="7" s="1"/>
  <c r="P18" i="7" a="1"/>
  <c r="P18" i="7"/>
  <c r="V18" i="7" a="1"/>
  <c r="V18" i="7"/>
  <c r="D19" i="7" a="1"/>
  <c r="D19" i="7"/>
  <c r="E19" i="7" a="1"/>
  <c r="E19" i="7" s="1"/>
  <c r="F19" i="7" a="1"/>
  <c r="F19" i="7" s="1"/>
  <c r="G19" i="7" a="1"/>
  <c r="G19" i="7" s="1"/>
  <c r="H19" i="7" a="1"/>
  <c r="H19" i="7" s="1"/>
  <c r="I19" i="7" a="1"/>
  <c r="I19" i="7" s="1"/>
  <c r="J19" i="7" a="1"/>
  <c r="J19" i="7" s="1"/>
  <c r="AC11" i="7" s="1"/>
  <c r="K19" i="7" a="1"/>
  <c r="K19" i="7"/>
  <c r="L19" i="7" a="1"/>
  <c r="L19" i="7" s="1"/>
  <c r="M19" i="7" a="1"/>
  <c r="M19" i="7" s="1"/>
  <c r="N19" i="7" a="1"/>
  <c r="N19" i="7" s="1"/>
  <c r="O19" i="7" a="1"/>
  <c r="O19" i="7" s="1"/>
  <c r="P19" i="7" a="1"/>
  <c r="P19" i="7" s="1"/>
  <c r="V19" i="7" a="1"/>
  <c r="V19" i="7"/>
  <c r="D20" i="7" a="1"/>
  <c r="D20" i="7" s="1"/>
  <c r="E20" i="7" a="1"/>
  <c r="E20" i="7"/>
  <c r="F20" i="7" a="1"/>
  <c r="F20" i="7" s="1"/>
  <c r="G20" i="7" a="1"/>
  <c r="G20" i="7" s="1"/>
  <c r="H20" i="7" a="1"/>
  <c r="H20" i="7" s="1"/>
  <c r="I20" i="7" a="1"/>
  <c r="I20" i="7" s="1"/>
  <c r="J20" i="7" a="1"/>
  <c r="J20" i="7" s="1"/>
  <c r="K20" i="7" a="1"/>
  <c r="K20" i="7" s="1"/>
  <c r="AB12" i="7" s="1"/>
  <c r="L20" i="7" a="1"/>
  <c r="L20" i="7"/>
  <c r="M20" i="7" a="1"/>
  <c r="M20" i="7" s="1"/>
  <c r="N20" i="7" a="1"/>
  <c r="N20" i="7" s="1"/>
  <c r="O20" i="7" a="1"/>
  <c r="O20" i="7" s="1"/>
  <c r="P20" i="7" a="1"/>
  <c r="P20" i="7" s="1"/>
  <c r="V20" i="7" a="1"/>
  <c r="V20" i="7" s="1"/>
  <c r="D21" i="7" a="1"/>
  <c r="D21" i="7"/>
  <c r="E21" i="7" a="1"/>
  <c r="E21" i="7"/>
  <c r="F21" i="7" a="1"/>
  <c r="F21" i="7" s="1"/>
  <c r="G21" i="7" a="1"/>
  <c r="G21" i="7" s="1"/>
  <c r="H21" i="7" a="1"/>
  <c r="H21" i="7" s="1"/>
  <c r="I21" i="7" a="1"/>
  <c r="I21" i="7" s="1"/>
  <c r="J21" i="7" a="1"/>
  <c r="J21" i="7" s="1"/>
  <c r="K21" i="7" a="1"/>
  <c r="K21" i="7" s="1"/>
  <c r="AC12" i="7" s="1"/>
  <c r="L21" i="7" a="1"/>
  <c r="L21" i="7" s="1"/>
  <c r="M21" i="7" a="1"/>
  <c r="M21" i="7"/>
  <c r="N21" i="7" a="1"/>
  <c r="N21" i="7" s="1"/>
  <c r="O21" i="7" a="1"/>
  <c r="O21" i="7" s="1"/>
  <c r="P21" i="7" a="1"/>
  <c r="P21" i="7" s="1"/>
  <c r="V21" i="7" a="1"/>
  <c r="V21" i="7" s="1"/>
  <c r="D22" i="7" a="1"/>
  <c r="D22" i="7"/>
  <c r="E22" i="7" a="1"/>
  <c r="E22" i="7" s="1"/>
  <c r="F22" i="7" a="1"/>
  <c r="F22" i="7" s="1"/>
  <c r="G22" i="7" a="1"/>
  <c r="G22" i="7"/>
  <c r="H22" i="7" a="1"/>
  <c r="H22" i="7" s="1"/>
  <c r="I22" i="7" a="1"/>
  <c r="I22" i="7" s="1"/>
  <c r="J22" i="7" a="1"/>
  <c r="J22" i="7" s="1"/>
  <c r="K22" i="7" a="1"/>
  <c r="K22" i="7" s="1"/>
  <c r="L22" i="7" a="1"/>
  <c r="L22" i="7" s="1"/>
  <c r="M22" i="7" a="1"/>
  <c r="M22" i="7"/>
  <c r="N22" i="7" a="1"/>
  <c r="N22" i="7" s="1"/>
  <c r="O22" i="7" a="1"/>
  <c r="O22" i="7" s="1"/>
  <c r="P22" i="7" a="1"/>
  <c r="P22" i="7" s="1"/>
  <c r="V22" i="7" a="1"/>
  <c r="V22" i="7" s="1"/>
  <c r="D23" i="7" a="1"/>
  <c r="D23" i="7"/>
  <c r="E23" i="7" a="1"/>
  <c r="E23" i="7" s="1"/>
  <c r="F23" i="7" a="1"/>
  <c r="F23" i="7" s="1"/>
  <c r="G23" i="7" a="1"/>
  <c r="G23" i="7" s="1"/>
  <c r="H23" i="7" a="1"/>
  <c r="H23" i="7" s="1"/>
  <c r="I23" i="7" a="1"/>
  <c r="I23" i="7" s="1"/>
  <c r="J23" i="7" a="1"/>
  <c r="J23" i="7" s="1"/>
  <c r="K23" i="7" a="1"/>
  <c r="K23" i="7"/>
  <c r="L23" i="7" a="1"/>
  <c r="L23" i="7" s="1"/>
  <c r="M23" i="7" a="1"/>
  <c r="M23" i="7"/>
  <c r="N23" i="7" a="1"/>
  <c r="N23" i="7" s="1"/>
  <c r="O23" i="7" a="1"/>
  <c r="O23" i="7" s="1"/>
  <c r="P23" i="7" a="1"/>
  <c r="P23" i="7" s="1"/>
  <c r="V23" i="7" a="1"/>
  <c r="V23" i="7"/>
  <c r="D24" i="7" a="1"/>
  <c r="D24" i="7" s="1"/>
  <c r="E24" i="7" a="1"/>
  <c r="E24" i="7" s="1"/>
  <c r="F24" i="7" a="1"/>
  <c r="F24" i="7"/>
  <c r="G24" i="7" a="1"/>
  <c r="G24" i="7" s="1"/>
  <c r="H24" i="7" a="1"/>
  <c r="H24" i="7" s="1"/>
  <c r="I24" i="7" a="1"/>
  <c r="I24" i="7" s="1"/>
  <c r="J24" i="7" a="1"/>
  <c r="J24" i="7" s="1"/>
  <c r="K24" i="7" a="1"/>
  <c r="K24" i="7" s="1"/>
  <c r="L24" i="7" a="1"/>
  <c r="L24" i="7" s="1"/>
  <c r="M24" i="7" a="1"/>
  <c r="M24" i="7" s="1"/>
  <c r="AB14" i="7" s="1"/>
  <c r="N24" i="7" a="1"/>
  <c r="N24" i="7" s="1"/>
  <c r="O24" i="7" a="1"/>
  <c r="O24" i="7" s="1"/>
  <c r="P24" i="7" a="1"/>
  <c r="P24" i="7"/>
  <c r="V24" i="7" a="1"/>
  <c r="V24" i="7"/>
  <c r="D25" i="7" a="1"/>
  <c r="D25" i="7" s="1"/>
  <c r="E25" i="7" a="1"/>
  <c r="E25" i="7" s="1"/>
  <c r="F25" i="7" a="1"/>
  <c r="F25" i="7" s="1"/>
  <c r="G25" i="7" a="1"/>
  <c r="G25" i="7" s="1"/>
  <c r="H25" i="7" a="1"/>
  <c r="H25" i="7" s="1"/>
  <c r="I25" i="7" a="1"/>
  <c r="I25" i="7" s="1"/>
  <c r="J25" i="7" a="1"/>
  <c r="J25" i="7" s="1"/>
  <c r="K25" i="7" a="1"/>
  <c r="K25" i="7" s="1"/>
  <c r="L25" i="7" a="1"/>
  <c r="L25" i="7" s="1"/>
  <c r="M25" i="7" a="1"/>
  <c r="M25" i="7" s="1"/>
  <c r="AC14" i="7" s="1"/>
  <c r="N25" i="7" a="1"/>
  <c r="N25" i="7" s="1"/>
  <c r="O25" i="7" a="1"/>
  <c r="O25" i="7" s="1"/>
  <c r="P25" i="7" a="1"/>
  <c r="P25" i="7" s="1"/>
  <c r="V25" i="7" a="1"/>
  <c r="V25" i="7"/>
  <c r="D26" i="7" a="1"/>
  <c r="D26" i="7" s="1"/>
  <c r="E26" i="7" a="1"/>
  <c r="E26" i="7" s="1"/>
  <c r="F26" i="7" a="1"/>
  <c r="F26" i="7"/>
  <c r="G26" i="7" a="1"/>
  <c r="G26" i="7" s="1"/>
  <c r="H26" i="7" a="1"/>
  <c r="H26" i="7" s="1"/>
  <c r="I26" i="7" a="1"/>
  <c r="I26" i="7" s="1"/>
  <c r="J26" i="7" a="1"/>
  <c r="J26" i="7" s="1"/>
  <c r="K26" i="7" a="1"/>
  <c r="K26" i="7" s="1"/>
  <c r="L26" i="7" a="1"/>
  <c r="L26" i="7" s="1"/>
  <c r="M26" i="7" a="1"/>
  <c r="M26" i="7" s="1"/>
  <c r="N26" i="7" a="1"/>
  <c r="N26" i="7" s="1"/>
  <c r="AB15" i="7" s="1"/>
  <c r="O26" i="7" a="1"/>
  <c r="O26" i="7" s="1"/>
  <c r="P26" i="7" a="1"/>
  <c r="P26" i="7" s="1"/>
  <c r="V26" i="7" a="1"/>
  <c r="V26" i="7"/>
  <c r="D27" i="7" a="1"/>
  <c r="D27" i="7" s="1"/>
  <c r="E27" i="7" a="1"/>
  <c r="E27" i="7" s="1"/>
  <c r="F27" i="7" a="1"/>
  <c r="F27" i="7" s="1"/>
  <c r="G27" i="7" a="1"/>
  <c r="G27" i="7" s="1"/>
  <c r="H27" i="7" a="1"/>
  <c r="H27" i="7" s="1"/>
  <c r="I27" i="7" a="1"/>
  <c r="I27" i="7" s="1"/>
  <c r="J27" i="7" a="1"/>
  <c r="J27" i="7" s="1"/>
  <c r="K27" i="7" a="1"/>
  <c r="K27" i="7" s="1"/>
  <c r="L27" i="7" a="1"/>
  <c r="L27" i="7"/>
  <c r="M27" i="7" a="1"/>
  <c r="M27" i="7"/>
  <c r="N27" i="7" a="1"/>
  <c r="N27" i="7" s="1"/>
  <c r="O27" i="7" a="1"/>
  <c r="O27" i="7" s="1"/>
  <c r="P27" i="7" a="1"/>
  <c r="P27" i="7" s="1"/>
  <c r="V27" i="7" a="1"/>
  <c r="V27" i="7" s="1"/>
  <c r="D28" i="7" a="1"/>
  <c r="D28" i="7" s="1"/>
  <c r="E28" i="7" a="1"/>
  <c r="E28" i="7" s="1"/>
  <c r="F28" i="7" a="1"/>
  <c r="F28" i="7" s="1"/>
  <c r="G28" i="7" a="1"/>
  <c r="G28" i="7"/>
  <c r="H28" i="7" a="1"/>
  <c r="H28" i="7" s="1"/>
  <c r="I28" i="7" a="1"/>
  <c r="I28" i="7" s="1"/>
  <c r="J28" i="7" a="1"/>
  <c r="J28" i="7"/>
  <c r="K28" i="7" a="1"/>
  <c r="K28" i="7" s="1"/>
  <c r="L28" i="7" a="1"/>
  <c r="L28" i="7" s="1"/>
  <c r="M28" i="7" a="1"/>
  <c r="M28" i="7" s="1"/>
  <c r="N28" i="7" a="1"/>
  <c r="N28" i="7" s="1"/>
  <c r="O28" i="7" a="1"/>
  <c r="O28" i="7" s="1"/>
  <c r="AB16" i="7" s="1"/>
  <c r="P28" i="7" a="1"/>
  <c r="P28" i="7" s="1"/>
  <c r="V28" i="7" a="1"/>
  <c r="V28" i="7"/>
  <c r="D29" i="7" a="1"/>
  <c r="D29" i="7" s="1"/>
  <c r="E29" i="7" a="1"/>
  <c r="E29" i="7" s="1"/>
  <c r="F29" i="7" a="1"/>
  <c r="F29" i="7" s="1"/>
  <c r="G29" i="7" a="1"/>
  <c r="G29" i="7" s="1"/>
  <c r="H29" i="7" a="1"/>
  <c r="H29" i="7"/>
  <c r="I29" i="7" a="1"/>
  <c r="I29" i="7" s="1"/>
  <c r="J29" i="7" a="1"/>
  <c r="J29" i="7" s="1"/>
  <c r="K29" i="7" a="1"/>
  <c r="K29" i="7" s="1"/>
  <c r="L29" i="7" a="1"/>
  <c r="L29" i="7" s="1"/>
  <c r="M29" i="7" a="1"/>
  <c r="M29" i="7" s="1"/>
  <c r="N29" i="7" a="1"/>
  <c r="N29" i="7" s="1"/>
  <c r="O29" i="7" a="1"/>
  <c r="O29" i="7"/>
  <c r="AC16" i="7" s="1"/>
  <c r="P29" i="7" a="1"/>
  <c r="P29" i="7" s="1"/>
  <c r="V29" i="7" a="1"/>
  <c r="V29" i="7" s="1"/>
  <c r="D30" i="7" a="1"/>
  <c r="D30" i="7" s="1"/>
  <c r="E30" i="7" a="1"/>
  <c r="E30" i="7"/>
  <c r="F30" i="7" a="1"/>
  <c r="F30" i="7" s="1"/>
  <c r="G30" i="7" a="1"/>
  <c r="G30" i="7" s="1"/>
  <c r="H30" i="7" a="1"/>
  <c r="H30" i="7" s="1"/>
  <c r="I30" i="7" a="1"/>
  <c r="I30" i="7" s="1"/>
  <c r="J30" i="7" a="1"/>
  <c r="J30" i="7" s="1"/>
  <c r="K30" i="7" a="1"/>
  <c r="K30" i="7" s="1"/>
  <c r="L30" i="7" a="1"/>
  <c r="L30" i="7" s="1"/>
  <c r="M30" i="7" a="1"/>
  <c r="M30" i="7" s="1"/>
  <c r="N30" i="7" a="1"/>
  <c r="N30" i="7" s="1"/>
  <c r="O30" i="7" a="1"/>
  <c r="O30" i="7" s="1"/>
  <c r="P30" i="7" a="1"/>
  <c r="P30" i="7" s="1"/>
  <c r="AB17" i="7" s="1"/>
  <c r="V30" i="7" a="1"/>
  <c r="V30" i="7"/>
  <c r="D31" i="7" a="1"/>
  <c r="D31" i="7" s="1"/>
  <c r="E31" i="7" a="1"/>
  <c r="E31" i="7" s="1"/>
  <c r="F31" i="7" a="1"/>
  <c r="F31" i="7" s="1"/>
  <c r="G31" i="7" a="1"/>
  <c r="G31" i="7"/>
  <c r="H31" i="7" a="1"/>
  <c r="H31" i="7"/>
  <c r="I31" i="7" a="1"/>
  <c r="I31" i="7" s="1"/>
  <c r="J31" i="7" a="1"/>
  <c r="J31" i="7" s="1"/>
  <c r="K31" i="7" a="1"/>
  <c r="K31" i="7" s="1"/>
  <c r="L31" i="7" a="1"/>
  <c r="L31" i="7" s="1"/>
  <c r="M31" i="7" a="1"/>
  <c r="M31" i="7" s="1"/>
  <c r="N31" i="7" a="1"/>
  <c r="N31" i="7" s="1"/>
  <c r="O31" i="7" a="1"/>
  <c r="O31" i="7" s="1"/>
  <c r="P31" i="7" a="1"/>
  <c r="P31" i="7"/>
  <c r="AC17" i="7" s="1"/>
  <c r="V31" i="7" a="1"/>
  <c r="V31" i="7"/>
  <c r="V5" i="7" a="1"/>
  <c r="V5" i="7"/>
  <c r="E5" i="7" a="1"/>
  <c r="E5" i="7" s="1"/>
  <c r="F5" i="7" a="1"/>
  <c r="F5" i="7" s="1"/>
  <c r="G5" i="7" a="1"/>
  <c r="G5" i="7" s="1"/>
  <c r="H5" i="7" a="1"/>
  <c r="H5" i="7" s="1"/>
  <c r="I5" i="7" a="1"/>
  <c r="I5" i="7" s="1"/>
  <c r="J5" i="7" a="1"/>
  <c r="J5" i="7" s="1"/>
  <c r="K5" i="7" a="1"/>
  <c r="K5" i="7" s="1"/>
  <c r="L5" i="7" a="1"/>
  <c r="L5" i="7" s="1"/>
  <c r="M5" i="7" a="1"/>
  <c r="M5" i="7" s="1"/>
  <c r="N5" i="7" a="1"/>
  <c r="N5" i="7" s="1"/>
  <c r="O5" i="7" a="1"/>
  <c r="O5" i="7" s="1"/>
  <c r="P5" i="7" a="1"/>
  <c r="P5" i="7" s="1"/>
  <c r="D5" i="7" a="1"/>
  <c r="D5" i="7"/>
  <c r="H5" i="2" a="1"/>
  <c r="H5" i="2" s="1"/>
  <c r="I5" i="2" a="1"/>
  <c r="I5" i="2" s="1"/>
  <c r="C46" i="2"/>
  <c r="B46" i="2"/>
  <c r="C45" i="2"/>
  <c r="B45" i="2"/>
  <c r="C44" i="2"/>
  <c r="B44" i="2"/>
  <c r="C43" i="2"/>
  <c r="B43" i="2"/>
  <c r="B42" i="2"/>
  <c r="B35" i="2"/>
  <c r="B34" i="2"/>
  <c r="B33" i="2"/>
  <c r="B32" i="2"/>
  <c r="B31" i="2"/>
  <c r="B30" i="2"/>
  <c r="A2" i="2"/>
  <c r="P7" i="4"/>
  <c r="Y7" i="4"/>
  <c r="AH7" i="4"/>
  <c r="AQ7" i="4"/>
  <c r="AZ7" i="4"/>
  <c r="BI7" i="4"/>
  <c r="BR7" i="4"/>
  <c r="CA7" i="4"/>
  <c r="CJ7" i="4"/>
  <c r="CS7" i="4"/>
  <c r="DB7" i="4"/>
  <c r="DK7" i="4"/>
  <c r="P8" i="4"/>
  <c r="Y8" i="4"/>
  <c r="AH8" i="4"/>
  <c r="AQ8" i="4"/>
  <c r="AZ8" i="4"/>
  <c r="BI8" i="4"/>
  <c r="BR8" i="4"/>
  <c r="CA8" i="4"/>
  <c r="CJ8" i="4"/>
  <c r="CS8" i="4"/>
  <c r="DB8" i="4"/>
  <c r="DK8" i="4"/>
  <c r="P9" i="4"/>
  <c r="Y9" i="4"/>
  <c r="AH9" i="4"/>
  <c r="AQ9" i="4"/>
  <c r="AZ9" i="4"/>
  <c r="BI9" i="4"/>
  <c r="BR9" i="4"/>
  <c r="CA9" i="4"/>
  <c r="CJ9" i="4"/>
  <c r="CS9" i="4"/>
  <c r="DB9" i="4"/>
  <c r="DK9" i="4"/>
  <c r="P10" i="4"/>
  <c r="Y10" i="4"/>
  <c r="AH10" i="4"/>
  <c r="AQ10" i="4"/>
  <c r="AZ10" i="4"/>
  <c r="BI10" i="4"/>
  <c r="BR10" i="4"/>
  <c r="CA10" i="4"/>
  <c r="CJ10" i="4"/>
  <c r="CS10" i="4"/>
  <c r="DB10" i="4"/>
  <c r="DK10" i="4"/>
  <c r="P11" i="4"/>
  <c r="Y11" i="4"/>
  <c r="AH11" i="4"/>
  <c r="AQ11" i="4"/>
  <c r="AZ11" i="4"/>
  <c r="BI11" i="4"/>
  <c r="BR11" i="4"/>
  <c r="CA11" i="4"/>
  <c r="CJ11" i="4"/>
  <c r="CS11" i="4"/>
  <c r="DB11" i="4"/>
  <c r="DK11" i="4"/>
  <c r="P12" i="4"/>
  <c r="Y12" i="4"/>
  <c r="AH12" i="4"/>
  <c r="AQ12" i="4"/>
  <c r="AZ12" i="4"/>
  <c r="BI12" i="4"/>
  <c r="BR12" i="4"/>
  <c r="CA12" i="4"/>
  <c r="CJ12" i="4"/>
  <c r="CS12" i="4"/>
  <c r="DB12" i="4"/>
  <c r="DK12" i="4"/>
  <c r="P13" i="4"/>
  <c r="Y13" i="4"/>
  <c r="AH13" i="4"/>
  <c r="AQ13" i="4"/>
  <c r="AZ13" i="4"/>
  <c r="BI13" i="4"/>
  <c r="BR13" i="4"/>
  <c r="CA13" i="4"/>
  <c r="CJ13" i="4"/>
  <c r="CS13" i="4"/>
  <c r="DB13" i="4"/>
  <c r="DK13" i="4"/>
  <c r="P14" i="4"/>
  <c r="Y14" i="4"/>
  <c r="AH14" i="4"/>
  <c r="AQ14" i="4"/>
  <c r="AZ14" i="4"/>
  <c r="BI14" i="4"/>
  <c r="BR14" i="4"/>
  <c r="CA14" i="4"/>
  <c r="CJ14" i="4"/>
  <c r="CS14" i="4"/>
  <c r="DB14" i="4"/>
  <c r="DK14" i="4"/>
  <c r="P15" i="4"/>
  <c r="Y15" i="4"/>
  <c r="AH15" i="4"/>
  <c r="AQ15" i="4"/>
  <c r="AZ15" i="4"/>
  <c r="BI15" i="4"/>
  <c r="BR15" i="4"/>
  <c r="CA15" i="4"/>
  <c r="CJ15" i="4"/>
  <c r="CS15" i="4"/>
  <c r="DB15" i="4"/>
  <c r="DK15" i="4"/>
  <c r="P16" i="4"/>
  <c r="Y16" i="4"/>
  <c r="AH16" i="4"/>
  <c r="AQ16" i="4"/>
  <c r="AZ16" i="4"/>
  <c r="BI16" i="4"/>
  <c r="BR16" i="4"/>
  <c r="CA16" i="4"/>
  <c r="CJ16" i="4"/>
  <c r="CS16" i="4"/>
  <c r="DB16" i="4"/>
  <c r="DK16" i="4"/>
  <c r="P17" i="4"/>
  <c r="Y17" i="4"/>
  <c r="AH17" i="4"/>
  <c r="AQ17" i="4"/>
  <c r="AZ17" i="4"/>
  <c r="BI17" i="4"/>
  <c r="BR17" i="4"/>
  <c r="CA17" i="4"/>
  <c r="CJ17" i="4"/>
  <c r="CS17" i="4"/>
  <c r="DB17" i="4"/>
  <c r="DK17" i="4"/>
  <c r="P18" i="4"/>
  <c r="Y18" i="4"/>
  <c r="AH18" i="4"/>
  <c r="AQ18" i="4"/>
  <c r="AZ18" i="4"/>
  <c r="BI18" i="4"/>
  <c r="BR18" i="4"/>
  <c r="CA18" i="4"/>
  <c r="CJ18" i="4"/>
  <c r="CS18" i="4"/>
  <c r="DB18" i="4"/>
  <c r="DK18" i="4"/>
  <c r="P19" i="4"/>
  <c r="Y19" i="4"/>
  <c r="AH19" i="4"/>
  <c r="AQ19" i="4"/>
  <c r="AZ19" i="4"/>
  <c r="BI19" i="4"/>
  <c r="BR19" i="4"/>
  <c r="CA19" i="4"/>
  <c r="CJ19" i="4"/>
  <c r="CS19" i="4"/>
  <c r="DB19" i="4"/>
  <c r="DK19" i="4"/>
  <c r="P20" i="4"/>
  <c r="Y20" i="4"/>
  <c r="AH20" i="4"/>
  <c r="AQ20" i="4"/>
  <c r="AZ20" i="4"/>
  <c r="BI20" i="4"/>
  <c r="BR20" i="4"/>
  <c r="CA20" i="4"/>
  <c r="CJ20" i="4"/>
  <c r="CS20" i="4"/>
  <c r="DB20" i="4"/>
  <c r="DK20" i="4"/>
  <c r="P21" i="4"/>
  <c r="Y21" i="4"/>
  <c r="AH21" i="4"/>
  <c r="AQ21" i="4"/>
  <c r="AZ21" i="4"/>
  <c r="BI21" i="4"/>
  <c r="BR21" i="4"/>
  <c r="CA21" i="4"/>
  <c r="CJ21" i="4"/>
  <c r="CS21" i="4"/>
  <c r="DB21" i="4"/>
  <c r="DK21" i="4"/>
  <c r="P22" i="4"/>
  <c r="Y22" i="4"/>
  <c r="AH22" i="4"/>
  <c r="AQ22" i="4"/>
  <c r="AZ22" i="4"/>
  <c r="BI22" i="4"/>
  <c r="BR22" i="4"/>
  <c r="CA22" i="4"/>
  <c r="CJ22" i="4"/>
  <c r="CS22" i="4"/>
  <c r="DB22" i="4"/>
  <c r="DK22" i="4"/>
  <c r="P23" i="4"/>
  <c r="Y23" i="4"/>
  <c r="AH23" i="4"/>
  <c r="AQ23" i="4"/>
  <c r="AZ23" i="4"/>
  <c r="BI23" i="4"/>
  <c r="BR23" i="4"/>
  <c r="CA23" i="4"/>
  <c r="CJ23" i="4"/>
  <c r="CS23" i="4"/>
  <c r="DB23" i="4"/>
  <c r="DK23" i="4"/>
  <c r="P24" i="4"/>
  <c r="Y24" i="4"/>
  <c r="AH24" i="4"/>
  <c r="AQ24" i="4"/>
  <c r="AZ24" i="4"/>
  <c r="BI24" i="4"/>
  <c r="BR24" i="4"/>
  <c r="CA24" i="4"/>
  <c r="CJ24" i="4"/>
  <c r="CS24" i="4"/>
  <c r="DB24" i="4"/>
  <c r="DK24" i="4"/>
  <c r="P25" i="4"/>
  <c r="Y25" i="4"/>
  <c r="AH25" i="4"/>
  <c r="AQ25" i="4"/>
  <c r="AZ25" i="4"/>
  <c r="BI25" i="4"/>
  <c r="BR25" i="4"/>
  <c r="CA25" i="4"/>
  <c r="CJ25" i="4"/>
  <c r="CS25" i="4"/>
  <c r="DB25" i="4"/>
  <c r="DK25" i="4"/>
  <c r="P26" i="4"/>
  <c r="Y26" i="4"/>
  <c r="AH26" i="4"/>
  <c r="AQ26" i="4"/>
  <c r="AZ26" i="4"/>
  <c r="BI26" i="4"/>
  <c r="BR26" i="4"/>
  <c r="CA26" i="4"/>
  <c r="CJ26" i="4"/>
  <c r="CS26" i="4"/>
  <c r="DB26" i="4"/>
  <c r="DK26" i="4"/>
  <c r="P27" i="4"/>
  <c r="Y27" i="4"/>
  <c r="AH27" i="4"/>
  <c r="AQ27" i="4"/>
  <c r="AZ27" i="4"/>
  <c r="BI27" i="4"/>
  <c r="BR27" i="4"/>
  <c r="CA27" i="4"/>
  <c r="CJ27" i="4"/>
  <c r="CS27" i="4"/>
  <c r="DB27" i="4"/>
  <c r="DK27" i="4"/>
  <c r="P28" i="4"/>
  <c r="Y28" i="4"/>
  <c r="AH28" i="4"/>
  <c r="AQ28" i="4"/>
  <c r="AZ28" i="4"/>
  <c r="BI28" i="4"/>
  <c r="BR28" i="4"/>
  <c r="CA28" i="4"/>
  <c r="CJ28" i="4"/>
  <c r="CS28" i="4"/>
  <c r="DB28" i="4"/>
  <c r="DK28" i="4"/>
  <c r="P29" i="4"/>
  <c r="Y29" i="4"/>
  <c r="AH29" i="4"/>
  <c r="AQ29" i="4"/>
  <c r="AZ29" i="4"/>
  <c r="BI29" i="4"/>
  <c r="BR29" i="4"/>
  <c r="CA29" i="4"/>
  <c r="CJ29" i="4"/>
  <c r="CS29" i="4"/>
  <c r="DB29" i="4"/>
  <c r="DK29" i="4"/>
  <c r="P30" i="4"/>
  <c r="Y30" i="4"/>
  <c r="AH30" i="4"/>
  <c r="AQ30" i="4"/>
  <c r="AZ30" i="4"/>
  <c r="BI30" i="4"/>
  <c r="BR30" i="4"/>
  <c r="CA30" i="4"/>
  <c r="CJ30" i="4"/>
  <c r="CS30" i="4"/>
  <c r="DB30" i="4"/>
  <c r="DK30" i="4"/>
  <c r="P31" i="4"/>
  <c r="Y31" i="4"/>
  <c r="AH31" i="4"/>
  <c r="AQ31" i="4"/>
  <c r="AZ31" i="4"/>
  <c r="BI31" i="4"/>
  <c r="BR31" i="4"/>
  <c r="CA31" i="4"/>
  <c r="CJ31" i="4"/>
  <c r="CS31" i="4"/>
  <c r="DB31" i="4"/>
  <c r="DK31" i="4"/>
  <c r="P32" i="4"/>
  <c r="Y32" i="4"/>
  <c r="AH32" i="4"/>
  <c r="AQ32" i="4"/>
  <c r="AZ32" i="4"/>
  <c r="BI32" i="4"/>
  <c r="BR32" i="4"/>
  <c r="CA32" i="4"/>
  <c r="CJ32" i="4"/>
  <c r="CS32" i="4"/>
  <c r="DB32" i="4"/>
  <c r="DK32" i="4"/>
  <c r="P33" i="4"/>
  <c r="Y33" i="4"/>
  <c r="AH33" i="4"/>
  <c r="AQ33" i="4"/>
  <c r="AZ33" i="4"/>
  <c r="BI33" i="4"/>
  <c r="BR33" i="4"/>
  <c r="CA33" i="4"/>
  <c r="CJ33" i="4"/>
  <c r="CS33" i="4"/>
  <c r="DB33" i="4"/>
  <c r="DK33" i="4"/>
  <c r="P34" i="4"/>
  <c r="Y34" i="4"/>
  <c r="AH34" i="4"/>
  <c r="AQ34" i="4"/>
  <c r="AZ34" i="4"/>
  <c r="BI34" i="4"/>
  <c r="BR34" i="4"/>
  <c r="CA34" i="4"/>
  <c r="CJ34" i="4"/>
  <c r="CS34" i="4"/>
  <c r="DB34" i="4"/>
  <c r="DK34" i="4"/>
  <c r="P35" i="4"/>
  <c r="Y35" i="4"/>
  <c r="AH35" i="4"/>
  <c r="AQ35" i="4"/>
  <c r="AZ35" i="4"/>
  <c r="BI35" i="4"/>
  <c r="BR35" i="4"/>
  <c r="CA35" i="4"/>
  <c r="CJ35" i="4"/>
  <c r="CS35" i="4"/>
  <c r="DB35" i="4"/>
  <c r="DK35" i="4"/>
  <c r="P36" i="4"/>
  <c r="Y36" i="4"/>
  <c r="AH36" i="4"/>
  <c r="AQ36" i="4"/>
  <c r="AZ36" i="4"/>
  <c r="BI36" i="4"/>
  <c r="BR36" i="4"/>
  <c r="CA36" i="4"/>
  <c r="CJ36" i="4"/>
  <c r="CS36" i="4"/>
  <c r="DB36" i="4"/>
  <c r="DK36" i="4"/>
  <c r="P37" i="4"/>
  <c r="Y37" i="4"/>
  <c r="AH37" i="4"/>
  <c r="AQ37" i="4"/>
  <c r="AZ37" i="4"/>
  <c r="BI37" i="4"/>
  <c r="BR37" i="4"/>
  <c r="CA37" i="4"/>
  <c r="CJ37" i="4"/>
  <c r="CS37" i="4"/>
  <c r="DB37" i="4"/>
  <c r="DK37" i="4"/>
  <c r="P38" i="4"/>
  <c r="Y38" i="4"/>
  <c r="AH38" i="4"/>
  <c r="AQ38" i="4"/>
  <c r="AZ38" i="4"/>
  <c r="BI38" i="4"/>
  <c r="BR38" i="4"/>
  <c r="CA38" i="4"/>
  <c r="CJ38" i="4"/>
  <c r="CS38" i="4"/>
  <c r="DB38" i="4"/>
  <c r="DK38" i="4"/>
  <c r="P39" i="4"/>
  <c r="Y39" i="4"/>
  <c r="AH39" i="4"/>
  <c r="AQ39" i="4"/>
  <c r="AZ39" i="4"/>
  <c r="BI39" i="4"/>
  <c r="BR39" i="4"/>
  <c r="CA39" i="4"/>
  <c r="CJ39" i="4"/>
  <c r="CS39" i="4"/>
  <c r="DB39" i="4"/>
  <c r="DK39" i="4"/>
  <c r="P40" i="4"/>
  <c r="Y40" i="4"/>
  <c r="AH40" i="4"/>
  <c r="AQ40" i="4"/>
  <c r="AZ40" i="4"/>
  <c r="BI40" i="4"/>
  <c r="BR40" i="4"/>
  <c r="CA40" i="4"/>
  <c r="CJ40" i="4"/>
  <c r="CS40" i="4"/>
  <c r="DB40" i="4"/>
  <c r="DK40" i="4"/>
  <c r="P41" i="4"/>
  <c r="Y41" i="4"/>
  <c r="AH41" i="4"/>
  <c r="AQ41" i="4"/>
  <c r="AZ41" i="4"/>
  <c r="BI41" i="4"/>
  <c r="BR41" i="4"/>
  <c r="CA41" i="4"/>
  <c r="CJ41" i="4"/>
  <c r="CS41" i="4"/>
  <c r="DB41" i="4"/>
  <c r="DK41" i="4"/>
  <c r="P42" i="4"/>
  <c r="Y42" i="4"/>
  <c r="AH42" i="4"/>
  <c r="AQ42" i="4"/>
  <c r="AZ42" i="4"/>
  <c r="BI42" i="4"/>
  <c r="BR42" i="4"/>
  <c r="CA42" i="4"/>
  <c r="CJ42" i="4"/>
  <c r="CS42" i="4"/>
  <c r="DB42" i="4"/>
  <c r="DK42" i="4"/>
  <c r="P43" i="4"/>
  <c r="Y43" i="4"/>
  <c r="AH43" i="4"/>
  <c r="AQ43" i="4"/>
  <c r="AZ43" i="4"/>
  <c r="BI43" i="4"/>
  <c r="BR43" i="4"/>
  <c r="CA43" i="4"/>
  <c r="CJ43" i="4"/>
  <c r="CS43" i="4"/>
  <c r="DB43" i="4"/>
  <c r="DK43" i="4"/>
  <c r="P44" i="4"/>
  <c r="Y44" i="4"/>
  <c r="AH44" i="4"/>
  <c r="AQ44" i="4"/>
  <c r="AZ44" i="4"/>
  <c r="BI44" i="4"/>
  <c r="BR44" i="4"/>
  <c r="CA44" i="4"/>
  <c r="CJ44" i="4"/>
  <c r="CS44" i="4"/>
  <c r="DB44" i="4"/>
  <c r="DK44" i="4"/>
  <c r="P45" i="4"/>
  <c r="Y45" i="4"/>
  <c r="AH45" i="4"/>
  <c r="AQ45" i="4"/>
  <c r="AZ45" i="4"/>
  <c r="BI45" i="4"/>
  <c r="BR45" i="4"/>
  <c r="CA45" i="4"/>
  <c r="CJ45" i="4"/>
  <c r="CS45" i="4"/>
  <c r="DB45" i="4"/>
  <c r="DK45" i="4"/>
  <c r="P46" i="4"/>
  <c r="Y46" i="4"/>
  <c r="AH46" i="4"/>
  <c r="AQ46" i="4"/>
  <c r="AZ46" i="4"/>
  <c r="BI46" i="4"/>
  <c r="BR46" i="4"/>
  <c r="CA46" i="4"/>
  <c r="CJ46" i="4"/>
  <c r="CS46" i="4"/>
  <c r="DB46" i="4"/>
  <c r="DK46" i="4"/>
  <c r="P47" i="4"/>
  <c r="Y47" i="4"/>
  <c r="AH47" i="4"/>
  <c r="AQ47" i="4"/>
  <c r="AZ47" i="4"/>
  <c r="BI47" i="4"/>
  <c r="BR47" i="4"/>
  <c r="CA47" i="4"/>
  <c r="CJ47" i="4"/>
  <c r="CS47" i="4"/>
  <c r="DB47" i="4"/>
  <c r="DK47" i="4"/>
  <c r="P48" i="4"/>
  <c r="Y48" i="4"/>
  <c r="AH48" i="4"/>
  <c r="AQ48" i="4"/>
  <c r="AZ48" i="4"/>
  <c r="BI48" i="4"/>
  <c r="BR48" i="4"/>
  <c r="CA48" i="4"/>
  <c r="CJ48" i="4"/>
  <c r="CS48" i="4"/>
  <c r="DB48" i="4"/>
  <c r="DK48" i="4"/>
  <c r="P49" i="4"/>
  <c r="Y49" i="4"/>
  <c r="AH49" i="4"/>
  <c r="AQ49" i="4"/>
  <c r="AZ49" i="4"/>
  <c r="BI49" i="4"/>
  <c r="BR49" i="4"/>
  <c r="CA49" i="4"/>
  <c r="CJ49" i="4"/>
  <c r="CS49" i="4"/>
  <c r="DB49" i="4"/>
  <c r="DK49" i="4"/>
  <c r="P50" i="4"/>
  <c r="Y50" i="4"/>
  <c r="AH50" i="4"/>
  <c r="AQ50" i="4"/>
  <c r="AZ50" i="4"/>
  <c r="BI50" i="4"/>
  <c r="BR50" i="4"/>
  <c r="CA50" i="4"/>
  <c r="CJ50" i="4"/>
  <c r="CS50" i="4"/>
  <c r="DB50" i="4"/>
  <c r="DK50" i="4"/>
  <c r="P51" i="4"/>
  <c r="Y51" i="4"/>
  <c r="AH51" i="4"/>
  <c r="AQ51" i="4"/>
  <c r="AZ51" i="4"/>
  <c r="BI51" i="4"/>
  <c r="BR51" i="4"/>
  <c r="CA51" i="4"/>
  <c r="CJ51" i="4"/>
  <c r="CS51" i="4"/>
  <c r="DB51" i="4"/>
  <c r="DK51" i="4"/>
  <c r="P52" i="4"/>
  <c r="Y52" i="4"/>
  <c r="AH52" i="4"/>
  <c r="AQ52" i="4"/>
  <c r="AZ52" i="4"/>
  <c r="BI52" i="4"/>
  <c r="BR52" i="4"/>
  <c r="CA52" i="4"/>
  <c r="CJ52" i="4"/>
  <c r="CS52" i="4"/>
  <c r="DB52" i="4"/>
  <c r="DK52" i="4"/>
  <c r="P53" i="4"/>
  <c r="Y53" i="4"/>
  <c r="AH53" i="4"/>
  <c r="AQ53" i="4"/>
  <c r="AZ53" i="4"/>
  <c r="BI53" i="4"/>
  <c r="BR53" i="4"/>
  <c r="CA53" i="4"/>
  <c r="CJ53" i="4"/>
  <c r="CS53" i="4"/>
  <c r="DB53" i="4"/>
  <c r="DK53" i="4"/>
  <c r="P54" i="4"/>
  <c r="Y54" i="4"/>
  <c r="AH54" i="4"/>
  <c r="AQ54" i="4"/>
  <c r="AZ54" i="4"/>
  <c r="BI54" i="4"/>
  <c r="BR54" i="4"/>
  <c r="CA54" i="4"/>
  <c r="CJ54" i="4"/>
  <c r="CS54" i="4"/>
  <c r="DB54" i="4"/>
  <c r="DK54" i="4"/>
  <c r="P55" i="4"/>
  <c r="Y55" i="4"/>
  <c r="AH55" i="4"/>
  <c r="AQ55" i="4"/>
  <c r="AZ55" i="4"/>
  <c r="BI55" i="4"/>
  <c r="BR55" i="4"/>
  <c r="CA55" i="4"/>
  <c r="CJ55" i="4"/>
  <c r="CS55" i="4"/>
  <c r="DB55" i="4"/>
  <c r="DK55" i="4"/>
  <c r="P56" i="4"/>
  <c r="Y56" i="4"/>
  <c r="AH56" i="4"/>
  <c r="AQ56" i="4"/>
  <c r="AZ56" i="4"/>
  <c r="BI56" i="4"/>
  <c r="BR56" i="4"/>
  <c r="CA56" i="4"/>
  <c r="CJ56" i="4"/>
  <c r="CS56" i="4"/>
  <c r="DB56" i="4"/>
  <c r="DK56" i="4"/>
  <c r="P57" i="4"/>
  <c r="Y57" i="4"/>
  <c r="AH57" i="4"/>
  <c r="AQ57" i="4"/>
  <c r="AZ57" i="4"/>
  <c r="BI57" i="4"/>
  <c r="BR57" i="4"/>
  <c r="CA57" i="4"/>
  <c r="CJ57" i="4"/>
  <c r="CS57" i="4"/>
  <c r="DB57" i="4"/>
  <c r="DK57" i="4"/>
  <c r="P58" i="4"/>
  <c r="Y58" i="4"/>
  <c r="AH58" i="4"/>
  <c r="AQ58" i="4"/>
  <c r="AZ58" i="4"/>
  <c r="BI58" i="4"/>
  <c r="BR58" i="4"/>
  <c r="CA58" i="4"/>
  <c r="CJ58" i="4"/>
  <c r="CS58" i="4"/>
  <c r="DB58" i="4"/>
  <c r="DK58" i="4"/>
  <c r="P59" i="4"/>
  <c r="Y59" i="4"/>
  <c r="AH59" i="4"/>
  <c r="AQ59" i="4"/>
  <c r="AZ59" i="4"/>
  <c r="BI59" i="4"/>
  <c r="BR59" i="4"/>
  <c r="CA59" i="4"/>
  <c r="CJ59" i="4"/>
  <c r="CS59" i="4"/>
  <c r="DB59" i="4"/>
  <c r="DK59" i="4"/>
  <c r="P60" i="4"/>
  <c r="Y60" i="4"/>
  <c r="AH60" i="4"/>
  <c r="AQ60" i="4"/>
  <c r="AZ60" i="4"/>
  <c r="BI60" i="4"/>
  <c r="BR60" i="4"/>
  <c r="CA60" i="4"/>
  <c r="CJ60" i="4"/>
  <c r="CS60" i="4"/>
  <c r="DB60" i="4"/>
  <c r="DK60" i="4"/>
  <c r="P61" i="4"/>
  <c r="Y61" i="4"/>
  <c r="AH61" i="4"/>
  <c r="AQ61" i="4"/>
  <c r="AZ61" i="4"/>
  <c r="BI61" i="4"/>
  <c r="BR61" i="4"/>
  <c r="CA61" i="4"/>
  <c r="CJ61" i="4"/>
  <c r="CS61" i="4"/>
  <c r="DB61" i="4"/>
  <c r="DK61" i="4"/>
  <c r="P62" i="4"/>
  <c r="Y62" i="4"/>
  <c r="AH62" i="4"/>
  <c r="AQ62" i="4"/>
  <c r="AZ62" i="4"/>
  <c r="BI62" i="4"/>
  <c r="BR62" i="4"/>
  <c r="CA62" i="4"/>
  <c r="CJ62" i="4"/>
  <c r="CS62" i="4"/>
  <c r="DB62" i="4"/>
  <c r="DK62" i="4"/>
  <c r="P63" i="4"/>
  <c r="Y63" i="4"/>
  <c r="AH63" i="4"/>
  <c r="AQ63" i="4"/>
  <c r="AZ63" i="4"/>
  <c r="BI63" i="4"/>
  <c r="BR63" i="4"/>
  <c r="CA63" i="4"/>
  <c r="CJ63" i="4"/>
  <c r="CS63" i="4"/>
  <c r="DB63" i="4"/>
  <c r="DK63" i="4"/>
  <c r="P64" i="4"/>
  <c r="Y64" i="4"/>
  <c r="AH64" i="4"/>
  <c r="AQ64" i="4"/>
  <c r="AZ64" i="4"/>
  <c r="BI64" i="4"/>
  <c r="BR64" i="4"/>
  <c r="CA64" i="4"/>
  <c r="CJ64" i="4"/>
  <c r="CS64" i="4"/>
  <c r="DB64" i="4"/>
  <c r="DK64" i="4"/>
  <c r="P65" i="4"/>
  <c r="Y65" i="4"/>
  <c r="AH65" i="4"/>
  <c r="AQ65" i="4"/>
  <c r="AZ65" i="4"/>
  <c r="BI65" i="4"/>
  <c r="BR65" i="4"/>
  <c r="CA65" i="4"/>
  <c r="CJ65" i="4"/>
  <c r="CS65" i="4"/>
  <c r="DB65" i="4"/>
  <c r="DK65" i="4"/>
  <c r="P66" i="4"/>
  <c r="Y66" i="4"/>
  <c r="AH66" i="4"/>
  <c r="AQ66" i="4"/>
  <c r="AZ66" i="4"/>
  <c r="BI66" i="4"/>
  <c r="BR66" i="4"/>
  <c r="CA66" i="4"/>
  <c r="CJ66" i="4"/>
  <c r="CS66" i="4"/>
  <c r="DB66" i="4"/>
  <c r="DK66" i="4"/>
  <c r="P67" i="4"/>
  <c r="Y67" i="4"/>
  <c r="AH67" i="4"/>
  <c r="AQ67" i="4"/>
  <c r="AZ67" i="4"/>
  <c r="BI67" i="4"/>
  <c r="BR67" i="4"/>
  <c r="CA67" i="4"/>
  <c r="CJ67" i="4"/>
  <c r="CS67" i="4"/>
  <c r="DB67" i="4"/>
  <c r="DK67" i="4"/>
  <c r="P68" i="4"/>
  <c r="Y68" i="4"/>
  <c r="AH68" i="4"/>
  <c r="AQ68" i="4"/>
  <c r="AZ68" i="4"/>
  <c r="BI68" i="4"/>
  <c r="BR68" i="4"/>
  <c r="CA68" i="4"/>
  <c r="CJ68" i="4"/>
  <c r="CS68" i="4"/>
  <c r="DB68" i="4"/>
  <c r="DK68" i="4"/>
  <c r="P69" i="4"/>
  <c r="Y69" i="4"/>
  <c r="AH69" i="4"/>
  <c r="AQ69" i="4"/>
  <c r="AZ69" i="4"/>
  <c r="BI69" i="4"/>
  <c r="BR69" i="4"/>
  <c r="CA69" i="4"/>
  <c r="CJ69" i="4"/>
  <c r="CS69" i="4"/>
  <c r="DB69" i="4"/>
  <c r="DK69" i="4"/>
  <c r="P70" i="4"/>
  <c r="Y70" i="4"/>
  <c r="AH70" i="4"/>
  <c r="AQ70" i="4"/>
  <c r="AZ70" i="4"/>
  <c r="BI70" i="4"/>
  <c r="BR70" i="4"/>
  <c r="CA70" i="4"/>
  <c r="CJ70" i="4"/>
  <c r="CS70" i="4"/>
  <c r="DB70" i="4"/>
  <c r="DK70" i="4"/>
  <c r="P71" i="4"/>
  <c r="Y71" i="4"/>
  <c r="AH71" i="4"/>
  <c r="AQ71" i="4"/>
  <c r="AZ71" i="4"/>
  <c r="BI71" i="4"/>
  <c r="BR71" i="4"/>
  <c r="CA71" i="4"/>
  <c r="CJ71" i="4"/>
  <c r="CS71" i="4"/>
  <c r="DB71" i="4"/>
  <c r="DK71" i="4"/>
  <c r="P72" i="4"/>
  <c r="Y72" i="4"/>
  <c r="AH72" i="4"/>
  <c r="AQ72" i="4"/>
  <c r="AZ72" i="4"/>
  <c r="BI72" i="4"/>
  <c r="BR72" i="4"/>
  <c r="CA72" i="4"/>
  <c r="CJ72" i="4"/>
  <c r="CS72" i="4"/>
  <c r="DB72" i="4"/>
  <c r="DK72" i="4"/>
  <c r="P73" i="4"/>
  <c r="Y73" i="4"/>
  <c r="AH73" i="4"/>
  <c r="AQ73" i="4"/>
  <c r="AZ73" i="4"/>
  <c r="BI73" i="4"/>
  <c r="BR73" i="4"/>
  <c r="CA73" i="4"/>
  <c r="CJ73" i="4"/>
  <c r="CS73" i="4"/>
  <c r="DB73" i="4"/>
  <c r="DK73" i="4"/>
  <c r="P74" i="4"/>
  <c r="Y74" i="4"/>
  <c r="AH74" i="4"/>
  <c r="AQ74" i="4"/>
  <c r="AZ74" i="4"/>
  <c r="BI74" i="4"/>
  <c r="BR74" i="4"/>
  <c r="CA74" i="4"/>
  <c r="CJ74" i="4"/>
  <c r="CS74" i="4"/>
  <c r="DB74" i="4"/>
  <c r="DK74" i="4"/>
  <c r="P75" i="4"/>
  <c r="Y75" i="4"/>
  <c r="AH75" i="4"/>
  <c r="AQ75" i="4"/>
  <c r="AZ75" i="4"/>
  <c r="BI75" i="4"/>
  <c r="BR75" i="4"/>
  <c r="CA75" i="4"/>
  <c r="CJ75" i="4"/>
  <c r="CS75" i="4"/>
  <c r="DB75" i="4"/>
  <c r="DK75" i="4"/>
  <c r="P76" i="4"/>
  <c r="Y76" i="4"/>
  <c r="AH76" i="4"/>
  <c r="AQ76" i="4"/>
  <c r="AZ76" i="4"/>
  <c r="BI76" i="4"/>
  <c r="BR76" i="4"/>
  <c r="CA76" i="4"/>
  <c r="CJ76" i="4"/>
  <c r="CS76" i="4"/>
  <c r="DB76" i="4"/>
  <c r="DK76" i="4"/>
  <c r="P77" i="4"/>
  <c r="Y77" i="4"/>
  <c r="AH77" i="4"/>
  <c r="AQ77" i="4"/>
  <c r="AZ77" i="4"/>
  <c r="BI77" i="4"/>
  <c r="BR77" i="4"/>
  <c r="CA77" i="4"/>
  <c r="CJ77" i="4"/>
  <c r="CS77" i="4"/>
  <c r="DB77" i="4"/>
  <c r="DK77" i="4"/>
  <c r="P78" i="4"/>
  <c r="Y78" i="4"/>
  <c r="AH78" i="4"/>
  <c r="AQ78" i="4"/>
  <c r="AZ78" i="4"/>
  <c r="BI78" i="4"/>
  <c r="BR78" i="4"/>
  <c r="CA78" i="4"/>
  <c r="CJ78" i="4"/>
  <c r="CS78" i="4"/>
  <c r="DB78" i="4"/>
  <c r="DK78" i="4"/>
  <c r="P79" i="4"/>
  <c r="Y79" i="4"/>
  <c r="AH79" i="4"/>
  <c r="AQ79" i="4"/>
  <c r="AZ79" i="4"/>
  <c r="BI79" i="4"/>
  <c r="BR79" i="4"/>
  <c r="CA79" i="4"/>
  <c r="CJ79" i="4"/>
  <c r="CS79" i="4"/>
  <c r="DB79" i="4"/>
  <c r="DK79" i="4"/>
  <c r="P80" i="4"/>
  <c r="Y80" i="4"/>
  <c r="AH80" i="4"/>
  <c r="AQ80" i="4"/>
  <c r="AZ80" i="4"/>
  <c r="BI80" i="4"/>
  <c r="BR80" i="4"/>
  <c r="CA80" i="4"/>
  <c r="CJ80" i="4"/>
  <c r="CS80" i="4"/>
  <c r="DB80" i="4"/>
  <c r="DK80" i="4"/>
  <c r="P81" i="4"/>
  <c r="Y81" i="4"/>
  <c r="AH81" i="4"/>
  <c r="AQ81" i="4"/>
  <c r="AZ81" i="4"/>
  <c r="BI81" i="4"/>
  <c r="BR81" i="4"/>
  <c r="CA81" i="4"/>
  <c r="CJ81" i="4"/>
  <c r="CS81" i="4"/>
  <c r="DB81" i="4"/>
  <c r="DK81" i="4"/>
  <c r="P82" i="4"/>
  <c r="Y82" i="4"/>
  <c r="AH82" i="4"/>
  <c r="AQ82" i="4"/>
  <c r="AZ82" i="4"/>
  <c r="BI82" i="4"/>
  <c r="BR82" i="4"/>
  <c r="CA82" i="4"/>
  <c r="CJ82" i="4"/>
  <c r="CS82" i="4"/>
  <c r="DB82" i="4"/>
  <c r="DK82" i="4"/>
  <c r="P83" i="4"/>
  <c r="Y83" i="4"/>
  <c r="AH83" i="4"/>
  <c r="AQ83" i="4"/>
  <c r="AZ83" i="4"/>
  <c r="BI83" i="4"/>
  <c r="BR83" i="4"/>
  <c r="CA83" i="4"/>
  <c r="CJ83" i="4"/>
  <c r="CS83" i="4"/>
  <c r="DB83" i="4"/>
  <c r="DK83" i="4"/>
  <c r="P84" i="4"/>
  <c r="Y84" i="4"/>
  <c r="AH84" i="4"/>
  <c r="AQ84" i="4"/>
  <c r="AZ84" i="4"/>
  <c r="BI84" i="4"/>
  <c r="BR84" i="4"/>
  <c r="CA84" i="4"/>
  <c r="CJ84" i="4"/>
  <c r="CS84" i="4"/>
  <c r="DB84" i="4"/>
  <c r="DK84" i="4"/>
  <c r="P85" i="4"/>
  <c r="Y85" i="4"/>
  <c r="AH85" i="4"/>
  <c r="AQ85" i="4"/>
  <c r="AZ85" i="4"/>
  <c r="BI85" i="4"/>
  <c r="BR85" i="4"/>
  <c r="CA85" i="4"/>
  <c r="CJ85" i="4"/>
  <c r="CS85" i="4"/>
  <c r="DB85" i="4"/>
  <c r="DK85" i="4"/>
  <c r="P86" i="4"/>
  <c r="Y86" i="4"/>
  <c r="AH86" i="4"/>
  <c r="AQ86" i="4"/>
  <c r="AZ86" i="4"/>
  <c r="BI86" i="4"/>
  <c r="BR86" i="4"/>
  <c r="CA86" i="4"/>
  <c r="CJ86" i="4"/>
  <c r="CS86" i="4"/>
  <c r="DB86" i="4"/>
  <c r="DK86" i="4"/>
  <c r="P87" i="4"/>
  <c r="Y87" i="4"/>
  <c r="AH87" i="4"/>
  <c r="AQ87" i="4"/>
  <c r="AZ87" i="4"/>
  <c r="BI87" i="4"/>
  <c r="BR87" i="4"/>
  <c r="CA87" i="4"/>
  <c r="CJ87" i="4"/>
  <c r="CS87" i="4"/>
  <c r="DB87" i="4"/>
  <c r="DK87" i="4"/>
  <c r="P88" i="4"/>
  <c r="Y88" i="4"/>
  <c r="AH88" i="4"/>
  <c r="AQ88" i="4"/>
  <c r="AZ88" i="4"/>
  <c r="BI88" i="4"/>
  <c r="BR88" i="4"/>
  <c r="CA88" i="4"/>
  <c r="CJ88" i="4"/>
  <c r="CS88" i="4"/>
  <c r="DB88" i="4"/>
  <c r="DK88" i="4"/>
  <c r="P89" i="4"/>
  <c r="Y89" i="4"/>
  <c r="AH89" i="4"/>
  <c r="AQ89" i="4"/>
  <c r="AZ89" i="4"/>
  <c r="BI89" i="4"/>
  <c r="BR89" i="4"/>
  <c r="CA89" i="4"/>
  <c r="CJ89" i="4"/>
  <c r="CS89" i="4"/>
  <c r="DB89" i="4"/>
  <c r="DK89" i="4"/>
  <c r="P90" i="4"/>
  <c r="Y90" i="4"/>
  <c r="AH90" i="4"/>
  <c r="AQ90" i="4"/>
  <c r="AZ90" i="4"/>
  <c r="BI90" i="4"/>
  <c r="BR90" i="4"/>
  <c r="CA90" i="4"/>
  <c r="CJ90" i="4"/>
  <c r="CS90" i="4"/>
  <c r="DB90" i="4"/>
  <c r="DK90" i="4"/>
  <c r="P91" i="4"/>
  <c r="Y91" i="4"/>
  <c r="AH91" i="4"/>
  <c r="AQ91" i="4"/>
  <c r="AZ91" i="4"/>
  <c r="BI91" i="4"/>
  <c r="BR91" i="4"/>
  <c r="CA91" i="4"/>
  <c r="CJ91" i="4"/>
  <c r="CS91" i="4"/>
  <c r="DB91" i="4"/>
  <c r="DK91" i="4"/>
  <c r="P92" i="4"/>
  <c r="Y92" i="4"/>
  <c r="AH92" i="4"/>
  <c r="AQ92" i="4"/>
  <c r="AZ92" i="4"/>
  <c r="BI92" i="4"/>
  <c r="BR92" i="4"/>
  <c r="CA92" i="4"/>
  <c r="CJ92" i="4"/>
  <c r="CS92" i="4"/>
  <c r="DB92" i="4"/>
  <c r="DK92" i="4"/>
  <c r="P93" i="4"/>
  <c r="Y93" i="4"/>
  <c r="AH93" i="4"/>
  <c r="AQ93" i="4"/>
  <c r="AZ93" i="4"/>
  <c r="BI93" i="4"/>
  <c r="BR93" i="4"/>
  <c r="CA93" i="4"/>
  <c r="CJ93" i="4"/>
  <c r="CS93" i="4"/>
  <c r="DB93" i="4"/>
  <c r="DK93" i="4"/>
  <c r="P94" i="4"/>
  <c r="Y94" i="4"/>
  <c r="AH94" i="4"/>
  <c r="AQ94" i="4"/>
  <c r="AZ94" i="4"/>
  <c r="BI94" i="4"/>
  <c r="BR94" i="4"/>
  <c r="CA94" i="4"/>
  <c r="CJ94" i="4"/>
  <c r="CS94" i="4"/>
  <c r="DB94" i="4"/>
  <c r="DK94" i="4"/>
  <c r="P95" i="4"/>
  <c r="Y95" i="4"/>
  <c r="AH95" i="4"/>
  <c r="AQ95" i="4"/>
  <c r="AZ95" i="4"/>
  <c r="BI95" i="4"/>
  <c r="BR95" i="4"/>
  <c r="CA95" i="4"/>
  <c r="CJ95" i="4"/>
  <c r="CS95" i="4"/>
  <c r="DB95" i="4"/>
  <c r="DK95" i="4"/>
  <c r="P96" i="4"/>
  <c r="Y96" i="4"/>
  <c r="AH96" i="4"/>
  <c r="AQ96" i="4"/>
  <c r="AZ96" i="4"/>
  <c r="BI96" i="4"/>
  <c r="BR96" i="4"/>
  <c r="CA96" i="4"/>
  <c r="CJ96" i="4"/>
  <c r="CS96" i="4"/>
  <c r="DB96" i="4"/>
  <c r="DK96" i="4"/>
  <c r="P97" i="4"/>
  <c r="Y97" i="4"/>
  <c r="AH97" i="4"/>
  <c r="AQ97" i="4"/>
  <c r="AZ97" i="4"/>
  <c r="BI97" i="4"/>
  <c r="BR97" i="4"/>
  <c r="CA97" i="4"/>
  <c r="CJ97" i="4"/>
  <c r="CS97" i="4"/>
  <c r="DB97" i="4"/>
  <c r="DK97" i="4"/>
  <c r="P98" i="4"/>
  <c r="Y98" i="4"/>
  <c r="AH98" i="4"/>
  <c r="AQ98" i="4"/>
  <c r="AZ98" i="4"/>
  <c r="BI98" i="4"/>
  <c r="BR98" i="4"/>
  <c r="CA98" i="4"/>
  <c r="CJ98" i="4"/>
  <c r="CS98" i="4"/>
  <c r="DB98" i="4"/>
  <c r="DK98" i="4"/>
  <c r="P99" i="4"/>
  <c r="Y99" i="4"/>
  <c r="AH99" i="4"/>
  <c r="AQ99" i="4"/>
  <c r="AZ99" i="4"/>
  <c r="BI99" i="4"/>
  <c r="BR99" i="4"/>
  <c r="CA99" i="4"/>
  <c r="CJ99" i="4"/>
  <c r="CS99" i="4"/>
  <c r="DB99" i="4"/>
  <c r="DK99" i="4"/>
  <c r="P100" i="4"/>
  <c r="Y100" i="4"/>
  <c r="AH100" i="4"/>
  <c r="AQ100" i="4"/>
  <c r="AZ100" i="4"/>
  <c r="BI100" i="4"/>
  <c r="BR100" i="4"/>
  <c r="CA100" i="4"/>
  <c r="CJ100" i="4"/>
  <c r="CS100" i="4"/>
  <c r="DB100" i="4"/>
  <c r="DK100" i="4"/>
  <c r="P101" i="4"/>
  <c r="Y101" i="4"/>
  <c r="AH101" i="4"/>
  <c r="AQ101" i="4"/>
  <c r="AZ101" i="4"/>
  <c r="BI101" i="4"/>
  <c r="BR101" i="4"/>
  <c r="CA101" i="4"/>
  <c r="CJ101" i="4"/>
  <c r="CS101" i="4"/>
  <c r="DB101" i="4"/>
  <c r="DK101" i="4"/>
  <c r="P102" i="4"/>
  <c r="Y102" i="4"/>
  <c r="AH102" i="4"/>
  <c r="AQ102" i="4"/>
  <c r="AZ102" i="4"/>
  <c r="BI102" i="4"/>
  <c r="BR102" i="4"/>
  <c r="CA102" i="4"/>
  <c r="CJ102" i="4"/>
  <c r="CS102" i="4"/>
  <c r="DB102" i="4"/>
  <c r="DK102" i="4"/>
  <c r="P103" i="4"/>
  <c r="Y103" i="4"/>
  <c r="AH103" i="4"/>
  <c r="AQ103" i="4"/>
  <c r="AZ103" i="4"/>
  <c r="BI103" i="4"/>
  <c r="BR103" i="4"/>
  <c r="CA103" i="4"/>
  <c r="CJ103" i="4"/>
  <c r="CS103" i="4"/>
  <c r="DB103" i="4"/>
  <c r="DK103" i="4"/>
  <c r="P104" i="4"/>
  <c r="Y104" i="4"/>
  <c r="AH104" i="4"/>
  <c r="AQ104" i="4"/>
  <c r="AZ104" i="4"/>
  <c r="BI104" i="4"/>
  <c r="BR104" i="4"/>
  <c r="CA104" i="4"/>
  <c r="CJ104" i="4"/>
  <c r="CS104" i="4"/>
  <c r="DB104" i="4"/>
  <c r="DK104" i="4"/>
  <c r="P105" i="4"/>
  <c r="Y105" i="4"/>
  <c r="AH105" i="4"/>
  <c r="AQ105" i="4"/>
  <c r="AZ105" i="4"/>
  <c r="BI105" i="4"/>
  <c r="BR105" i="4"/>
  <c r="CA105" i="4"/>
  <c r="CJ105" i="4"/>
  <c r="CS105" i="4"/>
  <c r="DB105" i="4"/>
  <c r="DK105" i="4"/>
  <c r="P106" i="4"/>
  <c r="Y106" i="4"/>
  <c r="AH106" i="4"/>
  <c r="AQ106" i="4"/>
  <c r="AZ106" i="4"/>
  <c r="BI106" i="4"/>
  <c r="BR106" i="4"/>
  <c r="CA106" i="4"/>
  <c r="CJ106" i="4"/>
  <c r="CS106" i="4"/>
  <c r="DB106" i="4"/>
  <c r="DK106" i="4"/>
  <c r="P107" i="4"/>
  <c r="Y107" i="4"/>
  <c r="AH107" i="4"/>
  <c r="AQ107" i="4"/>
  <c r="AZ107" i="4"/>
  <c r="BI107" i="4"/>
  <c r="BR107" i="4"/>
  <c r="CA107" i="4"/>
  <c r="CJ107" i="4"/>
  <c r="CS107" i="4"/>
  <c r="DB107" i="4"/>
  <c r="DK107" i="4"/>
  <c r="P108" i="4"/>
  <c r="Y108" i="4"/>
  <c r="AH108" i="4"/>
  <c r="AQ108" i="4"/>
  <c r="AZ108" i="4"/>
  <c r="BI108" i="4"/>
  <c r="BR108" i="4"/>
  <c r="CA108" i="4"/>
  <c r="CJ108" i="4"/>
  <c r="CS108" i="4"/>
  <c r="DB108" i="4"/>
  <c r="DK108" i="4"/>
  <c r="P109" i="4"/>
  <c r="Y109" i="4"/>
  <c r="AH109" i="4"/>
  <c r="AQ109" i="4"/>
  <c r="AZ109" i="4"/>
  <c r="BI109" i="4"/>
  <c r="BR109" i="4"/>
  <c r="CA109" i="4"/>
  <c r="CJ109" i="4"/>
  <c r="CS109" i="4"/>
  <c r="DB109" i="4"/>
  <c r="DK109" i="4"/>
  <c r="P110" i="4"/>
  <c r="Y110" i="4"/>
  <c r="AH110" i="4"/>
  <c r="AQ110" i="4"/>
  <c r="AZ110" i="4"/>
  <c r="BI110" i="4"/>
  <c r="BR110" i="4"/>
  <c r="CA110" i="4"/>
  <c r="CJ110" i="4"/>
  <c r="CS110" i="4"/>
  <c r="DB110" i="4"/>
  <c r="DK110" i="4"/>
  <c r="P111" i="4"/>
  <c r="Y111" i="4"/>
  <c r="AH111" i="4"/>
  <c r="AQ111" i="4"/>
  <c r="AZ111" i="4"/>
  <c r="BI111" i="4"/>
  <c r="BR111" i="4"/>
  <c r="CA111" i="4"/>
  <c r="CJ111" i="4"/>
  <c r="CS111" i="4"/>
  <c r="DB111" i="4"/>
  <c r="DK111" i="4"/>
  <c r="P112" i="4"/>
  <c r="Y112" i="4"/>
  <c r="AH112" i="4"/>
  <c r="AQ112" i="4"/>
  <c r="AZ112" i="4"/>
  <c r="BI112" i="4"/>
  <c r="BR112" i="4"/>
  <c r="CA112" i="4"/>
  <c r="CJ112" i="4"/>
  <c r="CS112" i="4"/>
  <c r="DB112" i="4"/>
  <c r="DK112" i="4"/>
  <c r="P113" i="4"/>
  <c r="Y113" i="4"/>
  <c r="AH113" i="4"/>
  <c r="AQ113" i="4"/>
  <c r="AZ113" i="4"/>
  <c r="BI113" i="4"/>
  <c r="BR113" i="4"/>
  <c r="CA113" i="4"/>
  <c r="CJ113" i="4"/>
  <c r="CS113" i="4"/>
  <c r="DB113" i="4"/>
  <c r="DK113" i="4"/>
  <c r="P114" i="4"/>
  <c r="Y114" i="4"/>
  <c r="AH114" i="4"/>
  <c r="AQ114" i="4"/>
  <c r="AZ114" i="4"/>
  <c r="BI114" i="4"/>
  <c r="BR114" i="4"/>
  <c r="CA114" i="4"/>
  <c r="CJ114" i="4"/>
  <c r="CS114" i="4"/>
  <c r="DB114" i="4"/>
  <c r="DK114" i="4"/>
  <c r="P115" i="4"/>
  <c r="Y115" i="4"/>
  <c r="AH115" i="4"/>
  <c r="AQ115" i="4"/>
  <c r="AZ115" i="4"/>
  <c r="BI115" i="4"/>
  <c r="BR115" i="4"/>
  <c r="CA115" i="4"/>
  <c r="CJ115" i="4"/>
  <c r="CS115" i="4"/>
  <c r="DB115" i="4"/>
  <c r="DK115" i="4"/>
  <c r="P116" i="4"/>
  <c r="Y116" i="4"/>
  <c r="AH116" i="4"/>
  <c r="AQ116" i="4"/>
  <c r="AZ116" i="4"/>
  <c r="BI116" i="4"/>
  <c r="BR116" i="4"/>
  <c r="CA116" i="4"/>
  <c r="CJ116" i="4"/>
  <c r="CS116" i="4"/>
  <c r="DB116" i="4"/>
  <c r="DK116" i="4"/>
  <c r="P117" i="4"/>
  <c r="Y117" i="4"/>
  <c r="AH117" i="4"/>
  <c r="AQ117" i="4"/>
  <c r="AZ117" i="4"/>
  <c r="BI117" i="4"/>
  <c r="BR117" i="4"/>
  <c r="CA117" i="4"/>
  <c r="CJ117" i="4"/>
  <c r="CS117" i="4"/>
  <c r="DB117" i="4"/>
  <c r="DK117" i="4"/>
  <c r="P118" i="4"/>
  <c r="Y118" i="4"/>
  <c r="AH118" i="4"/>
  <c r="AQ118" i="4"/>
  <c r="AZ118" i="4"/>
  <c r="BI118" i="4"/>
  <c r="BR118" i="4"/>
  <c r="CA118" i="4"/>
  <c r="CJ118" i="4"/>
  <c r="CS118" i="4"/>
  <c r="DB118" i="4"/>
  <c r="DK118" i="4"/>
  <c r="P119" i="4"/>
  <c r="Y119" i="4"/>
  <c r="AH119" i="4"/>
  <c r="AQ119" i="4"/>
  <c r="AZ119" i="4"/>
  <c r="BI119" i="4"/>
  <c r="BR119" i="4"/>
  <c r="CA119" i="4"/>
  <c r="CJ119" i="4"/>
  <c r="CS119" i="4"/>
  <c r="DB119" i="4"/>
  <c r="DK119" i="4"/>
  <c r="P120" i="4"/>
  <c r="Y120" i="4"/>
  <c r="AH120" i="4"/>
  <c r="AQ120" i="4"/>
  <c r="AZ120" i="4"/>
  <c r="BI120" i="4"/>
  <c r="BR120" i="4"/>
  <c r="CA120" i="4"/>
  <c r="CJ120" i="4"/>
  <c r="CS120" i="4"/>
  <c r="DB120" i="4"/>
  <c r="DK120" i="4"/>
  <c r="P121" i="4"/>
  <c r="Y121" i="4"/>
  <c r="AH121" i="4"/>
  <c r="AQ121" i="4"/>
  <c r="AZ121" i="4"/>
  <c r="BI121" i="4"/>
  <c r="BR121" i="4"/>
  <c r="CA121" i="4"/>
  <c r="CJ121" i="4"/>
  <c r="CS121" i="4"/>
  <c r="DB121" i="4"/>
  <c r="DK121" i="4"/>
  <c r="P122" i="4"/>
  <c r="Y122" i="4"/>
  <c r="AH122" i="4"/>
  <c r="AQ122" i="4"/>
  <c r="AZ122" i="4"/>
  <c r="BI122" i="4"/>
  <c r="BR122" i="4"/>
  <c r="CA122" i="4"/>
  <c r="CJ122" i="4"/>
  <c r="CS122" i="4"/>
  <c r="DB122" i="4"/>
  <c r="DK122" i="4"/>
  <c r="P123" i="4"/>
  <c r="Y123" i="4"/>
  <c r="AH123" i="4"/>
  <c r="AQ123" i="4"/>
  <c r="AZ123" i="4"/>
  <c r="BI123" i="4"/>
  <c r="BR123" i="4"/>
  <c r="CA123" i="4"/>
  <c r="CJ123" i="4"/>
  <c r="CS123" i="4"/>
  <c r="DB123" i="4"/>
  <c r="DK123" i="4"/>
  <c r="P124" i="4"/>
  <c r="Y124" i="4"/>
  <c r="AH124" i="4"/>
  <c r="AQ124" i="4"/>
  <c r="AZ124" i="4"/>
  <c r="BI124" i="4"/>
  <c r="BR124" i="4"/>
  <c r="CA124" i="4"/>
  <c r="CJ124" i="4"/>
  <c r="CS124" i="4"/>
  <c r="DB124" i="4"/>
  <c r="DK124" i="4"/>
  <c r="P125" i="4"/>
  <c r="Y125" i="4"/>
  <c r="AH125" i="4"/>
  <c r="AQ125" i="4"/>
  <c r="AZ125" i="4"/>
  <c r="BI125" i="4"/>
  <c r="BR125" i="4"/>
  <c r="CA125" i="4"/>
  <c r="CJ125" i="4"/>
  <c r="CS125" i="4"/>
  <c r="DB125" i="4"/>
  <c r="DK125" i="4"/>
  <c r="P126" i="4"/>
  <c r="Y126" i="4"/>
  <c r="AH126" i="4"/>
  <c r="AQ126" i="4"/>
  <c r="AZ126" i="4"/>
  <c r="BI126" i="4"/>
  <c r="BR126" i="4"/>
  <c r="CA126" i="4"/>
  <c r="CJ126" i="4"/>
  <c r="CS126" i="4"/>
  <c r="DB126" i="4"/>
  <c r="DK126" i="4"/>
  <c r="P127" i="4"/>
  <c r="Y127" i="4"/>
  <c r="AH127" i="4"/>
  <c r="AQ127" i="4"/>
  <c r="AZ127" i="4"/>
  <c r="BI127" i="4"/>
  <c r="BR127" i="4"/>
  <c r="CA127" i="4"/>
  <c r="CJ127" i="4"/>
  <c r="CS127" i="4"/>
  <c r="DB127" i="4"/>
  <c r="DK127" i="4"/>
  <c r="P128" i="4"/>
  <c r="Y128" i="4"/>
  <c r="AH128" i="4"/>
  <c r="AQ128" i="4"/>
  <c r="AZ128" i="4"/>
  <c r="BI128" i="4"/>
  <c r="BR128" i="4"/>
  <c r="CA128" i="4"/>
  <c r="CJ128" i="4"/>
  <c r="CS128" i="4"/>
  <c r="DB128" i="4"/>
  <c r="DK128" i="4"/>
  <c r="P129" i="4"/>
  <c r="Y129" i="4"/>
  <c r="AH129" i="4"/>
  <c r="AQ129" i="4"/>
  <c r="AZ129" i="4"/>
  <c r="BI129" i="4"/>
  <c r="BR129" i="4"/>
  <c r="CA129" i="4"/>
  <c r="CJ129" i="4"/>
  <c r="CS129" i="4"/>
  <c r="DB129" i="4"/>
  <c r="DK129" i="4"/>
  <c r="P130" i="4"/>
  <c r="Y130" i="4"/>
  <c r="AH130" i="4"/>
  <c r="AQ130" i="4"/>
  <c r="AZ130" i="4"/>
  <c r="BI130" i="4"/>
  <c r="BR130" i="4"/>
  <c r="CA130" i="4"/>
  <c r="CJ130" i="4"/>
  <c r="CS130" i="4"/>
  <c r="DB130" i="4"/>
  <c r="DK130" i="4"/>
  <c r="P131" i="4"/>
  <c r="Y131" i="4"/>
  <c r="AH131" i="4"/>
  <c r="AQ131" i="4"/>
  <c r="AZ131" i="4"/>
  <c r="BI131" i="4"/>
  <c r="BR131" i="4"/>
  <c r="CA131" i="4"/>
  <c r="CJ131" i="4"/>
  <c r="CS131" i="4"/>
  <c r="DB131" i="4"/>
  <c r="DK131" i="4"/>
  <c r="P132" i="4"/>
  <c r="Y132" i="4"/>
  <c r="AH132" i="4"/>
  <c r="AQ132" i="4"/>
  <c r="AZ132" i="4"/>
  <c r="BI132" i="4"/>
  <c r="BR132" i="4"/>
  <c r="CA132" i="4"/>
  <c r="CJ132" i="4"/>
  <c r="CS132" i="4"/>
  <c r="DB132" i="4"/>
  <c r="DK132" i="4"/>
  <c r="P133" i="4"/>
  <c r="Y133" i="4"/>
  <c r="AH133" i="4"/>
  <c r="AQ133" i="4"/>
  <c r="AZ133" i="4"/>
  <c r="BI133" i="4"/>
  <c r="BR133" i="4"/>
  <c r="CA133" i="4"/>
  <c r="CJ133" i="4"/>
  <c r="CS133" i="4"/>
  <c r="DB133" i="4"/>
  <c r="DK133" i="4"/>
  <c r="P134" i="4"/>
  <c r="Y134" i="4"/>
  <c r="AH134" i="4"/>
  <c r="AQ134" i="4"/>
  <c r="AZ134" i="4"/>
  <c r="BI134" i="4"/>
  <c r="BR134" i="4"/>
  <c r="CA134" i="4"/>
  <c r="CJ134" i="4"/>
  <c r="CS134" i="4"/>
  <c r="DB134" i="4"/>
  <c r="DK134" i="4"/>
  <c r="P135" i="4"/>
  <c r="Y135" i="4"/>
  <c r="AH135" i="4"/>
  <c r="AQ135" i="4"/>
  <c r="AZ135" i="4"/>
  <c r="BI135" i="4"/>
  <c r="BR135" i="4"/>
  <c r="CA135" i="4"/>
  <c r="CJ135" i="4"/>
  <c r="CS135" i="4"/>
  <c r="DB135" i="4"/>
  <c r="DK135" i="4"/>
  <c r="P136" i="4"/>
  <c r="Y136" i="4"/>
  <c r="AH136" i="4"/>
  <c r="AQ136" i="4"/>
  <c r="AZ136" i="4"/>
  <c r="BI136" i="4"/>
  <c r="BR136" i="4"/>
  <c r="CA136" i="4"/>
  <c r="CJ136" i="4"/>
  <c r="CS136" i="4"/>
  <c r="DB136" i="4"/>
  <c r="DK136" i="4"/>
  <c r="P137" i="4"/>
  <c r="Y137" i="4"/>
  <c r="AH137" i="4"/>
  <c r="AQ137" i="4"/>
  <c r="AZ137" i="4"/>
  <c r="BI137" i="4"/>
  <c r="BR137" i="4"/>
  <c r="CA137" i="4"/>
  <c r="CJ137" i="4"/>
  <c r="CS137" i="4"/>
  <c r="DB137" i="4"/>
  <c r="DK137" i="4"/>
  <c r="P138" i="4"/>
  <c r="Y138" i="4"/>
  <c r="AH138" i="4"/>
  <c r="AQ138" i="4"/>
  <c r="AZ138" i="4"/>
  <c r="BI138" i="4"/>
  <c r="BR138" i="4"/>
  <c r="CA138" i="4"/>
  <c r="CJ138" i="4"/>
  <c r="CS138" i="4"/>
  <c r="DB138" i="4"/>
  <c r="DK138" i="4"/>
  <c r="P139" i="4"/>
  <c r="Y139" i="4"/>
  <c r="AH139" i="4"/>
  <c r="AQ139" i="4"/>
  <c r="AZ139" i="4"/>
  <c r="BI139" i="4"/>
  <c r="BR139" i="4"/>
  <c r="CA139" i="4"/>
  <c r="CJ139" i="4"/>
  <c r="CS139" i="4"/>
  <c r="DB139" i="4"/>
  <c r="DK139" i="4"/>
  <c r="P140" i="4"/>
  <c r="Y140" i="4"/>
  <c r="AH140" i="4"/>
  <c r="AQ140" i="4"/>
  <c r="AZ140" i="4"/>
  <c r="BI140" i="4"/>
  <c r="BR140" i="4"/>
  <c r="CA140" i="4"/>
  <c r="CJ140" i="4"/>
  <c r="CS140" i="4"/>
  <c r="DB140" i="4"/>
  <c r="DK140" i="4"/>
  <c r="P141" i="4"/>
  <c r="Y141" i="4"/>
  <c r="AH141" i="4"/>
  <c r="AQ141" i="4"/>
  <c r="AZ141" i="4"/>
  <c r="BI141" i="4"/>
  <c r="BR141" i="4"/>
  <c r="CA141" i="4"/>
  <c r="CJ141" i="4"/>
  <c r="CS141" i="4"/>
  <c r="DB141" i="4"/>
  <c r="DK141" i="4"/>
  <c r="P142" i="4"/>
  <c r="Y142" i="4"/>
  <c r="AH142" i="4"/>
  <c r="AQ142" i="4"/>
  <c r="AZ142" i="4"/>
  <c r="BI142" i="4"/>
  <c r="BR142" i="4"/>
  <c r="CA142" i="4"/>
  <c r="CJ142" i="4"/>
  <c r="CS142" i="4"/>
  <c r="DB142" i="4"/>
  <c r="DK142" i="4"/>
  <c r="P143" i="4"/>
  <c r="Y143" i="4"/>
  <c r="AH143" i="4"/>
  <c r="AQ143" i="4"/>
  <c r="AZ143" i="4"/>
  <c r="BI143" i="4"/>
  <c r="BR143" i="4"/>
  <c r="CA143" i="4"/>
  <c r="CJ143" i="4"/>
  <c r="CS143" i="4"/>
  <c r="DB143" i="4"/>
  <c r="DK143" i="4"/>
  <c r="P144" i="4"/>
  <c r="Y144" i="4"/>
  <c r="AH144" i="4"/>
  <c r="AQ144" i="4"/>
  <c r="AZ144" i="4"/>
  <c r="BI144" i="4"/>
  <c r="BR144" i="4"/>
  <c r="CA144" i="4"/>
  <c r="CJ144" i="4"/>
  <c r="CS144" i="4"/>
  <c r="DB144" i="4"/>
  <c r="DK144" i="4"/>
  <c r="P145" i="4"/>
  <c r="Y145" i="4"/>
  <c r="AH145" i="4"/>
  <c r="AQ145" i="4"/>
  <c r="AZ145" i="4"/>
  <c r="BI145" i="4"/>
  <c r="BR145" i="4"/>
  <c r="CA145" i="4"/>
  <c r="CJ145" i="4"/>
  <c r="CS145" i="4"/>
  <c r="DB145" i="4"/>
  <c r="DK145" i="4"/>
  <c r="P146" i="4"/>
  <c r="Y146" i="4"/>
  <c r="AH146" i="4"/>
  <c r="AQ146" i="4"/>
  <c r="AZ146" i="4"/>
  <c r="BI146" i="4"/>
  <c r="BR146" i="4"/>
  <c r="CA146" i="4"/>
  <c r="CJ146" i="4"/>
  <c r="CS146" i="4"/>
  <c r="DB146" i="4"/>
  <c r="DK146" i="4"/>
  <c r="P147" i="4"/>
  <c r="Y147" i="4"/>
  <c r="AH147" i="4"/>
  <c r="AQ147" i="4"/>
  <c r="AZ147" i="4"/>
  <c r="BI147" i="4"/>
  <c r="BR147" i="4"/>
  <c r="CA147" i="4"/>
  <c r="CJ147" i="4"/>
  <c r="CS147" i="4"/>
  <c r="DB147" i="4"/>
  <c r="DK147" i="4"/>
  <c r="P148" i="4"/>
  <c r="Y148" i="4"/>
  <c r="AH148" i="4"/>
  <c r="AQ148" i="4"/>
  <c r="AZ148" i="4"/>
  <c r="BI148" i="4"/>
  <c r="BR148" i="4"/>
  <c r="CA148" i="4"/>
  <c r="CJ148" i="4"/>
  <c r="CS148" i="4"/>
  <c r="DB148" i="4"/>
  <c r="DK148" i="4"/>
  <c r="P149" i="4"/>
  <c r="Y149" i="4"/>
  <c r="AH149" i="4"/>
  <c r="AQ149" i="4"/>
  <c r="AZ149" i="4"/>
  <c r="BI149" i="4"/>
  <c r="BR149" i="4"/>
  <c r="CA149" i="4"/>
  <c r="CJ149" i="4"/>
  <c r="CS149" i="4"/>
  <c r="DB149" i="4"/>
  <c r="DK149" i="4"/>
  <c r="P150" i="4"/>
  <c r="Y150" i="4"/>
  <c r="AH150" i="4"/>
  <c r="AQ150" i="4"/>
  <c r="AZ150" i="4"/>
  <c r="BI150" i="4"/>
  <c r="BR150" i="4"/>
  <c r="CA150" i="4"/>
  <c r="CJ150" i="4"/>
  <c r="CS150" i="4"/>
  <c r="DB150" i="4"/>
  <c r="DK150" i="4"/>
  <c r="P151" i="4"/>
  <c r="Y151" i="4"/>
  <c r="AH151" i="4"/>
  <c r="AQ151" i="4"/>
  <c r="AZ151" i="4"/>
  <c r="BI151" i="4"/>
  <c r="BR151" i="4"/>
  <c r="CA151" i="4"/>
  <c r="CJ151" i="4"/>
  <c r="CS151" i="4"/>
  <c r="DB151" i="4"/>
  <c r="DK151" i="4"/>
  <c r="P152" i="4"/>
  <c r="Y152" i="4"/>
  <c r="AH152" i="4"/>
  <c r="AQ152" i="4"/>
  <c r="AZ152" i="4"/>
  <c r="BI152" i="4"/>
  <c r="BR152" i="4"/>
  <c r="CA152" i="4"/>
  <c r="CJ152" i="4"/>
  <c r="CS152" i="4"/>
  <c r="DB152" i="4"/>
  <c r="DK152" i="4"/>
  <c r="P153" i="4"/>
  <c r="Y153" i="4"/>
  <c r="AH153" i="4"/>
  <c r="AQ153" i="4"/>
  <c r="AZ153" i="4"/>
  <c r="BI153" i="4"/>
  <c r="BR153" i="4"/>
  <c r="CA153" i="4"/>
  <c r="CJ153" i="4"/>
  <c r="CS153" i="4"/>
  <c r="DB153" i="4"/>
  <c r="DK153" i="4"/>
  <c r="P154" i="4"/>
  <c r="Y154" i="4"/>
  <c r="AH154" i="4"/>
  <c r="AQ154" i="4"/>
  <c r="AZ154" i="4"/>
  <c r="BI154" i="4"/>
  <c r="BR154" i="4"/>
  <c r="CA154" i="4"/>
  <c r="CJ154" i="4"/>
  <c r="CS154" i="4"/>
  <c r="DB154" i="4"/>
  <c r="DK154" i="4"/>
  <c r="P155" i="4"/>
  <c r="Y155" i="4"/>
  <c r="AH155" i="4"/>
  <c r="AQ155" i="4"/>
  <c r="AZ155" i="4"/>
  <c r="BI155" i="4"/>
  <c r="BR155" i="4"/>
  <c r="CA155" i="4"/>
  <c r="CJ155" i="4"/>
  <c r="CS155" i="4"/>
  <c r="DB155" i="4"/>
  <c r="DK155" i="4"/>
  <c r="P156" i="4"/>
  <c r="Y156" i="4"/>
  <c r="AH156" i="4"/>
  <c r="AQ156" i="4"/>
  <c r="AZ156" i="4"/>
  <c r="BI156" i="4"/>
  <c r="BR156" i="4"/>
  <c r="CA156" i="4"/>
  <c r="CJ156" i="4"/>
  <c r="CS156" i="4"/>
  <c r="DB156" i="4"/>
  <c r="DK156" i="4"/>
  <c r="P157" i="4"/>
  <c r="Y157" i="4"/>
  <c r="AH157" i="4"/>
  <c r="AQ157" i="4"/>
  <c r="AZ157" i="4"/>
  <c r="BI157" i="4"/>
  <c r="BR157" i="4"/>
  <c r="CA157" i="4"/>
  <c r="CJ157" i="4"/>
  <c r="CS157" i="4"/>
  <c r="DB157" i="4"/>
  <c r="DK157" i="4"/>
  <c r="P158" i="4"/>
  <c r="Y158" i="4"/>
  <c r="AH158" i="4"/>
  <c r="AQ158" i="4"/>
  <c r="AZ158" i="4"/>
  <c r="BI158" i="4"/>
  <c r="BR158" i="4"/>
  <c r="CA158" i="4"/>
  <c r="CJ158" i="4"/>
  <c r="CS158" i="4"/>
  <c r="DB158" i="4"/>
  <c r="DK158" i="4"/>
  <c r="P159" i="4"/>
  <c r="Y159" i="4"/>
  <c r="AH159" i="4"/>
  <c r="AQ159" i="4"/>
  <c r="AZ159" i="4"/>
  <c r="BI159" i="4"/>
  <c r="BR159" i="4"/>
  <c r="CA159" i="4"/>
  <c r="CJ159" i="4"/>
  <c r="CS159" i="4"/>
  <c r="DB159" i="4"/>
  <c r="DK159" i="4"/>
  <c r="P160" i="4"/>
  <c r="Y160" i="4"/>
  <c r="AH160" i="4"/>
  <c r="AQ160" i="4"/>
  <c r="AZ160" i="4"/>
  <c r="BI160" i="4"/>
  <c r="BR160" i="4"/>
  <c r="CA160" i="4"/>
  <c r="CJ160" i="4"/>
  <c r="CS160" i="4"/>
  <c r="DB160" i="4"/>
  <c r="DK160" i="4"/>
  <c r="P161" i="4"/>
  <c r="Y161" i="4"/>
  <c r="AH161" i="4"/>
  <c r="AQ161" i="4"/>
  <c r="AZ161" i="4"/>
  <c r="BI161" i="4"/>
  <c r="BR161" i="4"/>
  <c r="CA161" i="4"/>
  <c r="CJ161" i="4"/>
  <c r="CS161" i="4"/>
  <c r="DB161" i="4"/>
  <c r="DK161" i="4"/>
  <c r="P162" i="4"/>
  <c r="Y162" i="4"/>
  <c r="AH162" i="4"/>
  <c r="AQ162" i="4"/>
  <c r="AZ162" i="4"/>
  <c r="BI162" i="4"/>
  <c r="BR162" i="4"/>
  <c r="CA162" i="4"/>
  <c r="CJ162" i="4"/>
  <c r="CS162" i="4"/>
  <c r="DB162" i="4"/>
  <c r="DK162" i="4"/>
  <c r="P163" i="4"/>
  <c r="Y163" i="4"/>
  <c r="AH163" i="4"/>
  <c r="AQ163" i="4"/>
  <c r="AZ163" i="4"/>
  <c r="BI163" i="4"/>
  <c r="BR163" i="4"/>
  <c r="CA163" i="4"/>
  <c r="CJ163" i="4"/>
  <c r="CS163" i="4"/>
  <c r="DB163" i="4"/>
  <c r="DK163" i="4"/>
  <c r="P164" i="4"/>
  <c r="Y164" i="4"/>
  <c r="AH164" i="4"/>
  <c r="AQ164" i="4"/>
  <c r="AZ164" i="4"/>
  <c r="BI164" i="4"/>
  <c r="BR164" i="4"/>
  <c r="CA164" i="4"/>
  <c r="CJ164" i="4"/>
  <c r="CS164" i="4"/>
  <c r="DB164" i="4"/>
  <c r="DK164" i="4"/>
  <c r="P165" i="4"/>
  <c r="Y165" i="4"/>
  <c r="AH165" i="4"/>
  <c r="AQ165" i="4"/>
  <c r="AZ165" i="4"/>
  <c r="BI165" i="4"/>
  <c r="BR165" i="4"/>
  <c r="CA165" i="4"/>
  <c r="CJ165" i="4"/>
  <c r="CS165" i="4"/>
  <c r="DB165" i="4"/>
  <c r="DK165" i="4"/>
  <c r="P166" i="4"/>
  <c r="Y166" i="4"/>
  <c r="AH166" i="4"/>
  <c r="AQ166" i="4"/>
  <c r="AZ166" i="4"/>
  <c r="BI166" i="4"/>
  <c r="BR166" i="4"/>
  <c r="CA166" i="4"/>
  <c r="CJ166" i="4"/>
  <c r="CS166" i="4"/>
  <c r="DB166" i="4"/>
  <c r="DK166" i="4"/>
  <c r="P167" i="4"/>
  <c r="Y167" i="4"/>
  <c r="AH167" i="4"/>
  <c r="AQ167" i="4"/>
  <c r="AZ167" i="4"/>
  <c r="BI167" i="4"/>
  <c r="BR167" i="4"/>
  <c r="CA167" i="4"/>
  <c r="CJ167" i="4"/>
  <c r="CS167" i="4"/>
  <c r="DB167" i="4"/>
  <c r="DK167" i="4"/>
  <c r="P168" i="4"/>
  <c r="Y168" i="4"/>
  <c r="AH168" i="4"/>
  <c r="AQ168" i="4"/>
  <c r="AZ168" i="4"/>
  <c r="BI168" i="4"/>
  <c r="BR168" i="4"/>
  <c r="CA168" i="4"/>
  <c r="CJ168" i="4"/>
  <c r="CS168" i="4"/>
  <c r="DB168" i="4"/>
  <c r="DK168" i="4"/>
  <c r="P169" i="4"/>
  <c r="Y169" i="4"/>
  <c r="AH169" i="4"/>
  <c r="AQ169" i="4"/>
  <c r="AZ169" i="4"/>
  <c r="BI169" i="4"/>
  <c r="BR169" i="4"/>
  <c r="CA169" i="4"/>
  <c r="CJ169" i="4"/>
  <c r="CS169" i="4"/>
  <c r="DB169" i="4"/>
  <c r="DK169" i="4"/>
  <c r="P170" i="4"/>
  <c r="Y170" i="4"/>
  <c r="AH170" i="4"/>
  <c r="AQ170" i="4"/>
  <c r="AZ170" i="4"/>
  <c r="BI170" i="4"/>
  <c r="BR170" i="4"/>
  <c r="CA170" i="4"/>
  <c r="CJ170" i="4"/>
  <c r="CS170" i="4"/>
  <c r="DB170" i="4"/>
  <c r="DK170" i="4"/>
  <c r="P171" i="4"/>
  <c r="Y171" i="4"/>
  <c r="AH171" i="4"/>
  <c r="AQ171" i="4"/>
  <c r="AZ171" i="4"/>
  <c r="BI171" i="4"/>
  <c r="BR171" i="4"/>
  <c r="CA171" i="4"/>
  <c r="CJ171" i="4"/>
  <c r="CS171" i="4"/>
  <c r="DB171" i="4"/>
  <c r="DK171" i="4"/>
  <c r="P172" i="4"/>
  <c r="Y172" i="4"/>
  <c r="AH172" i="4"/>
  <c r="AQ172" i="4"/>
  <c r="AZ172" i="4"/>
  <c r="BI172" i="4"/>
  <c r="BR172" i="4"/>
  <c r="CA172" i="4"/>
  <c r="CJ172" i="4"/>
  <c r="CS172" i="4"/>
  <c r="DB172" i="4"/>
  <c r="DK172" i="4"/>
  <c r="P173" i="4"/>
  <c r="Y173" i="4"/>
  <c r="AH173" i="4"/>
  <c r="AQ173" i="4"/>
  <c r="AZ173" i="4"/>
  <c r="BI173" i="4"/>
  <c r="BR173" i="4"/>
  <c r="CA173" i="4"/>
  <c r="CJ173" i="4"/>
  <c r="CS173" i="4"/>
  <c r="DB173" i="4"/>
  <c r="DK173" i="4"/>
  <c r="P174" i="4"/>
  <c r="Y174" i="4"/>
  <c r="AH174" i="4"/>
  <c r="AQ174" i="4"/>
  <c r="AZ174" i="4"/>
  <c r="BI174" i="4"/>
  <c r="BR174" i="4"/>
  <c r="CA174" i="4"/>
  <c r="CJ174" i="4"/>
  <c r="CS174" i="4"/>
  <c r="DB174" i="4"/>
  <c r="DK174" i="4"/>
  <c r="P175" i="4"/>
  <c r="Y175" i="4"/>
  <c r="AH175" i="4"/>
  <c r="AQ175" i="4"/>
  <c r="AZ175" i="4"/>
  <c r="BI175" i="4"/>
  <c r="BR175" i="4"/>
  <c r="CA175" i="4"/>
  <c r="CJ175" i="4"/>
  <c r="CS175" i="4"/>
  <c r="DB175" i="4"/>
  <c r="DK175" i="4"/>
  <c r="P176" i="4"/>
  <c r="Y176" i="4"/>
  <c r="AH176" i="4"/>
  <c r="AQ176" i="4"/>
  <c r="AZ176" i="4"/>
  <c r="BI176" i="4"/>
  <c r="BR176" i="4"/>
  <c r="CA176" i="4"/>
  <c r="CJ176" i="4"/>
  <c r="CS176" i="4"/>
  <c r="DB176" i="4"/>
  <c r="DK176" i="4"/>
  <c r="P177" i="4"/>
  <c r="Y177" i="4"/>
  <c r="AH177" i="4"/>
  <c r="AQ177" i="4"/>
  <c r="AZ177" i="4"/>
  <c r="BI177" i="4"/>
  <c r="BR177" i="4"/>
  <c r="CA177" i="4"/>
  <c r="CJ177" i="4"/>
  <c r="CS177" i="4"/>
  <c r="DB177" i="4"/>
  <c r="DK177" i="4"/>
  <c r="P178" i="4"/>
  <c r="Y178" i="4"/>
  <c r="AH178" i="4"/>
  <c r="AQ178" i="4"/>
  <c r="AZ178" i="4"/>
  <c r="BI178" i="4"/>
  <c r="BR178" i="4"/>
  <c r="CA178" i="4"/>
  <c r="CJ178" i="4"/>
  <c r="CS178" i="4"/>
  <c r="DB178" i="4"/>
  <c r="DK178" i="4"/>
  <c r="P179" i="4"/>
  <c r="Y179" i="4"/>
  <c r="AH179" i="4"/>
  <c r="AQ179" i="4"/>
  <c r="AZ179" i="4"/>
  <c r="BI179" i="4"/>
  <c r="BR179" i="4"/>
  <c r="CA179" i="4"/>
  <c r="CJ179" i="4"/>
  <c r="CS179" i="4"/>
  <c r="DB179" i="4"/>
  <c r="DK179" i="4"/>
  <c r="P180" i="4"/>
  <c r="Y180" i="4"/>
  <c r="AH180" i="4"/>
  <c r="AQ180" i="4"/>
  <c r="AZ180" i="4"/>
  <c r="BI180" i="4"/>
  <c r="BR180" i="4"/>
  <c r="CA180" i="4"/>
  <c r="CJ180" i="4"/>
  <c r="CS180" i="4"/>
  <c r="DB180" i="4"/>
  <c r="DK180" i="4"/>
  <c r="P181" i="4"/>
  <c r="Y181" i="4"/>
  <c r="AH181" i="4"/>
  <c r="AQ181" i="4"/>
  <c r="AZ181" i="4"/>
  <c r="BI181" i="4"/>
  <c r="BR181" i="4"/>
  <c r="CA181" i="4"/>
  <c r="CJ181" i="4"/>
  <c r="CS181" i="4"/>
  <c r="DB181" i="4"/>
  <c r="DK181" i="4"/>
  <c r="P182" i="4"/>
  <c r="Y182" i="4"/>
  <c r="AH182" i="4"/>
  <c r="AQ182" i="4"/>
  <c r="AZ182" i="4"/>
  <c r="BI182" i="4"/>
  <c r="BR182" i="4"/>
  <c r="CA182" i="4"/>
  <c r="CJ182" i="4"/>
  <c r="CS182" i="4"/>
  <c r="DB182" i="4"/>
  <c r="DK182" i="4"/>
  <c r="P183" i="4"/>
  <c r="Y183" i="4"/>
  <c r="AH183" i="4"/>
  <c r="AQ183" i="4"/>
  <c r="AZ183" i="4"/>
  <c r="BI183" i="4"/>
  <c r="BR183" i="4"/>
  <c r="CA183" i="4"/>
  <c r="CJ183" i="4"/>
  <c r="CS183" i="4"/>
  <c r="DB183" i="4"/>
  <c r="DK183" i="4"/>
  <c r="P184" i="4"/>
  <c r="Y184" i="4"/>
  <c r="AH184" i="4"/>
  <c r="AQ184" i="4"/>
  <c r="AZ184" i="4"/>
  <c r="BI184" i="4"/>
  <c r="BR184" i="4"/>
  <c r="CA184" i="4"/>
  <c r="CJ184" i="4"/>
  <c r="CS184" i="4"/>
  <c r="DB184" i="4"/>
  <c r="DK184" i="4"/>
  <c r="P185" i="4"/>
  <c r="Y185" i="4"/>
  <c r="AH185" i="4"/>
  <c r="AQ185" i="4"/>
  <c r="AZ185" i="4"/>
  <c r="BI185" i="4"/>
  <c r="BR185" i="4"/>
  <c r="CA185" i="4"/>
  <c r="CJ185" i="4"/>
  <c r="CS185" i="4"/>
  <c r="DB185" i="4"/>
  <c r="DK185" i="4"/>
  <c r="P186" i="4"/>
  <c r="Y186" i="4"/>
  <c r="AH186" i="4"/>
  <c r="AQ186" i="4"/>
  <c r="AZ186" i="4"/>
  <c r="BI186" i="4"/>
  <c r="BR186" i="4"/>
  <c r="CA186" i="4"/>
  <c r="CJ186" i="4"/>
  <c r="CS186" i="4"/>
  <c r="DB186" i="4"/>
  <c r="DK186" i="4"/>
  <c r="P187" i="4"/>
  <c r="Y187" i="4"/>
  <c r="AH187" i="4"/>
  <c r="AQ187" i="4"/>
  <c r="AZ187" i="4"/>
  <c r="BI187" i="4"/>
  <c r="BR187" i="4"/>
  <c r="CA187" i="4"/>
  <c r="CJ187" i="4"/>
  <c r="CS187" i="4"/>
  <c r="DB187" i="4"/>
  <c r="DK187" i="4"/>
  <c r="P188" i="4"/>
  <c r="Y188" i="4"/>
  <c r="AH188" i="4"/>
  <c r="AQ188" i="4"/>
  <c r="AZ188" i="4"/>
  <c r="BI188" i="4"/>
  <c r="BR188" i="4"/>
  <c r="CA188" i="4"/>
  <c r="CJ188" i="4"/>
  <c r="CS188" i="4"/>
  <c r="DB188" i="4"/>
  <c r="DK188" i="4"/>
  <c r="P189" i="4"/>
  <c r="Y189" i="4"/>
  <c r="AH189" i="4"/>
  <c r="AQ189" i="4"/>
  <c r="AZ189" i="4"/>
  <c r="BI189" i="4"/>
  <c r="BR189" i="4"/>
  <c r="CA189" i="4"/>
  <c r="CJ189" i="4"/>
  <c r="CS189" i="4"/>
  <c r="DB189" i="4"/>
  <c r="DK189" i="4"/>
  <c r="P190" i="4"/>
  <c r="Y190" i="4"/>
  <c r="AH190" i="4"/>
  <c r="AQ190" i="4"/>
  <c r="AZ190" i="4"/>
  <c r="BI190" i="4"/>
  <c r="BR190" i="4"/>
  <c r="CA190" i="4"/>
  <c r="CJ190" i="4"/>
  <c r="CS190" i="4"/>
  <c r="DB190" i="4"/>
  <c r="DK190" i="4"/>
  <c r="P191" i="4"/>
  <c r="Y191" i="4"/>
  <c r="AH191" i="4"/>
  <c r="AQ191" i="4"/>
  <c r="AZ191" i="4"/>
  <c r="BI191" i="4"/>
  <c r="BR191" i="4"/>
  <c r="CA191" i="4"/>
  <c r="CJ191" i="4"/>
  <c r="CS191" i="4"/>
  <c r="DB191" i="4"/>
  <c r="DK191" i="4"/>
  <c r="P192" i="4"/>
  <c r="Y192" i="4"/>
  <c r="AH192" i="4"/>
  <c r="AQ192" i="4"/>
  <c r="AZ192" i="4"/>
  <c r="BI192" i="4"/>
  <c r="BR192" i="4"/>
  <c r="CA192" i="4"/>
  <c r="CJ192" i="4"/>
  <c r="CS192" i="4"/>
  <c r="DB192" i="4"/>
  <c r="DK192" i="4"/>
  <c r="P193" i="4"/>
  <c r="Y193" i="4"/>
  <c r="AH193" i="4"/>
  <c r="AQ193" i="4"/>
  <c r="AZ193" i="4"/>
  <c r="BI193" i="4"/>
  <c r="BR193" i="4"/>
  <c r="CA193" i="4"/>
  <c r="CJ193" i="4"/>
  <c r="CS193" i="4"/>
  <c r="DB193" i="4"/>
  <c r="DK193" i="4"/>
  <c r="P194" i="4"/>
  <c r="Y194" i="4"/>
  <c r="AH194" i="4"/>
  <c r="AQ194" i="4"/>
  <c r="AZ194" i="4"/>
  <c r="BI194" i="4"/>
  <c r="BR194" i="4"/>
  <c r="CA194" i="4"/>
  <c r="CJ194" i="4"/>
  <c r="CS194" i="4"/>
  <c r="DB194" i="4"/>
  <c r="DK194" i="4"/>
  <c r="P195" i="4"/>
  <c r="Y195" i="4"/>
  <c r="AH195" i="4"/>
  <c r="AQ195" i="4"/>
  <c r="AZ195" i="4"/>
  <c r="BI195" i="4"/>
  <c r="BR195" i="4"/>
  <c r="CA195" i="4"/>
  <c r="CJ195" i="4"/>
  <c r="CS195" i="4"/>
  <c r="DB195" i="4"/>
  <c r="DK195" i="4"/>
  <c r="P196" i="4"/>
  <c r="Y196" i="4"/>
  <c r="AH196" i="4"/>
  <c r="AQ196" i="4"/>
  <c r="AZ196" i="4"/>
  <c r="BI196" i="4"/>
  <c r="BR196" i="4"/>
  <c r="CA196" i="4"/>
  <c r="CJ196" i="4"/>
  <c r="CS196" i="4"/>
  <c r="DB196" i="4"/>
  <c r="DK196" i="4"/>
  <c r="P197" i="4"/>
  <c r="Y197" i="4"/>
  <c r="AH197" i="4"/>
  <c r="AQ197" i="4"/>
  <c r="AZ197" i="4"/>
  <c r="BI197" i="4"/>
  <c r="BR197" i="4"/>
  <c r="CA197" i="4"/>
  <c r="CJ197" i="4"/>
  <c r="CS197" i="4"/>
  <c r="DB197" i="4"/>
  <c r="DK197" i="4"/>
  <c r="P198" i="4"/>
  <c r="Y198" i="4"/>
  <c r="AH198" i="4"/>
  <c r="AQ198" i="4"/>
  <c r="AZ198" i="4"/>
  <c r="BI198" i="4"/>
  <c r="BR198" i="4"/>
  <c r="CA198" i="4"/>
  <c r="CJ198" i="4"/>
  <c r="CS198" i="4"/>
  <c r="DB198" i="4"/>
  <c r="DK198" i="4"/>
  <c r="P199" i="4"/>
  <c r="Y199" i="4"/>
  <c r="AH199" i="4"/>
  <c r="AQ199" i="4"/>
  <c r="AZ199" i="4"/>
  <c r="BI199" i="4"/>
  <c r="BR199" i="4"/>
  <c r="CA199" i="4"/>
  <c r="CJ199" i="4"/>
  <c r="CS199" i="4"/>
  <c r="DB199" i="4"/>
  <c r="DK199" i="4"/>
  <c r="P200" i="4"/>
  <c r="Y200" i="4"/>
  <c r="AH200" i="4"/>
  <c r="AQ200" i="4"/>
  <c r="AZ200" i="4"/>
  <c r="BI200" i="4"/>
  <c r="BR200" i="4"/>
  <c r="CA200" i="4"/>
  <c r="CJ200" i="4"/>
  <c r="CS200" i="4"/>
  <c r="DB200" i="4"/>
  <c r="DK200" i="4"/>
  <c r="P201" i="4"/>
  <c r="Y201" i="4"/>
  <c r="AH201" i="4"/>
  <c r="AQ201" i="4"/>
  <c r="AZ201" i="4"/>
  <c r="BI201" i="4"/>
  <c r="BR201" i="4"/>
  <c r="CA201" i="4"/>
  <c r="CJ201" i="4"/>
  <c r="CS201" i="4"/>
  <c r="DB201" i="4"/>
  <c r="DK201" i="4"/>
  <c r="P202" i="4"/>
  <c r="Y202" i="4"/>
  <c r="AH202" i="4"/>
  <c r="AQ202" i="4"/>
  <c r="AZ202" i="4"/>
  <c r="BI202" i="4"/>
  <c r="BR202" i="4"/>
  <c r="CA202" i="4"/>
  <c r="CJ202" i="4"/>
  <c r="CS202" i="4"/>
  <c r="DB202" i="4"/>
  <c r="DK202" i="4"/>
  <c r="P203" i="4"/>
  <c r="Y203" i="4"/>
  <c r="AH203" i="4"/>
  <c r="AQ203" i="4"/>
  <c r="AZ203" i="4"/>
  <c r="BI203" i="4"/>
  <c r="BR203" i="4"/>
  <c r="CA203" i="4"/>
  <c r="CJ203" i="4"/>
  <c r="CS203" i="4"/>
  <c r="DB203" i="4"/>
  <c r="DK203" i="4"/>
  <c r="P204" i="4"/>
  <c r="Y204" i="4"/>
  <c r="AH204" i="4"/>
  <c r="AQ204" i="4"/>
  <c r="AZ204" i="4"/>
  <c r="BI204" i="4"/>
  <c r="BR204" i="4"/>
  <c r="CA204" i="4"/>
  <c r="CJ204" i="4"/>
  <c r="CS204" i="4"/>
  <c r="DB204" i="4"/>
  <c r="DK204" i="4"/>
  <c r="P205" i="4"/>
  <c r="Y205" i="4"/>
  <c r="AH205" i="4"/>
  <c r="AQ205" i="4"/>
  <c r="AZ205" i="4"/>
  <c r="BI205" i="4"/>
  <c r="BR205" i="4"/>
  <c r="CA205" i="4"/>
  <c r="CJ205" i="4"/>
  <c r="CS205" i="4"/>
  <c r="DB205" i="4"/>
  <c r="DK205" i="4"/>
  <c r="P206" i="4"/>
  <c r="Y206" i="4"/>
  <c r="AH206" i="4"/>
  <c r="AQ206" i="4"/>
  <c r="AZ206" i="4"/>
  <c r="BI206" i="4"/>
  <c r="BR206" i="4"/>
  <c r="CA206" i="4"/>
  <c r="CJ206" i="4"/>
  <c r="CS206" i="4"/>
  <c r="DB206" i="4"/>
  <c r="DK206" i="4"/>
  <c r="P207" i="4"/>
  <c r="Y207" i="4"/>
  <c r="AH207" i="4"/>
  <c r="AQ207" i="4"/>
  <c r="AZ207" i="4"/>
  <c r="BI207" i="4"/>
  <c r="BR207" i="4"/>
  <c r="CA207" i="4"/>
  <c r="CJ207" i="4"/>
  <c r="CS207" i="4"/>
  <c r="DB207" i="4"/>
  <c r="DK207" i="4"/>
  <c r="P208" i="4"/>
  <c r="Y208" i="4"/>
  <c r="AH208" i="4"/>
  <c r="AQ208" i="4"/>
  <c r="AZ208" i="4"/>
  <c r="BI208" i="4"/>
  <c r="BR208" i="4"/>
  <c r="CA208" i="4"/>
  <c r="CJ208" i="4"/>
  <c r="CS208" i="4"/>
  <c r="DB208" i="4"/>
  <c r="DK208" i="4"/>
  <c r="P209" i="4"/>
  <c r="Y209" i="4"/>
  <c r="AH209" i="4"/>
  <c r="AQ209" i="4"/>
  <c r="AZ209" i="4"/>
  <c r="BI209" i="4"/>
  <c r="BR209" i="4"/>
  <c r="CA209" i="4"/>
  <c r="CJ209" i="4"/>
  <c r="CS209" i="4"/>
  <c r="DB209" i="4"/>
  <c r="DK209" i="4"/>
  <c r="P210" i="4"/>
  <c r="Y210" i="4"/>
  <c r="AH210" i="4"/>
  <c r="AQ210" i="4"/>
  <c r="AZ210" i="4"/>
  <c r="BI210" i="4"/>
  <c r="BR210" i="4"/>
  <c r="CA210" i="4"/>
  <c r="CJ210" i="4"/>
  <c r="CS210" i="4"/>
  <c r="DB210" i="4"/>
  <c r="DK210" i="4"/>
  <c r="P211" i="4"/>
  <c r="Y211" i="4"/>
  <c r="AH211" i="4"/>
  <c r="AQ211" i="4"/>
  <c r="AZ211" i="4"/>
  <c r="BI211" i="4"/>
  <c r="BR211" i="4"/>
  <c r="CA211" i="4"/>
  <c r="CJ211" i="4"/>
  <c r="CS211" i="4"/>
  <c r="DB211" i="4"/>
  <c r="DK211" i="4"/>
  <c r="P212" i="4"/>
  <c r="Y212" i="4"/>
  <c r="AH212" i="4"/>
  <c r="AQ212" i="4"/>
  <c r="AZ212" i="4"/>
  <c r="BI212" i="4"/>
  <c r="BR212" i="4"/>
  <c r="CA212" i="4"/>
  <c r="CJ212" i="4"/>
  <c r="CS212" i="4"/>
  <c r="DB212" i="4"/>
  <c r="DK212" i="4"/>
  <c r="P213" i="4"/>
  <c r="Y213" i="4"/>
  <c r="AH213" i="4"/>
  <c r="AQ213" i="4"/>
  <c r="AZ213" i="4"/>
  <c r="BI213" i="4"/>
  <c r="BR213" i="4"/>
  <c r="CA213" i="4"/>
  <c r="CJ213" i="4"/>
  <c r="CS213" i="4"/>
  <c r="DB213" i="4"/>
  <c r="DK213" i="4"/>
  <c r="P214" i="4"/>
  <c r="Y214" i="4"/>
  <c r="AH214" i="4"/>
  <c r="AQ214" i="4"/>
  <c r="AZ214" i="4"/>
  <c r="BI214" i="4"/>
  <c r="BR214" i="4"/>
  <c r="CA214" i="4"/>
  <c r="CJ214" i="4"/>
  <c r="CS214" i="4"/>
  <c r="DB214" i="4"/>
  <c r="DK214" i="4"/>
  <c r="P215" i="4"/>
  <c r="Y215" i="4"/>
  <c r="AH215" i="4"/>
  <c r="AQ215" i="4"/>
  <c r="AZ215" i="4"/>
  <c r="BI215" i="4"/>
  <c r="BR215" i="4"/>
  <c r="CA215" i="4"/>
  <c r="CJ215" i="4"/>
  <c r="CS215" i="4"/>
  <c r="DB215" i="4"/>
  <c r="DK215" i="4"/>
  <c r="P216" i="4"/>
  <c r="Y216" i="4"/>
  <c r="AH216" i="4"/>
  <c r="AQ216" i="4"/>
  <c r="AZ216" i="4"/>
  <c r="BI216" i="4"/>
  <c r="BR216" i="4"/>
  <c r="CA216" i="4"/>
  <c r="CJ216" i="4"/>
  <c r="CS216" i="4"/>
  <c r="DB216" i="4"/>
  <c r="DK216" i="4"/>
  <c r="P217" i="4"/>
  <c r="Y217" i="4"/>
  <c r="AH217" i="4"/>
  <c r="AQ217" i="4"/>
  <c r="AZ217" i="4"/>
  <c r="BI217" i="4"/>
  <c r="BR217" i="4"/>
  <c r="CA217" i="4"/>
  <c r="CJ217" i="4"/>
  <c r="CS217" i="4"/>
  <c r="DB217" i="4"/>
  <c r="DK217" i="4"/>
  <c r="P218" i="4"/>
  <c r="Y218" i="4"/>
  <c r="AH218" i="4"/>
  <c r="AQ218" i="4"/>
  <c r="AZ218" i="4"/>
  <c r="BI218" i="4"/>
  <c r="BR218" i="4"/>
  <c r="CA218" i="4"/>
  <c r="CJ218" i="4"/>
  <c r="CS218" i="4"/>
  <c r="DB218" i="4"/>
  <c r="DK218" i="4"/>
  <c r="P219" i="4"/>
  <c r="Y219" i="4"/>
  <c r="AH219" i="4"/>
  <c r="AQ219" i="4"/>
  <c r="AZ219" i="4"/>
  <c r="BI219" i="4"/>
  <c r="BR219" i="4"/>
  <c r="CA219" i="4"/>
  <c r="CJ219" i="4"/>
  <c r="CS219" i="4"/>
  <c r="DB219" i="4"/>
  <c r="DK219" i="4"/>
  <c r="P220" i="4"/>
  <c r="Y220" i="4"/>
  <c r="AH220" i="4"/>
  <c r="AQ220" i="4"/>
  <c r="AZ220" i="4"/>
  <c r="BI220" i="4"/>
  <c r="BR220" i="4"/>
  <c r="CA220" i="4"/>
  <c r="CJ220" i="4"/>
  <c r="CS220" i="4"/>
  <c r="DB220" i="4"/>
  <c r="DK220" i="4"/>
  <c r="P221" i="4"/>
  <c r="Y221" i="4"/>
  <c r="AH221" i="4"/>
  <c r="AQ221" i="4"/>
  <c r="AZ221" i="4"/>
  <c r="BI221" i="4"/>
  <c r="BR221" i="4"/>
  <c r="CA221" i="4"/>
  <c r="CJ221" i="4"/>
  <c r="CS221" i="4"/>
  <c r="DB221" i="4"/>
  <c r="DK221" i="4"/>
  <c r="P222" i="4"/>
  <c r="Y222" i="4"/>
  <c r="AH222" i="4"/>
  <c r="AQ222" i="4"/>
  <c r="AZ222" i="4"/>
  <c r="BI222" i="4"/>
  <c r="BR222" i="4"/>
  <c r="CA222" i="4"/>
  <c r="CJ222" i="4"/>
  <c r="CS222" i="4"/>
  <c r="DB222" i="4"/>
  <c r="DK222" i="4"/>
  <c r="P223" i="4"/>
  <c r="Y223" i="4"/>
  <c r="AH223" i="4"/>
  <c r="AQ223" i="4"/>
  <c r="AZ223" i="4"/>
  <c r="BI223" i="4"/>
  <c r="BR223" i="4"/>
  <c r="CA223" i="4"/>
  <c r="CJ223" i="4"/>
  <c r="CS223" i="4"/>
  <c r="DB223" i="4"/>
  <c r="DK223" i="4"/>
  <c r="P224" i="4"/>
  <c r="Y224" i="4"/>
  <c r="AH224" i="4"/>
  <c r="AQ224" i="4"/>
  <c r="AZ224" i="4"/>
  <c r="BI224" i="4"/>
  <c r="BR224" i="4"/>
  <c r="CA224" i="4"/>
  <c r="CJ224" i="4"/>
  <c r="CS224" i="4"/>
  <c r="DB224" i="4"/>
  <c r="DK224" i="4"/>
  <c r="P225" i="4"/>
  <c r="Y225" i="4"/>
  <c r="AH225" i="4"/>
  <c r="AQ225" i="4"/>
  <c r="AZ225" i="4"/>
  <c r="BI225" i="4"/>
  <c r="BR225" i="4"/>
  <c r="CA225" i="4"/>
  <c r="CJ225" i="4"/>
  <c r="CS225" i="4"/>
  <c r="DB225" i="4"/>
  <c r="DK225" i="4"/>
  <c r="P226" i="4"/>
  <c r="Y226" i="4"/>
  <c r="AH226" i="4"/>
  <c r="AQ226" i="4"/>
  <c r="AZ226" i="4"/>
  <c r="BI226" i="4"/>
  <c r="BR226" i="4"/>
  <c r="CA226" i="4"/>
  <c r="CJ226" i="4"/>
  <c r="CS226" i="4"/>
  <c r="DB226" i="4"/>
  <c r="DK226" i="4"/>
  <c r="P227" i="4"/>
  <c r="Y227" i="4"/>
  <c r="AH227" i="4"/>
  <c r="AQ227" i="4"/>
  <c r="AZ227" i="4"/>
  <c r="BI227" i="4"/>
  <c r="BR227" i="4"/>
  <c r="CA227" i="4"/>
  <c r="CJ227" i="4"/>
  <c r="CS227" i="4"/>
  <c r="DB227" i="4"/>
  <c r="DK227" i="4"/>
  <c r="P228" i="4"/>
  <c r="Y228" i="4"/>
  <c r="AH228" i="4"/>
  <c r="AQ228" i="4"/>
  <c r="AZ228" i="4"/>
  <c r="BI228" i="4"/>
  <c r="BR228" i="4"/>
  <c r="CA228" i="4"/>
  <c r="CJ228" i="4"/>
  <c r="CS228" i="4"/>
  <c r="DB228" i="4"/>
  <c r="DK228" i="4"/>
  <c r="P229" i="4"/>
  <c r="Y229" i="4"/>
  <c r="AH229" i="4"/>
  <c r="AQ229" i="4"/>
  <c r="AZ229" i="4"/>
  <c r="BI229" i="4"/>
  <c r="BR229" i="4"/>
  <c r="CA229" i="4"/>
  <c r="CJ229" i="4"/>
  <c r="CS229" i="4"/>
  <c r="DB229" i="4"/>
  <c r="DK229" i="4"/>
  <c r="P230" i="4"/>
  <c r="Y230" i="4"/>
  <c r="AH230" i="4"/>
  <c r="AQ230" i="4"/>
  <c r="AZ230" i="4"/>
  <c r="BI230" i="4"/>
  <c r="BR230" i="4"/>
  <c r="CA230" i="4"/>
  <c r="CJ230" i="4"/>
  <c r="CS230" i="4"/>
  <c r="DB230" i="4"/>
  <c r="DK230" i="4"/>
  <c r="P231" i="4"/>
  <c r="Y231" i="4"/>
  <c r="AH231" i="4"/>
  <c r="AQ231" i="4"/>
  <c r="AZ231" i="4"/>
  <c r="BI231" i="4"/>
  <c r="BR231" i="4"/>
  <c r="CA231" i="4"/>
  <c r="CJ231" i="4"/>
  <c r="CS231" i="4"/>
  <c r="DB231" i="4"/>
  <c r="DK231" i="4"/>
  <c r="P232" i="4"/>
  <c r="Y232" i="4"/>
  <c r="AH232" i="4"/>
  <c r="AQ232" i="4"/>
  <c r="AZ232" i="4"/>
  <c r="BI232" i="4"/>
  <c r="BR232" i="4"/>
  <c r="CA232" i="4"/>
  <c r="CJ232" i="4"/>
  <c r="CS232" i="4"/>
  <c r="DB232" i="4"/>
  <c r="DK232" i="4"/>
  <c r="P233" i="4"/>
  <c r="Y233" i="4"/>
  <c r="AH233" i="4"/>
  <c r="AQ233" i="4"/>
  <c r="AZ233" i="4"/>
  <c r="BI233" i="4"/>
  <c r="BR233" i="4"/>
  <c r="CA233" i="4"/>
  <c r="CJ233" i="4"/>
  <c r="CS233" i="4"/>
  <c r="DB233" i="4"/>
  <c r="DK233" i="4"/>
  <c r="P234" i="4"/>
  <c r="Y234" i="4"/>
  <c r="AH234" i="4"/>
  <c r="AQ234" i="4"/>
  <c r="AZ234" i="4"/>
  <c r="BI234" i="4"/>
  <c r="BR234" i="4"/>
  <c r="CA234" i="4"/>
  <c r="CJ234" i="4"/>
  <c r="CS234" i="4"/>
  <c r="DB234" i="4"/>
  <c r="DK234" i="4"/>
  <c r="P235" i="4"/>
  <c r="Y235" i="4"/>
  <c r="AH235" i="4"/>
  <c r="AQ235" i="4"/>
  <c r="AZ235" i="4"/>
  <c r="BI235" i="4"/>
  <c r="BR235" i="4"/>
  <c r="CA235" i="4"/>
  <c r="CJ235" i="4"/>
  <c r="CS235" i="4"/>
  <c r="DB235" i="4"/>
  <c r="DK235" i="4"/>
  <c r="P236" i="4"/>
  <c r="Y236" i="4"/>
  <c r="AH236" i="4"/>
  <c r="AQ236" i="4"/>
  <c r="AZ236" i="4"/>
  <c r="BI236" i="4"/>
  <c r="BR236" i="4"/>
  <c r="CA236" i="4"/>
  <c r="CJ236" i="4"/>
  <c r="CS236" i="4"/>
  <c r="DB236" i="4"/>
  <c r="DK236" i="4"/>
  <c r="P237" i="4"/>
  <c r="Y237" i="4"/>
  <c r="AH237" i="4"/>
  <c r="AQ237" i="4"/>
  <c r="AZ237" i="4"/>
  <c r="BI237" i="4"/>
  <c r="BR237" i="4"/>
  <c r="CA237" i="4"/>
  <c r="CJ237" i="4"/>
  <c r="CS237" i="4"/>
  <c r="DB237" i="4"/>
  <c r="DK237" i="4"/>
  <c r="P238" i="4"/>
  <c r="Y238" i="4"/>
  <c r="AH238" i="4"/>
  <c r="AQ238" i="4"/>
  <c r="AZ238" i="4"/>
  <c r="BI238" i="4"/>
  <c r="BR238" i="4"/>
  <c r="CA238" i="4"/>
  <c r="CJ238" i="4"/>
  <c r="CS238" i="4"/>
  <c r="DB238" i="4"/>
  <c r="DK238" i="4"/>
  <c r="P239" i="4"/>
  <c r="Y239" i="4"/>
  <c r="AH239" i="4"/>
  <c r="AQ239" i="4"/>
  <c r="AZ239" i="4"/>
  <c r="BI239" i="4"/>
  <c r="BR239" i="4"/>
  <c r="CA239" i="4"/>
  <c r="CJ239" i="4"/>
  <c r="CS239" i="4"/>
  <c r="DB239" i="4"/>
  <c r="DK239" i="4"/>
  <c r="P240" i="4"/>
  <c r="Y240" i="4"/>
  <c r="AH240" i="4"/>
  <c r="AQ240" i="4"/>
  <c r="AZ240" i="4"/>
  <c r="BI240" i="4"/>
  <c r="BR240" i="4"/>
  <c r="CA240" i="4"/>
  <c r="CJ240" i="4"/>
  <c r="CS240" i="4"/>
  <c r="DB240" i="4"/>
  <c r="DK240" i="4"/>
  <c r="P241" i="4"/>
  <c r="Y241" i="4"/>
  <c r="AH241" i="4"/>
  <c r="AQ241" i="4"/>
  <c r="AZ241" i="4"/>
  <c r="BI241" i="4"/>
  <c r="BR241" i="4"/>
  <c r="CA241" i="4"/>
  <c r="CJ241" i="4"/>
  <c r="CS241" i="4"/>
  <c r="DB241" i="4"/>
  <c r="DK241" i="4"/>
  <c r="P242" i="4"/>
  <c r="Y242" i="4"/>
  <c r="AH242" i="4"/>
  <c r="AQ242" i="4"/>
  <c r="AZ242" i="4"/>
  <c r="BI242" i="4"/>
  <c r="BR242" i="4"/>
  <c r="CA242" i="4"/>
  <c r="CJ242" i="4"/>
  <c r="CS242" i="4"/>
  <c r="DB242" i="4"/>
  <c r="DK242" i="4"/>
  <c r="P243" i="4"/>
  <c r="Y243" i="4"/>
  <c r="AH243" i="4"/>
  <c r="AQ243" i="4"/>
  <c r="AZ243" i="4"/>
  <c r="BI243" i="4"/>
  <c r="BR243" i="4"/>
  <c r="CA243" i="4"/>
  <c r="CJ243" i="4"/>
  <c r="CS243" i="4"/>
  <c r="DB243" i="4"/>
  <c r="DK243" i="4"/>
  <c r="P244" i="4"/>
  <c r="Y244" i="4"/>
  <c r="AH244" i="4"/>
  <c r="AQ244" i="4"/>
  <c r="AZ244" i="4"/>
  <c r="BI244" i="4"/>
  <c r="BR244" i="4"/>
  <c r="CA244" i="4"/>
  <c r="CJ244" i="4"/>
  <c r="CS244" i="4"/>
  <c r="DB244" i="4"/>
  <c r="DK244" i="4"/>
  <c r="P245" i="4"/>
  <c r="Y245" i="4"/>
  <c r="AH245" i="4"/>
  <c r="AQ245" i="4"/>
  <c r="AZ245" i="4"/>
  <c r="BI245" i="4"/>
  <c r="BR245" i="4"/>
  <c r="CA245" i="4"/>
  <c r="CJ245" i="4"/>
  <c r="CS245" i="4"/>
  <c r="DB245" i="4"/>
  <c r="DK24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DJ6" i="4"/>
  <c r="DK6" i="4"/>
  <c r="DL5" i="4"/>
  <c r="DM5" i="4"/>
  <c r="DA6" i="4"/>
  <c r="DB6" i="4"/>
  <c r="DC5" i="4"/>
  <c r="DD5" i="4"/>
  <c r="CR6" i="4"/>
  <c r="CS6" i="4"/>
  <c r="CT5" i="4"/>
  <c r="CU5" i="4"/>
  <c r="CI6" i="4"/>
  <c r="CJ6" i="4"/>
  <c r="CK5" i="4"/>
  <c r="CL5" i="4"/>
  <c r="BZ6" i="4"/>
  <c r="CA6" i="4"/>
  <c r="CB5" i="4"/>
  <c r="CC5" i="4"/>
  <c r="BQ6" i="4"/>
  <c r="BR6" i="4"/>
  <c r="BS5" i="4"/>
  <c r="BT5" i="4"/>
  <c r="BH6" i="4"/>
  <c r="BI6" i="4"/>
  <c r="BJ5" i="4"/>
  <c r="BK5" i="4"/>
  <c r="AY6" i="4"/>
  <c r="AZ6" i="4"/>
  <c r="BA5" i="4"/>
  <c r="BB5" i="4"/>
  <c r="AP6" i="4"/>
  <c r="AQ6" i="4"/>
  <c r="AR5" i="4"/>
  <c r="AS5" i="4"/>
  <c r="AG6" i="4"/>
  <c r="AH6" i="4"/>
  <c r="AI5" i="4"/>
  <c r="AJ5" i="4"/>
  <c r="X6" i="4"/>
  <c r="Y6" i="4"/>
  <c r="Z5" i="4"/>
  <c r="AA5" i="4"/>
  <c r="O6" i="4"/>
  <c r="P6" i="4"/>
  <c r="Q5" i="4"/>
  <c r="R5" i="4"/>
  <c r="B5" i="4"/>
  <c r="B67" i="3"/>
  <c r="E61" i="3" a="1"/>
  <c r="E61" i="3" s="1"/>
  <c r="E60" i="3" a="1"/>
  <c r="E60" i="3" s="1"/>
  <c r="E59" i="3" a="1"/>
  <c r="E59" i="3" s="1"/>
  <c r="E58" i="3" a="1"/>
  <c r="E58" i="3" s="1"/>
  <c r="E57" i="3" a="1"/>
  <c r="E57" i="3" s="1"/>
  <c r="E56" i="3" a="1"/>
  <c r="E56" i="3" s="1"/>
  <c r="E52" i="3" a="1"/>
  <c r="E52" i="3" s="1"/>
  <c r="D45" i="3"/>
  <c r="C45" i="3"/>
  <c r="B45" i="3"/>
  <c r="E43" i="3" a="1"/>
  <c r="E43" i="3" s="1"/>
  <c r="D8" i="8" s="1"/>
  <c r="D42" i="3"/>
  <c r="C42" i="3"/>
  <c r="B42" i="3"/>
  <c r="E41" i="3" a="1"/>
  <c r="E41" i="3" s="1"/>
  <c r="E40" i="3"/>
  <c r="E50" i="3" s="1" a="1"/>
  <c r="E50" i="3" s="1"/>
  <c r="D35" i="3"/>
  <c r="C35" i="3"/>
  <c r="B35" i="3"/>
  <c r="D34" i="3"/>
  <c r="C34" i="3"/>
  <c r="B34" i="3"/>
  <c r="D32" i="3"/>
  <c r="C32" i="3"/>
  <c r="B32" i="3"/>
  <c r="D23" i="3"/>
  <c r="C23" i="3"/>
  <c r="B23" i="3"/>
  <c r="D22" i="3"/>
  <c r="C22" i="3"/>
  <c r="B22" i="3"/>
  <c r="D21" i="3"/>
  <c r="C21" i="3"/>
  <c r="B21" i="3"/>
  <c r="D19" i="3"/>
  <c r="C19" i="3"/>
  <c r="B19" i="3"/>
  <c r="D13" i="3"/>
  <c r="C13" i="3"/>
  <c r="B13" i="3"/>
  <c r="D12" i="3"/>
  <c r="C12" i="3"/>
  <c r="B12" i="3"/>
  <c r="D10" i="3"/>
  <c r="C10" i="3"/>
  <c r="B10" i="3"/>
  <c r="S7" i="7" l="1"/>
  <c r="S23" i="7"/>
  <c r="F30" i="4"/>
  <c r="F238" i="4"/>
  <c r="F59" i="4"/>
  <c r="F156" i="4"/>
  <c r="F96" i="4"/>
  <c r="F225" i="4"/>
  <c r="F133" i="4"/>
  <c r="F169" i="4"/>
  <c r="F219" i="4"/>
  <c r="F241" i="4"/>
  <c r="F171" i="4"/>
  <c r="F222" i="4"/>
  <c r="F174" i="4"/>
  <c r="F45" i="4"/>
  <c r="F62" i="4"/>
  <c r="F178" i="4"/>
  <c r="F203" i="4"/>
  <c r="F227" i="4"/>
  <c r="F143" i="4"/>
  <c r="F20" i="4"/>
  <c r="F85" i="4"/>
  <c r="F113" i="4"/>
  <c r="F139" i="4"/>
  <c r="F217" i="4"/>
  <c r="F224" i="4"/>
  <c r="S24" i="7"/>
  <c r="E55" i="3" a="1"/>
  <c r="E55" i="3" s="1"/>
  <c r="Q5" i="7"/>
  <c r="E46" i="3" a="1"/>
  <c r="E46" i="3" s="1"/>
  <c r="E62" i="3" a="1"/>
  <c r="E62" i="3" s="1"/>
  <c r="E47" i="3" a="1"/>
  <c r="E47" i="3" s="1"/>
  <c r="E63" i="3" a="1"/>
  <c r="E63" i="3" s="1"/>
  <c r="I43" i="4" s="1"/>
  <c r="S16" i="7"/>
  <c r="S12" i="7"/>
  <c r="S5" i="7"/>
  <c r="E48" i="3" a="1"/>
  <c r="E48" i="3" s="1"/>
  <c r="F180" i="4" s="1"/>
  <c r="E64" i="3" a="1"/>
  <c r="E64" i="3" s="1"/>
  <c r="I55" i="4" s="1"/>
  <c r="E49" i="3" a="1"/>
  <c r="E49" i="3" s="1"/>
  <c r="F97" i="4" s="1"/>
  <c r="T28" i="7"/>
  <c r="Q12" i="7"/>
  <c r="R12" i="7" s="1"/>
  <c r="D171" i="4"/>
  <c r="D219" i="4"/>
  <c r="D105" i="4"/>
  <c r="D185" i="4"/>
  <c r="D222" i="4"/>
  <c r="T5" i="7"/>
  <c r="F209" i="4"/>
  <c r="F109" i="4"/>
  <c r="F103" i="4"/>
  <c r="F208" i="4"/>
  <c r="F194" i="4"/>
  <c r="F168" i="4"/>
  <c r="C185" i="4"/>
  <c r="C171" i="4"/>
  <c r="C165" i="4"/>
  <c r="F243" i="4"/>
  <c r="F185" i="4"/>
  <c r="F158" i="4"/>
  <c r="F144" i="4"/>
  <c r="F138" i="4"/>
  <c r="F135" i="4"/>
  <c r="F111" i="4"/>
  <c r="Q30" i="7"/>
  <c r="R30" i="7" s="1"/>
  <c r="I199" i="4"/>
  <c r="F108" i="4"/>
  <c r="I98" i="4"/>
  <c r="F29" i="4"/>
  <c r="I38" i="4"/>
  <c r="I119" i="4"/>
  <c r="I156" i="4"/>
  <c r="I153" i="4"/>
  <c r="I179" i="4"/>
  <c r="I181" i="4"/>
  <c r="I204" i="4"/>
  <c r="I200" i="4"/>
  <c r="I48" i="4"/>
  <c r="I19" i="4"/>
  <c r="I76" i="4"/>
  <c r="I28" i="4"/>
  <c r="I62" i="4"/>
  <c r="I106" i="4"/>
  <c r="I125" i="4"/>
  <c r="I167" i="4"/>
  <c r="I107" i="4"/>
  <c r="I172" i="4"/>
  <c r="I184" i="4"/>
  <c r="I127" i="4"/>
  <c r="I101" i="4"/>
  <c r="F95" i="4"/>
  <c r="F90" i="4"/>
  <c r="F74" i="4"/>
  <c r="F16" i="4"/>
  <c r="F24" i="4"/>
  <c r="F26" i="4"/>
  <c r="F34" i="4"/>
  <c r="F41" i="4"/>
  <c r="F25" i="4"/>
  <c r="F44" i="4"/>
  <c r="F141" i="4"/>
  <c r="F173" i="4"/>
  <c r="F175" i="4"/>
  <c r="F179" i="4"/>
  <c r="F191" i="4"/>
  <c r="F195" i="4"/>
  <c r="F240" i="4"/>
  <c r="F149" i="4"/>
  <c r="F161" i="4"/>
  <c r="F163" i="4"/>
  <c r="F177" i="4"/>
  <c r="F190" i="4"/>
  <c r="F196" i="4"/>
  <c r="F233" i="4"/>
  <c r="F52" i="4"/>
  <c r="F130" i="4"/>
  <c r="F132" i="4"/>
  <c r="F134" i="4"/>
  <c r="F136" i="4"/>
  <c r="F157" i="4"/>
  <c r="F165" i="4"/>
  <c r="F21" i="4"/>
  <c r="F65" i="4"/>
  <c r="F73" i="4"/>
  <c r="F118" i="4"/>
  <c r="F122" i="4"/>
  <c r="F128" i="4"/>
  <c r="F147" i="4"/>
  <c r="F94" i="4"/>
  <c r="F137" i="4"/>
  <c r="F152" i="4"/>
  <c r="F160" i="4"/>
  <c r="F164" i="4"/>
  <c r="F37" i="4"/>
  <c r="F40" i="4"/>
  <c r="F115" i="4"/>
  <c r="F186" i="4"/>
  <c r="F201" i="4"/>
  <c r="F212" i="4"/>
  <c r="F214" i="4"/>
  <c r="F245" i="4"/>
  <c r="F226" i="4"/>
  <c r="F102" i="4"/>
  <c r="F148" i="4"/>
  <c r="F172" i="4"/>
  <c r="F184" i="4"/>
  <c r="F236" i="4"/>
  <c r="F7" i="4"/>
  <c r="F22" i="4"/>
  <c r="F170" i="4"/>
  <c r="F223" i="4"/>
  <c r="F210" i="4"/>
  <c r="F176" i="4"/>
  <c r="F154" i="4"/>
  <c r="F77" i="4"/>
  <c r="I46" i="4"/>
  <c r="F39" i="4"/>
  <c r="I20" i="4"/>
  <c r="F12" i="4"/>
  <c r="S26" i="7"/>
  <c r="E45" i="3" a="1"/>
  <c r="E45" i="3" s="1"/>
  <c r="E44" i="3" a="1"/>
  <c r="E44" i="3" s="1"/>
  <c r="E53" i="3" a="1"/>
  <c r="E53" i="3" s="1"/>
  <c r="E54" i="3" a="1"/>
  <c r="E54" i="3" s="1"/>
  <c r="E42" i="3" a="1"/>
  <c r="E42" i="3" s="1"/>
  <c r="E51" i="3" a="1"/>
  <c r="E51" i="3" s="1"/>
  <c r="F220" i="4"/>
  <c r="I217" i="4"/>
  <c r="F202" i="4"/>
  <c r="F193" i="4"/>
  <c r="I187" i="4"/>
  <c r="F104" i="4"/>
  <c r="F67" i="4"/>
  <c r="F32" i="4"/>
  <c r="F8" i="4"/>
  <c r="Q26" i="7"/>
  <c r="R26" i="7" s="1"/>
  <c r="T21" i="7"/>
  <c r="Q22" i="7"/>
  <c r="R22" i="7" s="1"/>
  <c r="Q8" i="7"/>
  <c r="AB6" i="7"/>
  <c r="T27" i="7"/>
  <c r="AC15" i="7"/>
  <c r="T29" i="7"/>
  <c r="Q23" i="7"/>
  <c r="R23" i="7" s="1"/>
  <c r="Q14" i="7"/>
  <c r="R14" i="7" s="1"/>
  <c r="T15" i="7"/>
  <c r="T10" i="7"/>
  <c r="S6" i="7"/>
  <c r="Q28" i="7"/>
  <c r="T24" i="7"/>
  <c r="S19" i="7"/>
  <c r="Q18" i="7"/>
  <c r="R18" i="7" s="1"/>
  <c r="Q16" i="7"/>
  <c r="T16" i="7"/>
  <c r="Q21" i="7"/>
  <c r="R21" i="7" s="1"/>
  <c r="S20" i="7"/>
  <c r="S9" i="7"/>
  <c r="T30" i="7"/>
  <c r="T23" i="7"/>
  <c r="AC13" i="7"/>
  <c r="S18" i="7"/>
  <c r="Q15" i="7"/>
  <c r="R15" i="7" s="1"/>
  <c r="Q10" i="7"/>
  <c r="R10" i="7" s="1"/>
  <c r="S30" i="7"/>
  <c r="Q24" i="7"/>
  <c r="U24" i="7" s="1"/>
  <c r="Y14" i="7" s="1"/>
  <c r="T13" i="7"/>
  <c r="R8" i="7"/>
  <c r="S27" i="7"/>
  <c r="T22" i="7"/>
  <c r="AB13" i="7"/>
  <c r="T14" i="7"/>
  <c r="Q29" i="7"/>
  <c r="R29" i="7" s="1"/>
  <c r="S13" i="7"/>
  <c r="T7" i="7"/>
  <c r="U7" i="7" s="1"/>
  <c r="Z5" i="7" s="1"/>
  <c r="Q31" i="7"/>
  <c r="S28" i="7"/>
  <c r="T25" i="7"/>
  <c r="Q17" i="7"/>
  <c r="R17" i="7" s="1"/>
  <c r="S14" i="7"/>
  <c r="T8" i="7"/>
  <c r="U8" i="7" s="1"/>
  <c r="Y6" i="7" s="1"/>
  <c r="Q7" i="7"/>
  <c r="R7" i="7" s="1"/>
  <c r="S31" i="7"/>
  <c r="S25" i="7"/>
  <c r="S21" i="7"/>
  <c r="Q20" i="7"/>
  <c r="R20" i="7" s="1"/>
  <c r="S17" i="7"/>
  <c r="T11" i="7"/>
  <c r="T9" i="7"/>
  <c r="Q9" i="7"/>
  <c r="R9" i="7" s="1"/>
  <c r="C14" i="6"/>
  <c r="C13" i="6"/>
  <c r="T18" i="7"/>
  <c r="Q19" i="7"/>
  <c r="R19" i="7" s="1"/>
  <c r="Q27" i="7"/>
  <c r="R27" i="7" s="1"/>
  <c r="Q13" i="7"/>
  <c r="R13" i="7" s="1"/>
  <c r="S29" i="7"/>
  <c r="T26" i="7"/>
  <c r="S15" i="7"/>
  <c r="T12" i="7"/>
  <c r="U12" i="7" s="1"/>
  <c r="Y8" i="7" s="1"/>
  <c r="T31" i="7"/>
  <c r="R31" i="7"/>
  <c r="T17" i="7"/>
  <c r="S8" i="7"/>
  <c r="Q6" i="7"/>
  <c r="R6" i="7" s="1"/>
  <c r="S22" i="7"/>
  <c r="R24" i="7"/>
  <c r="T20" i="7"/>
  <c r="U20" i="7" s="1"/>
  <c r="Y12" i="7" s="1"/>
  <c r="T19" i="7"/>
  <c r="Q25" i="7"/>
  <c r="R25" i="7" s="1"/>
  <c r="Q11" i="7"/>
  <c r="R11" i="7" s="1"/>
  <c r="T6" i="7"/>
  <c r="U21" i="7" l="1"/>
  <c r="Z12" i="7" s="1"/>
  <c r="U10" i="7"/>
  <c r="Y7" i="7" s="1"/>
  <c r="D233" i="4"/>
  <c r="D96" i="4"/>
  <c r="D165" i="4"/>
  <c r="D13" i="4"/>
  <c r="D240" i="4"/>
  <c r="D228" i="4"/>
  <c r="D236" i="4"/>
  <c r="D226" i="4"/>
  <c r="K226" i="4" s="1"/>
  <c r="D112" i="4"/>
  <c r="K112" i="4" s="1"/>
  <c r="D34" i="4"/>
  <c r="K34" i="4" s="1"/>
  <c r="D232" i="4"/>
  <c r="K232" i="4" s="1"/>
  <c r="D29" i="4"/>
  <c r="K29" i="4" s="1"/>
  <c r="D80" i="4"/>
  <c r="K80" i="4" s="1"/>
  <c r="I174" i="4"/>
  <c r="I198" i="4"/>
  <c r="I33" i="4"/>
  <c r="I129" i="4"/>
  <c r="D208" i="4"/>
  <c r="D24" i="4"/>
  <c r="D153" i="4"/>
  <c r="R5" i="7"/>
  <c r="U5" i="7"/>
  <c r="Y36" i="7" s="1"/>
  <c r="U9" i="7"/>
  <c r="Z6" i="7" s="1"/>
  <c r="AA6" i="7" s="1"/>
  <c r="I117" i="4"/>
  <c r="I214" i="4"/>
  <c r="I23" i="4"/>
  <c r="I240" i="4"/>
  <c r="I180" i="4"/>
  <c r="D243" i="4"/>
  <c r="D227" i="4"/>
  <c r="D142" i="4"/>
  <c r="D52" i="4"/>
  <c r="E165" i="4"/>
  <c r="J165" i="4" s="1"/>
  <c r="E171" i="4"/>
  <c r="D33" i="4"/>
  <c r="K33" i="4" s="1"/>
  <c r="D167" i="4"/>
  <c r="E185" i="4"/>
  <c r="J185" i="4" s="1"/>
  <c r="D117" i="4"/>
  <c r="K117" i="4" s="1"/>
  <c r="D127" i="4"/>
  <c r="D122" i="4"/>
  <c r="I165" i="4"/>
  <c r="I61" i="4"/>
  <c r="I206" i="4"/>
  <c r="I245" i="4"/>
  <c r="I118" i="4"/>
  <c r="D140" i="4"/>
  <c r="D197" i="4"/>
  <c r="D42" i="4"/>
  <c r="I225" i="4"/>
  <c r="I164" i="4"/>
  <c r="I154" i="4"/>
  <c r="I26" i="4"/>
  <c r="I160" i="4"/>
  <c r="I121" i="4"/>
  <c r="D172" i="4"/>
  <c r="D20" i="4"/>
  <c r="D28" i="4"/>
  <c r="D66" i="4"/>
  <c r="D35" i="4"/>
  <c r="D9" i="4"/>
  <c r="I207" i="4"/>
  <c r="I191" i="4"/>
  <c r="I163" i="4"/>
  <c r="I123" i="4"/>
  <c r="I188" i="4"/>
  <c r="D119" i="4"/>
  <c r="K119" i="4" s="1"/>
  <c r="D154" i="4"/>
  <c r="K154" i="4" s="1"/>
  <c r="D242" i="4"/>
  <c r="D79" i="4"/>
  <c r="D162" i="4"/>
  <c r="D238" i="4"/>
  <c r="I145" i="4"/>
  <c r="I5" i="4"/>
  <c r="I12" i="4"/>
  <c r="I141" i="4"/>
  <c r="D203" i="4"/>
  <c r="D146" i="4"/>
  <c r="D45" i="4"/>
  <c r="C54" i="4"/>
  <c r="E54" i="4" s="1"/>
  <c r="J54" i="4" s="1"/>
  <c r="C111" i="4"/>
  <c r="C245" i="4"/>
  <c r="U28" i="7"/>
  <c r="Y16" i="7" s="1"/>
  <c r="AA16" i="7" s="1"/>
  <c r="I128" i="4"/>
  <c r="I235" i="4"/>
  <c r="I7" i="4"/>
  <c r="D177" i="4"/>
  <c r="D106" i="4"/>
  <c r="D57" i="4"/>
  <c r="I231" i="4"/>
  <c r="I111" i="4"/>
  <c r="I25" i="4"/>
  <c r="I194" i="4"/>
  <c r="I39" i="4"/>
  <c r="I243" i="4"/>
  <c r="I58" i="4"/>
  <c r="I64" i="4"/>
  <c r="I77" i="4"/>
  <c r="I120" i="4"/>
  <c r="I196" i="4"/>
  <c r="I138" i="4"/>
  <c r="I89" i="4"/>
  <c r="I93" i="4"/>
  <c r="I57" i="4"/>
  <c r="I105" i="4"/>
  <c r="I21" i="4"/>
  <c r="I8" i="4"/>
  <c r="I161" i="4"/>
  <c r="I143" i="4"/>
  <c r="I150" i="4"/>
  <c r="I40" i="4"/>
  <c r="I114" i="4"/>
  <c r="I86" i="4"/>
  <c r="I226" i="4"/>
  <c r="I223" i="4"/>
  <c r="I42" i="4"/>
  <c r="I151" i="4"/>
  <c r="I29" i="4"/>
  <c r="I6" i="4"/>
  <c r="I73" i="4"/>
  <c r="I83" i="4"/>
  <c r="I113" i="4"/>
  <c r="I159" i="4"/>
  <c r="I139" i="4"/>
  <c r="I72" i="4"/>
  <c r="I70" i="4"/>
  <c r="I173" i="4"/>
  <c r="I102" i="4"/>
  <c r="I112" i="4"/>
  <c r="F80" i="4"/>
  <c r="F228" i="4"/>
  <c r="F64" i="4"/>
  <c r="F237" i="4"/>
  <c r="F131" i="4"/>
  <c r="F162" i="4"/>
  <c r="F112" i="4"/>
  <c r="F46" i="4"/>
  <c r="F107" i="4"/>
  <c r="F159" i="4"/>
  <c r="F153" i="4"/>
  <c r="F13" i="4"/>
  <c r="F182" i="4"/>
  <c r="I176" i="4"/>
  <c r="F47" i="4"/>
  <c r="I213" i="4"/>
  <c r="D109" i="4"/>
  <c r="D209" i="4"/>
  <c r="D93" i="4"/>
  <c r="D182" i="4"/>
  <c r="D89" i="4"/>
  <c r="K89" i="4" s="1"/>
  <c r="D141" i="4"/>
  <c r="K141" i="4" s="1"/>
  <c r="D221" i="4"/>
  <c r="K221" i="4" s="1"/>
  <c r="D189" i="4"/>
  <c r="F216" i="4"/>
  <c r="F230" i="4"/>
  <c r="F106" i="4"/>
  <c r="F92" i="4"/>
  <c r="U29" i="7"/>
  <c r="Z16" i="7" s="1"/>
  <c r="F101" i="4"/>
  <c r="I242" i="4"/>
  <c r="F70" i="4"/>
  <c r="F199" i="4"/>
  <c r="F120" i="4"/>
  <c r="F142" i="4"/>
  <c r="F100" i="4"/>
  <c r="F42" i="4"/>
  <c r="F63" i="4"/>
  <c r="F151" i="4"/>
  <c r="F145" i="4"/>
  <c r="F27" i="4"/>
  <c r="I193" i="4"/>
  <c r="I49" i="4"/>
  <c r="I16" i="4"/>
  <c r="I124" i="4"/>
  <c r="I155" i="4"/>
  <c r="I109" i="4"/>
  <c r="I81" i="4"/>
  <c r="I71" i="4"/>
  <c r="F58" i="4"/>
  <c r="G58" i="4" s="1"/>
  <c r="I202" i="4"/>
  <c r="I182" i="4"/>
  <c r="F221" i="4"/>
  <c r="D201" i="4"/>
  <c r="D38" i="4"/>
  <c r="D84" i="4"/>
  <c r="D17" i="4"/>
  <c r="D68" i="4"/>
  <c r="D104" i="4"/>
  <c r="D188" i="4"/>
  <c r="D147" i="4"/>
  <c r="F189" i="4"/>
  <c r="F235" i="4"/>
  <c r="F110" i="4"/>
  <c r="F88" i="4"/>
  <c r="D82" i="4"/>
  <c r="D245" i="4"/>
  <c r="K245" i="4" s="1"/>
  <c r="D92" i="4"/>
  <c r="D175" i="4"/>
  <c r="F206" i="4"/>
  <c r="F211" i="4"/>
  <c r="F242" i="4"/>
  <c r="F10" i="4"/>
  <c r="F68" i="4"/>
  <c r="D159" i="4"/>
  <c r="K159" i="4" s="1"/>
  <c r="I134" i="4"/>
  <c r="I31" i="4"/>
  <c r="I52" i="4"/>
  <c r="I68" i="4"/>
  <c r="I132" i="4"/>
  <c r="I158" i="4"/>
  <c r="I168" i="4"/>
  <c r="I183" i="4"/>
  <c r="I209" i="4"/>
  <c r="I218" i="4"/>
  <c r="I146" i="4"/>
  <c r="I11" i="4"/>
  <c r="I22" i="4"/>
  <c r="I60" i="4"/>
  <c r="I115" i="4"/>
  <c r="I149" i="4"/>
  <c r="I192" i="4"/>
  <c r="I201" i="4"/>
  <c r="I232" i="4"/>
  <c r="I221" i="4"/>
  <c r="I236" i="4"/>
  <c r="I84" i="4"/>
  <c r="I44" i="4"/>
  <c r="I79" i="4"/>
  <c r="I96" i="4"/>
  <c r="I177" i="4"/>
  <c r="I15" i="4"/>
  <c r="I63" i="4"/>
  <c r="I82" i="4"/>
  <c r="I144" i="4"/>
  <c r="I100" i="4"/>
  <c r="I65" i="4"/>
  <c r="I230" i="4"/>
  <c r="I53" i="4"/>
  <c r="I69" i="4"/>
  <c r="I88" i="4"/>
  <c r="I133" i="4"/>
  <c r="I142" i="4"/>
  <c r="I169" i="4"/>
  <c r="I185" i="4"/>
  <c r="I219" i="4"/>
  <c r="I241" i="4"/>
  <c r="I135" i="4"/>
  <c r="I244" i="4"/>
  <c r="I136" i="4"/>
  <c r="I229" i="4"/>
  <c r="I97" i="4"/>
  <c r="I116" i="4"/>
  <c r="I211" i="4"/>
  <c r="I166" i="4"/>
  <c r="I45" i="4"/>
  <c r="I126" i="4"/>
  <c r="I152" i="4"/>
  <c r="I162" i="4"/>
  <c r="I178" i="4"/>
  <c r="I186" i="4"/>
  <c r="I195" i="4"/>
  <c r="I227" i="4"/>
  <c r="I56" i="4"/>
  <c r="I110" i="4"/>
  <c r="I197" i="4"/>
  <c r="I222" i="4"/>
  <c r="I9" i="4"/>
  <c r="I66" i="4"/>
  <c r="I10" i="4"/>
  <c r="I41" i="4"/>
  <c r="I59" i="4"/>
  <c r="I94" i="4"/>
  <c r="I103" i="4"/>
  <c r="I122" i="4"/>
  <c r="I190" i="4"/>
  <c r="I148" i="4"/>
  <c r="I175" i="4"/>
  <c r="I224" i="4"/>
  <c r="I239" i="4"/>
  <c r="I171" i="4"/>
  <c r="I47" i="4"/>
  <c r="I30" i="4"/>
  <c r="I130" i="4"/>
  <c r="F125" i="4"/>
  <c r="F126" i="4"/>
  <c r="F231" i="4"/>
  <c r="F91" i="4"/>
  <c r="F215" i="4"/>
  <c r="I51" i="4"/>
  <c r="I104" i="4"/>
  <c r="I99" i="4"/>
  <c r="I75" i="4"/>
  <c r="I36" i="4"/>
  <c r="I17" i="4"/>
  <c r="I215" i="4"/>
  <c r="F71" i="4"/>
  <c r="F18" i="4"/>
  <c r="D198" i="4"/>
  <c r="D194" i="4"/>
  <c r="D199" i="4"/>
  <c r="D148" i="4"/>
  <c r="D67" i="4"/>
  <c r="D157" i="4"/>
  <c r="K157" i="4" s="1"/>
  <c r="D64" i="4"/>
  <c r="K64" i="4" s="1"/>
  <c r="F36" i="4"/>
  <c r="F200" i="4"/>
  <c r="F35" i="4"/>
  <c r="F116" i="4"/>
  <c r="F207" i="4"/>
  <c r="F140" i="4"/>
  <c r="U14" i="7"/>
  <c r="Y9" i="7" s="1"/>
  <c r="F114" i="4"/>
  <c r="F146" i="4"/>
  <c r="F93" i="4"/>
  <c r="F99" i="4"/>
  <c r="F6" i="4"/>
  <c r="D125" i="4"/>
  <c r="D169" i="4"/>
  <c r="F129" i="4"/>
  <c r="F53" i="4"/>
  <c r="I137" i="4"/>
  <c r="F83" i="4"/>
  <c r="F28" i="4"/>
  <c r="I24" i="4"/>
  <c r="I238" i="4"/>
  <c r="D88" i="4"/>
  <c r="I140" i="4"/>
  <c r="F117" i="4"/>
  <c r="F79" i="4"/>
  <c r="F57" i="4"/>
  <c r="F54" i="4"/>
  <c r="F38" i="4"/>
  <c r="F229" i="4"/>
  <c r="F14" i="4"/>
  <c r="F33" i="4"/>
  <c r="F87" i="4"/>
  <c r="I220" i="4"/>
  <c r="I13" i="4"/>
  <c r="I233" i="4"/>
  <c r="I92" i="4"/>
  <c r="I95" i="4"/>
  <c r="I54" i="4"/>
  <c r="I212" i="4"/>
  <c r="I32" i="4"/>
  <c r="I147" i="4"/>
  <c r="I74" i="4"/>
  <c r="F218" i="4"/>
  <c r="F78" i="4"/>
  <c r="I34" i="4"/>
  <c r="D202" i="4"/>
  <c r="K202" i="4" s="1"/>
  <c r="D156" i="4"/>
  <c r="D168" i="4"/>
  <c r="D237" i="4"/>
  <c r="D120" i="4"/>
  <c r="D26" i="4"/>
  <c r="D136" i="4"/>
  <c r="D58" i="4"/>
  <c r="F183" i="4"/>
  <c r="F181" i="4"/>
  <c r="F75" i="4"/>
  <c r="F198" i="4"/>
  <c r="F123" i="4"/>
  <c r="U22" i="7"/>
  <c r="Y13" i="7" s="1"/>
  <c r="D101" i="4"/>
  <c r="D32" i="4"/>
  <c r="D137" i="4"/>
  <c r="F119" i="4"/>
  <c r="F86" i="4"/>
  <c r="F98" i="4"/>
  <c r="F197" i="4"/>
  <c r="D113" i="4"/>
  <c r="D78" i="4"/>
  <c r="F89" i="4"/>
  <c r="F84" i="4"/>
  <c r="I131" i="4"/>
  <c r="U6" i="7"/>
  <c r="Y5" i="7" s="1"/>
  <c r="AA5" i="7" s="1"/>
  <c r="F150" i="4"/>
  <c r="F124" i="4"/>
  <c r="F55" i="4"/>
  <c r="F19" i="4"/>
  <c r="F51" i="4"/>
  <c r="F15" i="4"/>
  <c r="F192" i="4"/>
  <c r="F9" i="4"/>
  <c r="F23" i="4"/>
  <c r="F56" i="4"/>
  <c r="F61" i="4"/>
  <c r="F234" i="4"/>
  <c r="I228" i="4"/>
  <c r="I203" i="4"/>
  <c r="I80" i="4"/>
  <c r="I85" i="4"/>
  <c r="I37" i="4"/>
  <c r="I210" i="4"/>
  <c r="I27" i="4"/>
  <c r="I170" i="4"/>
  <c r="I90" i="4"/>
  <c r="I234" i="4"/>
  <c r="I87" i="4"/>
  <c r="F66" i="4"/>
  <c r="D212" i="4"/>
  <c r="D149" i="4"/>
  <c r="D81" i="4"/>
  <c r="D215" i="4"/>
  <c r="D86" i="4"/>
  <c r="D19" i="4"/>
  <c r="D130" i="4"/>
  <c r="D54" i="4"/>
  <c r="F31" i="4"/>
  <c r="F204" i="4"/>
  <c r="F166" i="4"/>
  <c r="F187" i="4"/>
  <c r="F60" i="4"/>
  <c r="D44" i="4"/>
  <c r="F69" i="4"/>
  <c r="F81" i="4"/>
  <c r="F48" i="4"/>
  <c r="F205" i="4"/>
  <c r="F121" i="4"/>
  <c r="D143" i="4"/>
  <c r="K143" i="4" s="1"/>
  <c r="D234" i="4"/>
  <c r="D110" i="4"/>
  <c r="F232" i="4"/>
  <c r="F76" i="4"/>
  <c r="I18" i="4"/>
  <c r="U17" i="7"/>
  <c r="Z10" i="7" s="1"/>
  <c r="AA10" i="7" s="1"/>
  <c r="I157" i="4"/>
  <c r="C143" i="4"/>
  <c r="F127" i="4"/>
  <c r="F17" i="4"/>
  <c r="F49" i="4"/>
  <c r="F43" i="4"/>
  <c r="F167" i="4"/>
  <c r="F188" i="4"/>
  <c r="F244" i="4"/>
  <c r="F5" i="4"/>
  <c r="F50" i="4"/>
  <c r="I67" i="4"/>
  <c r="I189" i="4"/>
  <c r="I216" i="4"/>
  <c r="I205" i="4"/>
  <c r="I78" i="4"/>
  <c r="I50" i="4"/>
  <c r="I35" i="4"/>
  <c r="I208" i="4"/>
  <c r="I14" i="4"/>
  <c r="F213" i="4"/>
  <c r="F105" i="4"/>
  <c r="I237" i="4"/>
  <c r="I108" i="4"/>
  <c r="I91" i="4"/>
  <c r="D133" i="4"/>
  <c r="D200" i="4"/>
  <c r="D205" i="4"/>
  <c r="D70" i="4"/>
  <c r="D12" i="4"/>
  <c r="D46" i="4"/>
  <c r="F239" i="4"/>
  <c r="F82" i="4"/>
  <c r="F155" i="4"/>
  <c r="F72" i="4"/>
  <c r="F11" i="4"/>
  <c r="C219" i="4"/>
  <c r="E219" i="4" s="1"/>
  <c r="R16" i="7"/>
  <c r="U16" i="7"/>
  <c r="Y10" i="7" s="1"/>
  <c r="C13" i="4"/>
  <c r="E13" i="4" s="1"/>
  <c r="C81" i="4"/>
  <c r="C235" i="4"/>
  <c r="E235" i="4" s="1"/>
  <c r="C47" i="4"/>
  <c r="E47" i="4" s="1"/>
  <c r="C115" i="4"/>
  <c r="E115" i="4" s="1"/>
  <c r="C135" i="4"/>
  <c r="C238" i="4"/>
  <c r="E238" i="4" s="1"/>
  <c r="G238" i="4" s="1"/>
  <c r="C75" i="4"/>
  <c r="C91" i="4"/>
  <c r="C112" i="4"/>
  <c r="C142" i="4"/>
  <c r="E142" i="4" s="1"/>
  <c r="C162" i="4"/>
  <c r="E162" i="4" s="1"/>
  <c r="C34" i="4"/>
  <c r="C45" i="4"/>
  <c r="C48" i="4"/>
  <c r="C63" i="4"/>
  <c r="C97" i="4"/>
  <c r="E97" i="4" s="1"/>
  <c r="C146" i="4"/>
  <c r="E146" i="4" s="1"/>
  <c r="C169" i="4"/>
  <c r="C172" i="4"/>
  <c r="C178" i="4"/>
  <c r="E178" i="4" s="1"/>
  <c r="C204" i="4"/>
  <c r="C214" i="4"/>
  <c r="C239" i="4"/>
  <c r="C8" i="4"/>
  <c r="C15" i="4"/>
  <c r="C109" i="4"/>
  <c r="E109" i="4" s="1"/>
  <c r="J109" i="4" s="1"/>
  <c r="C159" i="4"/>
  <c r="C215" i="4"/>
  <c r="C244" i="4"/>
  <c r="E244" i="4" s="1"/>
  <c r="C5" i="4"/>
  <c r="C53" i="4"/>
  <c r="E53" i="4" s="1"/>
  <c r="C64" i="4"/>
  <c r="E64" i="4" s="1"/>
  <c r="C149" i="4"/>
  <c r="C160" i="4"/>
  <c r="C166" i="4"/>
  <c r="C207" i="4"/>
  <c r="C230" i="4"/>
  <c r="C23" i="4"/>
  <c r="C176" i="4"/>
  <c r="C186" i="4"/>
  <c r="C192" i="4"/>
  <c r="C16" i="4"/>
  <c r="C127" i="4"/>
  <c r="C212" i="4"/>
  <c r="C42" i="4"/>
  <c r="C94" i="4"/>
  <c r="E94" i="4" s="1"/>
  <c r="C241" i="4"/>
  <c r="E241" i="4" s="1"/>
  <c r="G241" i="4" s="1"/>
  <c r="C11" i="4"/>
  <c r="E11" i="4" s="1"/>
  <c r="G11" i="4" s="1"/>
  <c r="C77" i="4"/>
  <c r="C156" i="4"/>
  <c r="E156" i="4" s="1"/>
  <c r="C198" i="4"/>
  <c r="E198" i="4" s="1"/>
  <c r="C217" i="4"/>
  <c r="C193" i="4"/>
  <c r="C37" i="4"/>
  <c r="C106" i="4"/>
  <c r="E106" i="4" s="1"/>
  <c r="C117" i="4"/>
  <c r="C183" i="4"/>
  <c r="E183" i="4" s="1"/>
  <c r="J183" i="4" s="1"/>
  <c r="C181" i="4"/>
  <c r="E181" i="4" s="1"/>
  <c r="C100" i="4"/>
  <c r="E100" i="4" s="1"/>
  <c r="C6" i="4"/>
  <c r="E6" i="4" s="1"/>
  <c r="C56" i="4"/>
  <c r="E56" i="4" s="1"/>
  <c r="C79" i="4"/>
  <c r="E79" i="4" s="1"/>
  <c r="C95" i="4"/>
  <c r="C101" i="4"/>
  <c r="C237" i="4"/>
  <c r="E237" i="4" s="1"/>
  <c r="C195" i="4"/>
  <c r="C85" i="4"/>
  <c r="C107" i="4"/>
  <c r="C119" i="4"/>
  <c r="C130" i="4"/>
  <c r="E130" i="4" s="1"/>
  <c r="J130" i="4" s="1"/>
  <c r="C228" i="4"/>
  <c r="E228" i="4" s="1"/>
  <c r="J228" i="4" s="1"/>
  <c r="C103" i="4"/>
  <c r="C27" i="4"/>
  <c r="E27" i="4" s="1"/>
  <c r="C39" i="4"/>
  <c r="E39" i="4" s="1"/>
  <c r="C136" i="4"/>
  <c r="C153" i="4"/>
  <c r="E153" i="4" s="1"/>
  <c r="C190" i="4"/>
  <c r="C233" i="4"/>
  <c r="E233" i="4" s="1"/>
  <c r="C164" i="4"/>
  <c r="C155" i="4"/>
  <c r="C124" i="4"/>
  <c r="C59" i="4"/>
  <c r="C213" i="4"/>
  <c r="C25" i="4"/>
  <c r="E25" i="4" s="1"/>
  <c r="G25" i="4" s="1"/>
  <c r="C137" i="4"/>
  <c r="E137" i="4" s="1"/>
  <c r="C113" i="4"/>
  <c r="C199" i="4"/>
  <c r="C83" i="4"/>
  <c r="C18" i="4"/>
  <c r="E18" i="4" s="1"/>
  <c r="C197" i="4"/>
  <c r="E197" i="4" s="1"/>
  <c r="G197" i="4" s="1"/>
  <c r="C147" i="4"/>
  <c r="C67" i="4"/>
  <c r="C57" i="4"/>
  <c r="E57" i="4" s="1"/>
  <c r="C89" i="4"/>
  <c r="C151" i="4"/>
  <c r="C129" i="4"/>
  <c r="C221" i="4"/>
  <c r="C128" i="4"/>
  <c r="C196" i="4"/>
  <c r="C74" i="4"/>
  <c r="C70" i="4"/>
  <c r="C20" i="4"/>
  <c r="E20" i="4" s="1"/>
  <c r="C216" i="4"/>
  <c r="C225" i="4"/>
  <c r="C126" i="4"/>
  <c r="C148" i="4"/>
  <c r="E148" i="4" s="1"/>
  <c r="G148" i="4" s="1"/>
  <c r="C110" i="4"/>
  <c r="C152" i="4"/>
  <c r="C93" i="4"/>
  <c r="C158" i="4"/>
  <c r="C33" i="4"/>
  <c r="C43" i="4"/>
  <c r="E43" i="4" s="1"/>
  <c r="C231" i="4"/>
  <c r="C134" i="4"/>
  <c r="C9" i="4"/>
  <c r="E9" i="4" s="1"/>
  <c r="C224" i="4"/>
  <c r="C99" i="4"/>
  <c r="E99" i="4" s="1"/>
  <c r="C17" i="4"/>
  <c r="E17" i="4" s="1"/>
  <c r="C220" i="4"/>
  <c r="C227" i="4"/>
  <c r="E227" i="4" s="1"/>
  <c r="C141" i="4"/>
  <c r="C150" i="4"/>
  <c r="C140" i="4"/>
  <c r="E140" i="4" s="1"/>
  <c r="C157" i="4"/>
  <c r="C29" i="4"/>
  <c r="C161" i="4"/>
  <c r="C19" i="4"/>
  <c r="C222" i="4"/>
  <c r="C242" i="4"/>
  <c r="C184" i="4"/>
  <c r="E184" i="4" s="1"/>
  <c r="C22" i="4"/>
  <c r="E22" i="4" s="1"/>
  <c r="C170" i="4"/>
  <c r="E170" i="4" s="1"/>
  <c r="C163" i="4"/>
  <c r="C84" i="4"/>
  <c r="C144" i="4"/>
  <c r="C60" i="4"/>
  <c r="C226" i="4"/>
  <c r="C7" i="4"/>
  <c r="C209" i="4"/>
  <c r="E209" i="4" s="1"/>
  <c r="C49" i="4"/>
  <c r="E49" i="4" s="1"/>
  <c r="C177" i="4"/>
  <c r="E177" i="4" s="1"/>
  <c r="C168" i="4"/>
  <c r="E168" i="4" s="1"/>
  <c r="C243" i="4"/>
  <c r="C138" i="4"/>
  <c r="E138" i="4" s="1"/>
  <c r="C131" i="4"/>
  <c r="E131" i="4" s="1"/>
  <c r="C68" i="4"/>
  <c r="E68" i="4" s="1"/>
  <c r="C14" i="4"/>
  <c r="C12" i="4"/>
  <c r="C211" i="4"/>
  <c r="C123" i="4"/>
  <c r="C182" i="4"/>
  <c r="C175" i="4"/>
  <c r="K175" i="4" s="1"/>
  <c r="C180" i="4"/>
  <c r="C40" i="4"/>
  <c r="E40" i="4" s="1"/>
  <c r="C98" i="4"/>
  <c r="C203" i="4"/>
  <c r="C76" i="4"/>
  <c r="C21" i="4"/>
  <c r="E21" i="4" s="1"/>
  <c r="C26" i="4"/>
  <c r="C44" i="4"/>
  <c r="C154" i="4"/>
  <c r="C189" i="4"/>
  <c r="C187" i="4"/>
  <c r="C229" i="4"/>
  <c r="E229" i="4" s="1"/>
  <c r="C108" i="4"/>
  <c r="C210" i="4"/>
  <c r="C86" i="4"/>
  <c r="C118" i="4"/>
  <c r="C145" i="4"/>
  <c r="C71" i="4"/>
  <c r="E71" i="4" s="1"/>
  <c r="J71" i="4" s="1"/>
  <c r="C139" i="4"/>
  <c r="E139" i="4" s="1"/>
  <c r="C55" i="4"/>
  <c r="C52" i="4"/>
  <c r="C173" i="4"/>
  <c r="E173" i="4" s="1"/>
  <c r="C200" i="4"/>
  <c r="C62" i="4"/>
  <c r="C73" i="4"/>
  <c r="C80" i="4"/>
  <c r="C194" i="4"/>
  <c r="C191" i="4"/>
  <c r="C179" i="4"/>
  <c r="C90" i="4"/>
  <c r="C82" i="4"/>
  <c r="C208" i="4"/>
  <c r="C122" i="4"/>
  <c r="C120" i="4"/>
  <c r="C41" i="4"/>
  <c r="E41" i="4" s="1"/>
  <c r="C218" i="4"/>
  <c r="E218" i="4" s="1"/>
  <c r="J218" i="4" s="1"/>
  <c r="C36" i="4"/>
  <c r="C167" i="4"/>
  <c r="C51" i="4"/>
  <c r="C66" i="4"/>
  <c r="E66" i="4" s="1"/>
  <c r="C58" i="4"/>
  <c r="E58" i="4" s="1"/>
  <c r="C116" i="4"/>
  <c r="C69" i="4"/>
  <c r="C38" i="4"/>
  <c r="C240" i="4"/>
  <c r="E240" i="4" s="1"/>
  <c r="C201" i="4"/>
  <c r="E201" i="4" s="1"/>
  <c r="C102" i="4"/>
  <c r="C35" i="4"/>
  <c r="C65" i="4"/>
  <c r="E65" i="4" s="1"/>
  <c r="C205" i="4"/>
  <c r="E205" i="4" s="1"/>
  <c r="C104" i="4"/>
  <c r="C46" i="4"/>
  <c r="C232" i="4"/>
  <c r="C61" i="4"/>
  <c r="C206" i="4"/>
  <c r="C88" i="4"/>
  <c r="E88" i="4" s="1"/>
  <c r="G88" i="4" s="1"/>
  <c r="C96" i="4"/>
  <c r="E96" i="4" s="1"/>
  <c r="C125" i="4"/>
  <c r="C236" i="4"/>
  <c r="C92" i="4"/>
  <c r="C30" i="4"/>
  <c r="C72" i="4"/>
  <c r="E72" i="4" s="1"/>
  <c r="C28" i="4"/>
  <c r="C24" i="4"/>
  <c r="C78" i="4"/>
  <c r="C132" i="4"/>
  <c r="C133" i="4"/>
  <c r="E133" i="4" s="1"/>
  <c r="C223" i="4"/>
  <c r="C121" i="4"/>
  <c r="C31" i="4"/>
  <c r="C202" i="4"/>
  <c r="C50" i="4"/>
  <c r="E50" i="4" s="1"/>
  <c r="C234" i="4"/>
  <c r="C114" i="4"/>
  <c r="E114" i="4" s="1"/>
  <c r="K165" i="4"/>
  <c r="K96" i="4"/>
  <c r="K13" i="4"/>
  <c r="K240" i="4"/>
  <c r="C105" i="4"/>
  <c r="E105" i="4" s="1"/>
  <c r="C87" i="4"/>
  <c r="E87" i="4" s="1"/>
  <c r="J87" i="4" s="1"/>
  <c r="K104" i="4"/>
  <c r="K147" i="4"/>
  <c r="C32" i="4"/>
  <c r="E175" i="4"/>
  <c r="C188" i="4"/>
  <c r="C174" i="4"/>
  <c r="C10" i="4"/>
  <c r="K109" i="4"/>
  <c r="K177" i="4"/>
  <c r="K105" i="4"/>
  <c r="K167" i="4"/>
  <c r="D34" i="7"/>
  <c r="C16" i="8" s="1"/>
  <c r="R28" i="7"/>
  <c r="AA12" i="7"/>
  <c r="K185" i="4"/>
  <c r="K171" i="4"/>
  <c r="K140" i="4"/>
  <c r="K162" i="4"/>
  <c r="K45" i="4"/>
  <c r="K219" i="4"/>
  <c r="K57" i="4"/>
  <c r="K209" i="4"/>
  <c r="K142" i="4"/>
  <c r="K148" i="4"/>
  <c r="U23" i="7"/>
  <c r="Z13" i="7" s="1"/>
  <c r="U30" i="7"/>
  <c r="Y17" i="7" s="1"/>
  <c r="K156" i="4"/>
  <c r="K237" i="4"/>
  <c r="K58" i="4"/>
  <c r="K54" i="4"/>
  <c r="K200" i="4"/>
  <c r="U31" i="7"/>
  <c r="Z17" i="7" s="1"/>
  <c r="U15" i="7"/>
  <c r="Z9" i="7" s="1"/>
  <c r="AA9" i="7" s="1"/>
  <c r="D41" i="4"/>
  <c r="D37" i="4"/>
  <c r="D6" i="4"/>
  <c r="D100" i="4"/>
  <c r="D224" i="4"/>
  <c r="D138" i="4"/>
  <c r="D83" i="4"/>
  <c r="D123" i="4"/>
  <c r="K123" i="4" s="1"/>
  <c r="D76" i="4"/>
  <c r="D126" i="4"/>
  <c r="D223" i="4"/>
  <c r="D173" i="4"/>
  <c r="D244" i="4"/>
  <c r="D62" i="4"/>
  <c r="D178" i="4"/>
  <c r="D8" i="4"/>
  <c r="K8" i="4" s="1"/>
  <c r="D181" i="4"/>
  <c r="D48" i="4"/>
  <c r="K48" i="4" s="1"/>
  <c r="D192" i="4"/>
  <c r="K192" i="4" s="1"/>
  <c r="D225" i="4"/>
  <c r="D102" i="4"/>
  <c r="D135" i="4"/>
  <c r="D60" i="4"/>
  <c r="K60" i="4" s="1"/>
  <c r="D77" i="4"/>
  <c r="K77" i="4" s="1"/>
  <c r="D43" i="4"/>
  <c r="D87" i="4"/>
  <c r="D40" i="4"/>
  <c r="D56" i="4"/>
  <c r="D195" i="4"/>
  <c r="K195" i="4" s="1"/>
  <c r="D139" i="4"/>
  <c r="D235" i="4"/>
  <c r="D239" i="4"/>
  <c r="K239" i="4" s="1"/>
  <c r="D184" i="4"/>
  <c r="D21" i="4"/>
  <c r="D187" i="4"/>
  <c r="K187" i="4" s="1"/>
  <c r="D63" i="4"/>
  <c r="D231" i="4"/>
  <c r="K231" i="4" s="1"/>
  <c r="D7" i="4"/>
  <c r="D116" i="4"/>
  <c r="D158" i="4"/>
  <c r="D25" i="4"/>
  <c r="D107" i="4"/>
  <c r="D121" i="4"/>
  <c r="K121" i="4" s="1"/>
  <c r="D229" i="4"/>
  <c r="D51" i="4"/>
  <c r="K51" i="4" s="1"/>
  <c r="D94" i="4"/>
  <c r="D91" i="4"/>
  <c r="K91" i="4" s="1"/>
  <c r="D241" i="4"/>
  <c r="D160" i="4"/>
  <c r="D103" i="4"/>
  <c r="D216" i="4"/>
  <c r="D217" i="4"/>
  <c r="K217" i="4" s="1"/>
  <c r="D214" i="4"/>
  <c r="K214" i="4" s="1"/>
  <c r="D152" i="4"/>
  <c r="K152" i="4" s="1"/>
  <c r="D155" i="4"/>
  <c r="K155" i="4" s="1"/>
  <c r="D213" i="4"/>
  <c r="K213" i="4" s="1"/>
  <c r="D176" i="4"/>
  <c r="K176" i="4" s="1"/>
  <c r="D49" i="4"/>
  <c r="D131" i="4"/>
  <c r="D71" i="4"/>
  <c r="D145" i="4"/>
  <c r="K145" i="4" s="1"/>
  <c r="D134" i="4"/>
  <c r="D218" i="4"/>
  <c r="D30" i="4"/>
  <c r="U26" i="7"/>
  <c r="Y15" i="7" s="1"/>
  <c r="U18" i="7"/>
  <c r="Y11" i="7" s="1"/>
  <c r="D220" i="4"/>
  <c r="K220" i="4" s="1"/>
  <c r="D129" i="4"/>
  <c r="D230" i="4"/>
  <c r="K230" i="4" s="1"/>
  <c r="D99" i="4"/>
  <c r="D115" i="4"/>
  <c r="D191" i="4"/>
  <c r="D170" i="4"/>
  <c r="D22" i="4"/>
  <c r="D108" i="4"/>
  <c r="D69" i="4"/>
  <c r="K69" i="4" s="1"/>
  <c r="D124" i="4"/>
  <c r="K124" i="4" s="1"/>
  <c r="D132" i="4"/>
  <c r="K132" i="4" s="1"/>
  <c r="D193" i="4"/>
  <c r="K193" i="4" s="1"/>
  <c r="D10" i="4"/>
  <c r="D27" i="4"/>
  <c r="K66" i="4"/>
  <c r="K198" i="4"/>
  <c r="K182" i="4"/>
  <c r="K106" i="4"/>
  <c r="K67" i="4"/>
  <c r="K130" i="4"/>
  <c r="K189" i="4"/>
  <c r="D36" i="4"/>
  <c r="K36" i="4" s="1"/>
  <c r="D39" i="4"/>
  <c r="U11" i="7"/>
  <c r="Z7" i="7" s="1"/>
  <c r="AA7" i="7" s="1"/>
  <c r="D75" i="4"/>
  <c r="K75" i="4" s="1"/>
  <c r="D207" i="4"/>
  <c r="D150" i="4"/>
  <c r="K150" i="4" s="1"/>
  <c r="D186" i="4"/>
  <c r="K186" i="4" s="1"/>
  <c r="D211" i="4"/>
  <c r="D55" i="4"/>
  <c r="D179" i="4"/>
  <c r="K179" i="4" s="1"/>
  <c r="D95" i="4"/>
  <c r="K95" i="4" s="1"/>
  <c r="D5" i="4"/>
  <c r="D98" i="4"/>
  <c r="D61" i="4"/>
  <c r="D118" i="4"/>
  <c r="K118" i="4" s="1"/>
  <c r="D128" i="4"/>
  <c r="D183" i="4"/>
  <c r="D15" i="4"/>
  <c r="K15" i="4" s="1"/>
  <c r="D190" i="4"/>
  <c r="K190" i="4" s="1"/>
  <c r="U25" i="7"/>
  <c r="Z14" i="7" s="1"/>
  <c r="AA14" i="7" s="1"/>
  <c r="D97" i="4"/>
  <c r="D18" i="4"/>
  <c r="D166" i="4"/>
  <c r="K166" i="4" s="1"/>
  <c r="D180" i="4"/>
  <c r="K180" i="4" s="1"/>
  <c r="D47" i="4"/>
  <c r="D161" i="4"/>
  <c r="K161" i="4" s="1"/>
  <c r="D16" i="4"/>
  <c r="K16" i="4" s="1"/>
  <c r="D210" i="4"/>
  <c r="K210" i="4" s="1"/>
  <c r="D74" i="4"/>
  <c r="K74" i="4" s="1"/>
  <c r="D59" i="4"/>
  <c r="D90" i="4"/>
  <c r="D65" i="4"/>
  <c r="D164" i="4"/>
  <c r="K164" i="4" s="1"/>
  <c r="D11" i="4"/>
  <c r="D206" i="4"/>
  <c r="K206" i="4" s="1"/>
  <c r="D114" i="4"/>
  <c r="D23" i="4"/>
  <c r="K23" i="4" s="1"/>
  <c r="D72" i="4"/>
  <c r="D163" i="4"/>
  <c r="K163" i="4" s="1"/>
  <c r="D174" i="4"/>
  <c r="D144" i="4"/>
  <c r="K144" i="4" s="1"/>
  <c r="D111" i="4"/>
  <c r="D204" i="4"/>
  <c r="K204" i="4" s="1"/>
  <c r="D196" i="4"/>
  <c r="D53" i="4"/>
  <c r="D31" i="4"/>
  <c r="D73" i="4"/>
  <c r="K73" i="4" s="1"/>
  <c r="D50" i="4"/>
  <c r="D151" i="4"/>
  <c r="K151" i="4" s="1"/>
  <c r="D14" i="4"/>
  <c r="K14" i="4" s="1"/>
  <c r="D85" i="4"/>
  <c r="K85" i="4" s="1"/>
  <c r="H12" i="4"/>
  <c r="H25" i="4"/>
  <c r="H29" i="4"/>
  <c r="H31" i="4"/>
  <c r="H40" i="4"/>
  <c r="H22" i="4"/>
  <c r="H30" i="4"/>
  <c r="H32" i="4"/>
  <c r="H48" i="4"/>
  <c r="H83" i="4"/>
  <c r="H89" i="4"/>
  <c r="H96" i="4"/>
  <c r="H100" i="4"/>
  <c r="H125" i="4"/>
  <c r="H127" i="4"/>
  <c r="H129" i="4"/>
  <c r="H169" i="4"/>
  <c r="H171" i="4"/>
  <c r="H35" i="4"/>
  <c r="H37" i="4"/>
  <c r="H54" i="4"/>
  <c r="H75" i="4"/>
  <c r="H93" i="4"/>
  <c r="H105" i="4"/>
  <c r="H109" i="4"/>
  <c r="H113" i="4"/>
  <c r="H194" i="4"/>
  <c r="H198" i="4"/>
  <c r="H200" i="4"/>
  <c r="H206" i="4"/>
  <c r="H235" i="4"/>
  <c r="H5" i="4"/>
  <c r="H23" i="4"/>
  <c r="H33" i="4"/>
  <c r="H50" i="4"/>
  <c r="H85" i="4"/>
  <c r="H95" i="4"/>
  <c r="H99" i="4"/>
  <c r="H111" i="4"/>
  <c r="H151" i="4"/>
  <c r="H155" i="4"/>
  <c r="H159" i="4"/>
  <c r="H161" i="4"/>
  <c r="H163" i="4"/>
  <c r="H175" i="4"/>
  <c r="H177" i="4"/>
  <c r="H190" i="4"/>
  <c r="H196" i="4"/>
  <c r="H233" i="4"/>
  <c r="H9" i="4"/>
  <c r="H14" i="4"/>
  <c r="H28" i="4"/>
  <c r="H52" i="4"/>
  <c r="H63" i="4"/>
  <c r="H97" i="4"/>
  <c r="H107" i="4"/>
  <c r="H130" i="4"/>
  <c r="H132" i="4"/>
  <c r="H134" i="4"/>
  <c r="H136" i="4"/>
  <c r="H145" i="4"/>
  <c r="H149" i="4"/>
  <c r="H157" i="4"/>
  <c r="H17" i="4"/>
  <c r="H55" i="4"/>
  <c r="H57" i="4"/>
  <c r="H59" i="4"/>
  <c r="H82" i="4"/>
  <c r="H6" i="4"/>
  <c r="H16" i="4"/>
  <c r="H72" i="4"/>
  <c r="H104" i="4"/>
  <c r="H112" i="4"/>
  <c r="H128" i="4"/>
  <c r="H156" i="4"/>
  <c r="H167" i="4"/>
  <c r="H179" i="4"/>
  <c r="H191" i="4"/>
  <c r="H203" i="4"/>
  <c r="H216" i="4"/>
  <c r="H228" i="4"/>
  <c r="H238" i="4"/>
  <c r="H243" i="4"/>
  <c r="H245" i="4"/>
  <c r="H10" i="4"/>
  <c r="H19" i="4"/>
  <c r="H43" i="4"/>
  <c r="H13" i="4"/>
  <c r="H51" i="4"/>
  <c r="H65" i="4"/>
  <c r="H86" i="4"/>
  <c r="H91" i="4"/>
  <c r="H162" i="4"/>
  <c r="H186" i="4"/>
  <c r="H201" i="4"/>
  <c r="H212" i="4"/>
  <c r="H221" i="4"/>
  <c r="H46" i="4"/>
  <c r="H38" i="4"/>
  <c r="H41" i="4"/>
  <c r="H60" i="4"/>
  <c r="H110" i="4"/>
  <c r="H118" i="4"/>
  <c r="H140" i="4"/>
  <c r="H160" i="4"/>
  <c r="H182" i="4"/>
  <c r="H20" i="4"/>
  <c r="H92" i="4"/>
  <c r="H120" i="4"/>
  <c r="H143" i="4"/>
  <c r="H164" i="4"/>
  <c r="H181" i="4"/>
  <c r="H184" i="4"/>
  <c r="H207" i="4"/>
  <c r="H8" i="4"/>
  <c r="H24" i="4"/>
  <c r="H67" i="4"/>
  <c r="H80" i="4"/>
  <c r="H101" i="4"/>
  <c r="H114" i="4"/>
  <c r="H150" i="4"/>
  <c r="H173" i="4"/>
  <c r="H193" i="4"/>
  <c r="H220" i="4"/>
  <c r="H231" i="4"/>
  <c r="H39" i="4"/>
  <c r="H64" i="4"/>
  <c r="H70" i="4"/>
  <c r="H77" i="4"/>
  <c r="H98" i="4"/>
  <c r="H117" i="4"/>
  <c r="H131" i="4"/>
  <c r="H147" i="4"/>
  <c r="H154" i="4"/>
  <c r="H170" i="4"/>
  <c r="H199" i="4"/>
  <c r="H202" i="4"/>
  <c r="H210" i="4"/>
  <c r="H223" i="4"/>
  <c r="H90" i="4"/>
  <c r="H176" i="4"/>
  <c r="H234" i="4"/>
  <c r="H71" i="4"/>
  <c r="H36" i="4"/>
  <c r="H61" i="4"/>
  <c r="H74" i="4"/>
  <c r="H124" i="4"/>
  <c r="H141" i="4"/>
  <c r="H215" i="4"/>
  <c r="H240" i="4"/>
  <c r="H81" i="4"/>
  <c r="H237" i="4"/>
  <c r="H78" i="4"/>
  <c r="H21" i="4"/>
  <c r="H58" i="4"/>
  <c r="H87" i="4"/>
  <c r="H108" i="4"/>
  <c r="H121" i="4"/>
  <c r="H188" i="4"/>
  <c r="H205" i="4"/>
  <c r="H213" i="4"/>
  <c r="H226" i="4"/>
  <c r="H44" i="4"/>
  <c r="H135" i="4"/>
  <c r="H168" i="4"/>
  <c r="H102" i="4"/>
  <c r="H115" i="4"/>
  <c r="H138" i="4"/>
  <c r="H144" i="4"/>
  <c r="H148" i="4"/>
  <c r="H158" i="4"/>
  <c r="H185" i="4"/>
  <c r="H197" i="4"/>
  <c r="H218" i="4"/>
  <c r="H229" i="4"/>
  <c r="H47" i="4"/>
  <c r="H68" i="4"/>
  <c r="H165" i="4"/>
  <c r="H208" i="4"/>
  <c r="H88" i="4"/>
  <c r="H116" i="4"/>
  <c r="H139" i="4"/>
  <c r="H142" i="4"/>
  <c r="H183" i="4"/>
  <c r="H189" i="4"/>
  <c r="H192" i="4"/>
  <c r="H219" i="4"/>
  <c r="H227" i="4"/>
  <c r="H244" i="4"/>
  <c r="H27" i="4"/>
  <c r="H119" i="4"/>
  <c r="H224" i="4"/>
  <c r="H15" i="4"/>
  <c r="H34" i="4"/>
  <c r="H45" i="4"/>
  <c r="H103" i="4"/>
  <c r="H126" i="4"/>
  <c r="H137" i="4"/>
  <c r="H153" i="4"/>
  <c r="H180" i="4"/>
  <c r="H211" i="4"/>
  <c r="H239" i="4"/>
  <c r="H69" i="4"/>
  <c r="H76" i="4"/>
  <c r="H53" i="4"/>
  <c r="H122" i="4"/>
  <c r="H133" i="4"/>
  <c r="H166" i="4"/>
  <c r="H225" i="4"/>
  <c r="H94" i="4"/>
  <c r="H236" i="4"/>
  <c r="H42" i="4"/>
  <c r="H66" i="4"/>
  <c r="H172" i="4"/>
  <c r="H11" i="4"/>
  <c r="H49" i="4"/>
  <c r="H84" i="4"/>
  <c r="H217" i="4"/>
  <c r="H230" i="4"/>
  <c r="H187" i="4"/>
  <c r="H18" i="4"/>
  <c r="H26" i="4"/>
  <c r="H106" i="4"/>
  <c r="H123" i="4"/>
  <c r="H146" i="4"/>
  <c r="H152" i="4"/>
  <c r="H178" i="4"/>
  <c r="H209" i="4"/>
  <c r="H222" i="4"/>
  <c r="H232" i="4"/>
  <c r="H56" i="4"/>
  <c r="H79" i="4"/>
  <c r="H204" i="4"/>
  <c r="H62" i="4"/>
  <c r="H73" i="4"/>
  <c r="H174" i="4"/>
  <c r="H242" i="4"/>
  <c r="H241" i="4"/>
  <c r="H7" i="4"/>
  <c r="H195" i="4"/>
  <c r="H214" i="4"/>
  <c r="U19" i="7"/>
  <c r="Z11" i="7" s="1"/>
  <c r="U13" i="7"/>
  <c r="Z8" i="7" s="1"/>
  <c r="AA8" i="7" s="1"/>
  <c r="U27" i="7"/>
  <c r="Z15" i="7" s="1"/>
  <c r="J88" i="4"/>
  <c r="J25" i="4"/>
  <c r="G183" i="4"/>
  <c r="G54" i="4"/>
  <c r="G171" i="4"/>
  <c r="J171" i="4"/>
  <c r="J58" i="4"/>
  <c r="J148" i="4"/>
  <c r="AA15" i="7" l="1"/>
  <c r="E135" i="4"/>
  <c r="J135" i="4" s="1"/>
  <c r="K160" i="4"/>
  <c r="E83" i="4"/>
  <c r="AA13" i="7"/>
  <c r="K17" i="4"/>
  <c r="E125" i="4"/>
  <c r="E117" i="4"/>
  <c r="E215" i="4"/>
  <c r="E143" i="4"/>
  <c r="J238" i="4"/>
  <c r="CV238" i="4" s="1"/>
  <c r="K211" i="4"/>
  <c r="K191" i="4"/>
  <c r="K37" i="4"/>
  <c r="E202" i="4"/>
  <c r="G202" i="4" s="1"/>
  <c r="E29" i="4"/>
  <c r="E33" i="4"/>
  <c r="E221" i="4"/>
  <c r="E119" i="4"/>
  <c r="G119" i="4" s="1"/>
  <c r="E159" i="4"/>
  <c r="E45" i="4"/>
  <c r="E30" i="4"/>
  <c r="J30" i="4" s="1"/>
  <c r="K68" i="4"/>
  <c r="K107" i="4"/>
  <c r="E182" i="4"/>
  <c r="E226" i="4"/>
  <c r="G226" i="4" s="1"/>
  <c r="E93" i="4"/>
  <c r="K225" i="4"/>
  <c r="E242" i="4"/>
  <c r="E134" i="4"/>
  <c r="E63" i="4"/>
  <c r="E157" i="4"/>
  <c r="G109" i="4"/>
  <c r="AO109" i="4" s="1"/>
  <c r="E174" i="4"/>
  <c r="E80" i="4"/>
  <c r="E89" i="4"/>
  <c r="J89" i="4" s="1"/>
  <c r="G165" i="4"/>
  <c r="E245" i="4"/>
  <c r="E76" i="4"/>
  <c r="J11" i="4"/>
  <c r="E98" i="4"/>
  <c r="J98" i="4" s="1"/>
  <c r="G185" i="4"/>
  <c r="K129" i="4"/>
  <c r="K158" i="4"/>
  <c r="E232" i="4"/>
  <c r="E141" i="4"/>
  <c r="E112" i="4"/>
  <c r="AT218" i="4"/>
  <c r="E216" i="4"/>
  <c r="E122" i="4"/>
  <c r="J122" i="4" s="1"/>
  <c r="E5" i="4"/>
  <c r="J5" i="4" s="1"/>
  <c r="E34" i="4"/>
  <c r="G228" i="4"/>
  <c r="J197" i="4"/>
  <c r="K31" i="4"/>
  <c r="G87" i="4"/>
  <c r="K90" i="4"/>
  <c r="K116" i="4"/>
  <c r="K223" i="4"/>
  <c r="K133" i="4"/>
  <c r="K137" i="4"/>
  <c r="E46" i="4"/>
  <c r="E167" i="4"/>
  <c r="E62" i="4"/>
  <c r="E189" i="4"/>
  <c r="E67" i="4"/>
  <c r="E101" i="4"/>
  <c r="E207" i="4"/>
  <c r="K197" i="4"/>
  <c r="E102" i="4"/>
  <c r="K88" i="4"/>
  <c r="K196" i="4"/>
  <c r="K59" i="4"/>
  <c r="K128" i="4"/>
  <c r="K10" i="4"/>
  <c r="K7" i="4"/>
  <c r="E78" i="4"/>
  <c r="E104" i="4"/>
  <c r="J104" i="4" s="1"/>
  <c r="E200" i="4"/>
  <c r="J200" i="4" s="1"/>
  <c r="E154" i="4"/>
  <c r="J154" i="4" s="1"/>
  <c r="E147" i="4"/>
  <c r="J147" i="4" s="1"/>
  <c r="CV147" i="4" s="1"/>
  <c r="CQ241" i="4"/>
  <c r="AO241" i="4"/>
  <c r="E24" i="4"/>
  <c r="K24" i="4"/>
  <c r="G41" i="4"/>
  <c r="J41" i="4"/>
  <c r="S41" i="4" s="1"/>
  <c r="J99" i="4"/>
  <c r="G99" i="4"/>
  <c r="J56" i="4"/>
  <c r="G56" i="4"/>
  <c r="CQ238" i="4"/>
  <c r="AO238" i="4"/>
  <c r="K205" i="4"/>
  <c r="K120" i="4"/>
  <c r="E120" i="4"/>
  <c r="J20" i="4"/>
  <c r="DE20" i="4" s="1"/>
  <c r="G20" i="4"/>
  <c r="J39" i="4"/>
  <c r="BL39" i="4" s="1"/>
  <c r="G39" i="4"/>
  <c r="N229" i="4"/>
  <c r="BP229" i="4"/>
  <c r="BP124" i="4"/>
  <c r="N124" i="4"/>
  <c r="N86" i="4"/>
  <c r="BP86" i="4"/>
  <c r="N30" i="4"/>
  <c r="BP30" i="4"/>
  <c r="S30" i="4"/>
  <c r="AK30" i="4"/>
  <c r="DE30" i="4"/>
  <c r="J139" i="4"/>
  <c r="DE139" i="4" s="1"/>
  <c r="G139" i="4"/>
  <c r="J9" i="4"/>
  <c r="CD9" i="4" s="1"/>
  <c r="G9" i="4"/>
  <c r="K70" i="4"/>
  <c r="E70" i="4"/>
  <c r="G146" i="4"/>
  <c r="J146" i="4"/>
  <c r="AB146" i="4" s="1"/>
  <c r="BP49" i="4"/>
  <c r="N49" i="4"/>
  <c r="S49" i="4"/>
  <c r="CD218" i="4"/>
  <c r="DN218" i="4"/>
  <c r="N218" i="4"/>
  <c r="BP218" i="4"/>
  <c r="CM218" i="4"/>
  <c r="BU218" i="4"/>
  <c r="AB218" i="4"/>
  <c r="BL218" i="4"/>
  <c r="AK218" i="4"/>
  <c r="DE218" i="4"/>
  <c r="S218" i="4"/>
  <c r="CV218" i="4"/>
  <c r="BC218" i="4"/>
  <c r="N131" i="4"/>
  <c r="BP131" i="4"/>
  <c r="E126" i="4"/>
  <c r="K126" i="4"/>
  <c r="K9" i="4"/>
  <c r="G201" i="4"/>
  <c r="J201" i="4"/>
  <c r="G168" i="4"/>
  <c r="J168" i="4"/>
  <c r="E222" i="4"/>
  <c r="K222" i="4"/>
  <c r="E113" i="4"/>
  <c r="K113" i="4"/>
  <c r="K103" i="4"/>
  <c r="E103" i="4"/>
  <c r="AA11" i="7"/>
  <c r="BP11" i="4"/>
  <c r="N11" i="4"/>
  <c r="BP219" i="4"/>
  <c r="N219" i="4"/>
  <c r="N117" i="4"/>
  <c r="BP117" i="4"/>
  <c r="N145" i="4"/>
  <c r="BP145" i="4"/>
  <c r="K76" i="4"/>
  <c r="E234" i="4"/>
  <c r="K234" i="4"/>
  <c r="J240" i="4"/>
  <c r="CD240" i="4" s="1"/>
  <c r="G240" i="4"/>
  <c r="E82" i="4"/>
  <c r="K82" i="4"/>
  <c r="K19" i="4"/>
  <c r="E19" i="4"/>
  <c r="E231" i="4"/>
  <c r="G137" i="4"/>
  <c r="J137" i="4"/>
  <c r="CV137" i="4" s="1"/>
  <c r="E127" i="4"/>
  <c r="K127" i="4"/>
  <c r="J244" i="4"/>
  <c r="AK244" i="4" s="1"/>
  <c r="G244" i="4"/>
  <c r="E81" i="4"/>
  <c r="K81" i="4"/>
  <c r="S233" i="4"/>
  <c r="AK227" i="4"/>
  <c r="CQ87" i="4"/>
  <c r="AO87" i="4"/>
  <c r="AB137" i="4"/>
  <c r="J16" i="2" s="1" a="1"/>
  <c r="J16" i="2" s="1"/>
  <c r="BP209" i="4"/>
  <c r="N209" i="4"/>
  <c r="BP172" i="4"/>
  <c r="N172" i="4"/>
  <c r="BP180" i="4"/>
  <c r="N180" i="4"/>
  <c r="N192" i="4"/>
  <c r="BP192" i="4"/>
  <c r="N185" i="4"/>
  <c r="BP185" i="4"/>
  <c r="N121" i="4"/>
  <c r="BP121" i="4"/>
  <c r="N36" i="4"/>
  <c r="BP36" i="4"/>
  <c r="N98" i="4"/>
  <c r="BP98" i="4"/>
  <c r="BP24" i="4"/>
  <c r="N24" i="4"/>
  <c r="BP110" i="4"/>
  <c r="N110" i="4"/>
  <c r="BP13" i="4"/>
  <c r="N13" i="4"/>
  <c r="N128" i="4"/>
  <c r="BP128" i="4"/>
  <c r="BP136" i="4"/>
  <c r="N136" i="4"/>
  <c r="BP177" i="4"/>
  <c r="N177" i="4"/>
  <c r="N171" i="4"/>
  <c r="BP171" i="4"/>
  <c r="N31" i="4"/>
  <c r="BP31" i="4"/>
  <c r="K98" i="4"/>
  <c r="K30" i="4"/>
  <c r="K63" i="4"/>
  <c r="K135" i="4"/>
  <c r="G218" i="4"/>
  <c r="K20" i="4"/>
  <c r="AO25" i="4"/>
  <c r="CQ25" i="4"/>
  <c r="K28" i="4"/>
  <c r="E28" i="4"/>
  <c r="E26" i="4"/>
  <c r="K26" i="4"/>
  <c r="G216" i="4"/>
  <c r="J216" i="4"/>
  <c r="E149" i="4"/>
  <c r="K149" i="4"/>
  <c r="G21" i="4"/>
  <c r="J21" i="4"/>
  <c r="G83" i="4"/>
  <c r="J83" i="4"/>
  <c r="DN83" i="4" s="1"/>
  <c r="J64" i="4"/>
  <c r="CD64" i="4" s="1"/>
  <c r="G64" i="4"/>
  <c r="N244" i="4"/>
  <c r="BP244" i="4"/>
  <c r="CV244" i="4"/>
  <c r="AB244" i="4"/>
  <c r="CD244" i="4"/>
  <c r="S244" i="4"/>
  <c r="AT244" i="4"/>
  <c r="DE244" i="4"/>
  <c r="DN244" i="4"/>
  <c r="BL244" i="4"/>
  <c r="BP147" i="4"/>
  <c r="N147" i="4"/>
  <c r="BP179" i="4"/>
  <c r="N179" i="4"/>
  <c r="G122" i="4"/>
  <c r="J242" i="4"/>
  <c r="CM242" i="4" s="1"/>
  <c r="G242" i="4"/>
  <c r="E199" i="4"/>
  <c r="K199" i="4"/>
  <c r="J47" i="4"/>
  <c r="G47" i="4"/>
  <c r="BP232" i="4"/>
  <c r="N232" i="4"/>
  <c r="BP239" i="4"/>
  <c r="N239" i="4"/>
  <c r="N205" i="4"/>
  <c r="BP205" i="4"/>
  <c r="CV205" i="4"/>
  <c r="E92" i="4"/>
  <c r="K92" i="4"/>
  <c r="E208" i="4"/>
  <c r="K208" i="4"/>
  <c r="E203" i="4"/>
  <c r="K203" i="4"/>
  <c r="G134" i="4"/>
  <c r="J134" i="4"/>
  <c r="G181" i="4"/>
  <c r="J181" i="4"/>
  <c r="CV181" i="4" s="1"/>
  <c r="G235" i="4"/>
  <c r="J235" i="4"/>
  <c r="BP222" i="4"/>
  <c r="N222" i="4"/>
  <c r="BP211" i="4"/>
  <c r="N211" i="4"/>
  <c r="BP197" i="4"/>
  <c r="N197" i="4"/>
  <c r="N188" i="4"/>
  <c r="BP188" i="4"/>
  <c r="N61" i="4"/>
  <c r="BP61" i="4"/>
  <c r="BP67" i="4"/>
  <c r="N67" i="4"/>
  <c r="N118" i="4"/>
  <c r="BP118" i="4"/>
  <c r="BP51" i="4"/>
  <c r="N51" i="4"/>
  <c r="N156" i="4"/>
  <c r="BP156" i="4"/>
  <c r="DE156" i="4"/>
  <c r="BP190" i="4"/>
  <c r="N190" i="4"/>
  <c r="N35" i="4"/>
  <c r="BP35" i="4"/>
  <c r="BP40" i="4"/>
  <c r="N40" i="4"/>
  <c r="K111" i="4"/>
  <c r="E111" i="4"/>
  <c r="K216" i="4"/>
  <c r="E236" i="4"/>
  <c r="K236" i="4"/>
  <c r="E145" i="4"/>
  <c r="J177" i="4"/>
  <c r="G177" i="4"/>
  <c r="E196" i="4"/>
  <c r="G63" i="4"/>
  <c r="J63" i="4"/>
  <c r="G71" i="4"/>
  <c r="BP214" i="4"/>
  <c r="N214" i="4"/>
  <c r="BP178" i="4"/>
  <c r="N178" i="4"/>
  <c r="N66" i="4"/>
  <c r="BP66" i="4"/>
  <c r="BP153" i="4"/>
  <c r="N153" i="4"/>
  <c r="N189" i="4"/>
  <c r="BP189" i="4"/>
  <c r="BP158" i="4"/>
  <c r="N158" i="4"/>
  <c r="BP108" i="4"/>
  <c r="N108" i="4"/>
  <c r="BP71" i="4"/>
  <c r="N71" i="4"/>
  <c r="N77" i="4"/>
  <c r="BP77" i="4"/>
  <c r="BP8" i="4"/>
  <c r="N8" i="4"/>
  <c r="BP60" i="4"/>
  <c r="N60" i="4"/>
  <c r="BP43" i="4"/>
  <c r="N43" i="4"/>
  <c r="N112" i="4"/>
  <c r="BP112" i="4"/>
  <c r="N134" i="4"/>
  <c r="BP134" i="4"/>
  <c r="N175" i="4"/>
  <c r="BP175" i="4"/>
  <c r="CV175" i="4"/>
  <c r="DN175" i="4"/>
  <c r="BP235" i="4"/>
  <c r="N235" i="4"/>
  <c r="DN235" i="4"/>
  <c r="BP169" i="4"/>
  <c r="N169" i="4"/>
  <c r="BP29" i="4"/>
  <c r="N29" i="4"/>
  <c r="K174" i="4"/>
  <c r="K5" i="4"/>
  <c r="K122" i="4"/>
  <c r="K218" i="4"/>
  <c r="K102" i="4"/>
  <c r="K83" i="4"/>
  <c r="AO11" i="4"/>
  <c r="CQ11" i="4"/>
  <c r="G173" i="4"/>
  <c r="J173" i="4"/>
  <c r="AO183" i="4"/>
  <c r="CQ183" i="4"/>
  <c r="CQ88" i="4"/>
  <c r="AO88" i="4"/>
  <c r="J65" i="4"/>
  <c r="DE65" i="4" s="1"/>
  <c r="K10" i="2" s="1" a="1"/>
  <c r="K10" i="2" s="1"/>
  <c r="G65" i="4"/>
  <c r="J22" i="4"/>
  <c r="G22" i="4"/>
  <c r="E136" i="4"/>
  <c r="K136" i="4"/>
  <c r="AO197" i="4"/>
  <c r="CQ197" i="4"/>
  <c r="K35" i="4"/>
  <c r="E35" i="4"/>
  <c r="J6" i="4"/>
  <c r="G6" i="4"/>
  <c r="AO54" i="4"/>
  <c r="CQ54" i="4"/>
  <c r="N84" i="4"/>
  <c r="BP84" i="4"/>
  <c r="N160" i="4"/>
  <c r="BP160" i="4"/>
  <c r="BP54" i="4"/>
  <c r="N54" i="4"/>
  <c r="E243" i="4"/>
  <c r="K243" i="4"/>
  <c r="G53" i="4"/>
  <c r="J53" i="4"/>
  <c r="N227" i="4"/>
  <c r="BP227" i="4"/>
  <c r="BP74" i="4"/>
  <c r="N74" i="4"/>
  <c r="J114" i="4"/>
  <c r="G114" i="4"/>
  <c r="E74" i="4"/>
  <c r="E212" i="4"/>
  <c r="K212" i="4"/>
  <c r="J97" i="4"/>
  <c r="BC97" i="4" s="1"/>
  <c r="G97" i="4"/>
  <c r="BP23" i="4"/>
  <c r="N23" i="4"/>
  <c r="DN94" i="4"/>
  <c r="BP195" i="4"/>
  <c r="N195" i="4"/>
  <c r="BP152" i="4"/>
  <c r="N152" i="4"/>
  <c r="N42" i="4"/>
  <c r="BP42" i="4"/>
  <c r="BP137" i="4"/>
  <c r="N137" i="4"/>
  <c r="CM137" i="4"/>
  <c r="CD137" i="4"/>
  <c r="BU137" i="4"/>
  <c r="AK137" i="4"/>
  <c r="BL137" i="4"/>
  <c r="S137" i="4"/>
  <c r="BC137" i="4"/>
  <c r="BP183" i="4"/>
  <c r="N183" i="4"/>
  <c r="BP148" i="4"/>
  <c r="N148" i="4"/>
  <c r="N87" i="4"/>
  <c r="BP87" i="4"/>
  <c r="BP234" i="4"/>
  <c r="N234" i="4"/>
  <c r="N70" i="4"/>
  <c r="BP70" i="4"/>
  <c r="BP207" i="4"/>
  <c r="N207" i="4"/>
  <c r="BP41" i="4"/>
  <c r="N41" i="4"/>
  <c r="N19" i="4"/>
  <c r="BP19" i="4"/>
  <c r="N104" i="4"/>
  <c r="BP104" i="4"/>
  <c r="AB104" i="4"/>
  <c r="BL104" i="4"/>
  <c r="CM104" i="4"/>
  <c r="N132" i="4"/>
  <c r="BP132" i="4"/>
  <c r="N163" i="4"/>
  <c r="BP163" i="4"/>
  <c r="BP206" i="4"/>
  <c r="N206" i="4"/>
  <c r="N129" i="4"/>
  <c r="BP129" i="4"/>
  <c r="BP25" i="4"/>
  <c r="N25" i="4"/>
  <c r="K47" i="4"/>
  <c r="K134" i="4"/>
  <c r="K241" i="4"/>
  <c r="K21" i="4"/>
  <c r="K138" i="4"/>
  <c r="K201" i="4"/>
  <c r="E10" i="4"/>
  <c r="K228" i="4"/>
  <c r="E44" i="4"/>
  <c r="K44" i="4"/>
  <c r="J131" i="4"/>
  <c r="DE131" i="4" s="1"/>
  <c r="G131" i="4"/>
  <c r="E172" i="4"/>
  <c r="K172" i="4"/>
  <c r="J115" i="4"/>
  <c r="CM115" i="4" s="1"/>
  <c r="G115" i="4"/>
  <c r="N213" i="4"/>
  <c r="BP213" i="4"/>
  <c r="BP233" i="4"/>
  <c r="N233" i="4"/>
  <c r="J102" i="4"/>
  <c r="AT102" i="4" s="1"/>
  <c r="G102" i="4"/>
  <c r="G27" i="4"/>
  <c r="J27" i="4"/>
  <c r="N7" i="4"/>
  <c r="BP7" i="4"/>
  <c r="N146" i="4"/>
  <c r="BP146" i="4"/>
  <c r="BC146" i="4"/>
  <c r="DN146" i="4"/>
  <c r="BP236" i="4"/>
  <c r="N236" i="4"/>
  <c r="N126" i="4"/>
  <c r="BP126" i="4"/>
  <c r="N142" i="4"/>
  <c r="BP142" i="4"/>
  <c r="BP144" i="4"/>
  <c r="N144" i="4"/>
  <c r="N58" i="4"/>
  <c r="BP58" i="4"/>
  <c r="BP176" i="4"/>
  <c r="N176" i="4"/>
  <c r="BP64" i="4"/>
  <c r="N64" i="4"/>
  <c r="BU64" i="4"/>
  <c r="BC64" i="4"/>
  <c r="DN64" i="4"/>
  <c r="S64" i="4"/>
  <c r="DE64" i="4"/>
  <c r="AK64" i="4"/>
  <c r="AB64" i="4"/>
  <c r="BL64" i="4"/>
  <c r="CM64" i="4"/>
  <c r="CV64" i="4"/>
  <c r="AT64" i="4"/>
  <c r="N184" i="4"/>
  <c r="BP184" i="4"/>
  <c r="BP38" i="4"/>
  <c r="N38" i="4"/>
  <c r="BP10" i="4"/>
  <c r="N10" i="4"/>
  <c r="N72" i="4"/>
  <c r="BP72" i="4"/>
  <c r="CV72" i="4"/>
  <c r="CM72" i="4"/>
  <c r="BP130" i="4"/>
  <c r="N130" i="4"/>
  <c r="BP161" i="4"/>
  <c r="N161" i="4"/>
  <c r="BP200" i="4"/>
  <c r="N200" i="4"/>
  <c r="BP127" i="4"/>
  <c r="N127" i="4"/>
  <c r="BP12" i="4"/>
  <c r="N12" i="4"/>
  <c r="K72" i="4"/>
  <c r="E108" i="4"/>
  <c r="K108" i="4"/>
  <c r="K184" i="4"/>
  <c r="E224" i="4"/>
  <c r="K224" i="4"/>
  <c r="G174" i="4"/>
  <c r="J174" i="4"/>
  <c r="J205" i="4"/>
  <c r="AB205" i="4" s="1"/>
  <c r="G205" i="4"/>
  <c r="E52" i="4"/>
  <c r="K52" i="4"/>
  <c r="J72" i="4"/>
  <c r="AT72" i="4" s="1"/>
  <c r="G72" i="4"/>
  <c r="J184" i="4"/>
  <c r="AT184" i="4" s="1"/>
  <c r="G184" i="4"/>
  <c r="E169" i="4"/>
  <c r="K169" i="4"/>
  <c r="N56" i="4"/>
  <c r="BP56" i="4"/>
  <c r="BL56" i="4"/>
  <c r="N101" i="4"/>
  <c r="BP101" i="4"/>
  <c r="BP50" i="4"/>
  <c r="N50" i="4"/>
  <c r="E42" i="4"/>
  <c r="K42" i="4"/>
  <c r="J241" i="4"/>
  <c r="DN241" i="4" s="1"/>
  <c r="N241" i="4"/>
  <c r="BP241" i="4"/>
  <c r="BP123" i="4"/>
  <c r="N123" i="4"/>
  <c r="BP94" i="4"/>
  <c r="N94" i="4"/>
  <c r="BU94" i="4"/>
  <c r="AT94" i="4"/>
  <c r="N103" i="4"/>
  <c r="BP103" i="4"/>
  <c r="BP139" i="4"/>
  <c r="N139" i="4"/>
  <c r="CD139" i="4"/>
  <c r="S139" i="4"/>
  <c r="DN139" i="4"/>
  <c r="CM139" i="4"/>
  <c r="BC139" i="4"/>
  <c r="BP138" i="4"/>
  <c r="N138" i="4"/>
  <c r="CM138" i="4"/>
  <c r="AK138" i="4"/>
  <c r="AB138" i="4"/>
  <c r="N21" i="4"/>
  <c r="BP21" i="4"/>
  <c r="N90" i="4"/>
  <c r="BP90" i="4"/>
  <c r="BP39" i="4"/>
  <c r="N39" i="4"/>
  <c r="S39" i="4"/>
  <c r="BC39" i="4"/>
  <c r="AB39" i="4"/>
  <c r="AK39" i="4"/>
  <c r="CM39" i="4"/>
  <c r="CD39" i="4"/>
  <c r="CV39" i="4"/>
  <c r="BP181" i="4"/>
  <c r="N181" i="4"/>
  <c r="S181" i="4"/>
  <c r="DE181" i="4"/>
  <c r="CD181" i="4"/>
  <c r="BU181" i="4"/>
  <c r="BP46" i="4"/>
  <c r="N46" i="4"/>
  <c r="CD46" i="4"/>
  <c r="BP245" i="4"/>
  <c r="N245" i="4"/>
  <c r="N16" i="4"/>
  <c r="BP16" i="4"/>
  <c r="N107" i="4"/>
  <c r="BP107" i="4"/>
  <c r="N159" i="4"/>
  <c r="BP159" i="4"/>
  <c r="N198" i="4"/>
  <c r="BP198" i="4"/>
  <c r="DE198" i="4"/>
  <c r="BP125" i="4"/>
  <c r="N125" i="4"/>
  <c r="CM125" i="4"/>
  <c r="DE125" i="4"/>
  <c r="K15" i="2" s="1" a="1"/>
  <c r="K15" i="2" s="1"/>
  <c r="BL125" i="4"/>
  <c r="E188" i="4"/>
  <c r="K188" i="4"/>
  <c r="X22" i="7" a="1"/>
  <c r="X22" i="7" s="1"/>
  <c r="J138" i="4"/>
  <c r="BU138" i="4" s="1"/>
  <c r="G138" i="4"/>
  <c r="G94" i="4"/>
  <c r="J94" i="4"/>
  <c r="AB94" i="4" s="1"/>
  <c r="BP69" i="4"/>
  <c r="N69" i="4"/>
  <c r="N157" i="4"/>
  <c r="BP157" i="4"/>
  <c r="J100" i="4"/>
  <c r="CM100" i="4" s="1"/>
  <c r="G100" i="4"/>
  <c r="CQ58" i="4"/>
  <c r="AO58" i="4"/>
  <c r="BC181" i="4"/>
  <c r="BL106" i="4"/>
  <c r="K168" i="4"/>
  <c r="K146" i="4"/>
  <c r="G18" i="4"/>
  <c r="J18" i="4"/>
  <c r="AO148" i="4"/>
  <c r="CQ148" i="4"/>
  <c r="K242" i="4"/>
  <c r="G175" i="4"/>
  <c r="J175" i="4"/>
  <c r="BP225" i="4"/>
  <c r="N225" i="4"/>
  <c r="BP116" i="4"/>
  <c r="N116" i="4"/>
  <c r="BP78" i="4"/>
  <c r="N78" i="4"/>
  <c r="N243" i="4"/>
  <c r="BP243" i="4"/>
  <c r="BP194" i="4"/>
  <c r="N194" i="4"/>
  <c r="K114" i="4"/>
  <c r="E38" i="4"/>
  <c r="K38" i="4"/>
  <c r="E161" i="4"/>
  <c r="E128" i="4"/>
  <c r="E48" i="4"/>
  <c r="DN122" i="4"/>
  <c r="N174" i="4"/>
  <c r="BP174" i="4"/>
  <c r="BP26" i="4"/>
  <c r="N26" i="4"/>
  <c r="BP166" i="4"/>
  <c r="N166" i="4"/>
  <c r="N34" i="4"/>
  <c r="BP34" i="4"/>
  <c r="BP88" i="4"/>
  <c r="N88" i="4"/>
  <c r="BU102" i="4"/>
  <c r="BP102" i="4"/>
  <c r="N102" i="4"/>
  <c r="S102" i="4"/>
  <c r="BC102" i="4"/>
  <c r="BL102" i="4"/>
  <c r="CV102" i="4"/>
  <c r="DN102" i="4"/>
  <c r="CM102" i="4"/>
  <c r="BP237" i="4"/>
  <c r="N237" i="4"/>
  <c r="N210" i="4"/>
  <c r="BP210" i="4"/>
  <c r="BP220" i="4"/>
  <c r="N220" i="4"/>
  <c r="N143" i="4"/>
  <c r="BP143" i="4"/>
  <c r="N212" i="4"/>
  <c r="BP212" i="4"/>
  <c r="N238" i="4"/>
  <c r="BP238" i="4"/>
  <c r="BP82" i="4"/>
  <c r="N82" i="4"/>
  <c r="N63" i="4"/>
  <c r="BP63" i="4"/>
  <c r="CM63" i="4"/>
  <c r="BL63" i="4"/>
  <c r="S63" i="4"/>
  <c r="DE63" i="4"/>
  <c r="BP151" i="4"/>
  <c r="N151" i="4"/>
  <c r="BP113" i="4"/>
  <c r="N113" i="4"/>
  <c r="BP96" i="4"/>
  <c r="N96" i="4"/>
  <c r="K18" i="4"/>
  <c r="K170" i="4"/>
  <c r="K131" i="4"/>
  <c r="K235" i="4"/>
  <c r="K181" i="4"/>
  <c r="K6" i="4"/>
  <c r="K215" i="4"/>
  <c r="K79" i="4"/>
  <c r="J202" i="4"/>
  <c r="BL202" i="4" s="1"/>
  <c r="J96" i="4"/>
  <c r="BL96" i="4" s="1"/>
  <c r="G96" i="4"/>
  <c r="E69" i="4"/>
  <c r="E179" i="4"/>
  <c r="E86" i="4"/>
  <c r="K86" i="4"/>
  <c r="E180" i="4"/>
  <c r="G209" i="4"/>
  <c r="J209" i="4"/>
  <c r="J33" i="4"/>
  <c r="BL33" i="4" s="1"/>
  <c r="G33" i="4"/>
  <c r="J221" i="4"/>
  <c r="CM221" i="4" s="1"/>
  <c r="G221" i="4"/>
  <c r="E213" i="4"/>
  <c r="G106" i="4"/>
  <c r="J106" i="4"/>
  <c r="AK106" i="4" s="1"/>
  <c r="E192" i="4"/>
  <c r="G159" i="4"/>
  <c r="J159" i="4"/>
  <c r="BU159" i="4" s="1"/>
  <c r="N115" i="4"/>
  <c r="BP115" i="4"/>
  <c r="DN115" i="4"/>
  <c r="AB115" i="4"/>
  <c r="N164" i="4"/>
  <c r="BP164" i="4"/>
  <c r="CH6" i="4"/>
  <c r="CG6" i="4" s="1"/>
  <c r="W6" i="4"/>
  <c r="V6" i="4" s="1"/>
  <c r="BY6" i="4"/>
  <c r="BX6" i="4" s="1"/>
  <c r="BP6" i="4"/>
  <c r="BO6" i="4" s="1"/>
  <c r="N6" i="4"/>
  <c r="M6" i="4" s="1"/>
  <c r="AF6" i="4"/>
  <c r="AE6" i="4" s="1"/>
  <c r="N100" i="4"/>
  <c r="BP100" i="4"/>
  <c r="K22" i="4"/>
  <c r="K100" i="4"/>
  <c r="J125" i="4"/>
  <c r="DN125" i="4" s="1"/>
  <c r="G125" i="4"/>
  <c r="J49" i="4"/>
  <c r="G49" i="4"/>
  <c r="J43" i="4"/>
  <c r="AB43" i="4" s="1"/>
  <c r="G43" i="4"/>
  <c r="J13" i="4"/>
  <c r="CM13" i="4" s="1"/>
  <c r="G13" i="4"/>
  <c r="CQ171" i="4"/>
  <c r="AO171" i="4"/>
  <c r="N73" i="4"/>
  <c r="BP73" i="4"/>
  <c r="BP18" i="4"/>
  <c r="N18" i="4"/>
  <c r="DN18" i="4"/>
  <c r="S18" i="4"/>
  <c r="CD18" i="4"/>
  <c r="AT18" i="4"/>
  <c r="DE18" i="4"/>
  <c r="BC18" i="4"/>
  <c r="N133" i="4"/>
  <c r="BP133" i="4"/>
  <c r="BP15" i="4"/>
  <c r="N15" i="4"/>
  <c r="BP208" i="4"/>
  <c r="N208" i="4"/>
  <c r="N168" i="4"/>
  <c r="BP168" i="4"/>
  <c r="S168" i="4"/>
  <c r="AK168" i="4"/>
  <c r="CM168" i="4"/>
  <c r="BU168" i="4"/>
  <c r="BP81" i="4"/>
  <c r="N81" i="4"/>
  <c r="N202" i="4"/>
  <c r="BP202" i="4"/>
  <c r="S202" i="4"/>
  <c r="CM202" i="4"/>
  <c r="AT202" i="4"/>
  <c r="AK202" i="4"/>
  <c r="CD202" i="4"/>
  <c r="AB202" i="4"/>
  <c r="DE202" i="4"/>
  <c r="DN202" i="4"/>
  <c r="BP193" i="4"/>
  <c r="N193" i="4"/>
  <c r="N120" i="4"/>
  <c r="BP120" i="4"/>
  <c r="N201" i="4"/>
  <c r="BP201" i="4"/>
  <c r="BU201" i="4"/>
  <c r="CM201" i="4"/>
  <c r="AB201" i="4"/>
  <c r="BP228" i="4"/>
  <c r="N228" i="4"/>
  <c r="N59" i="4"/>
  <c r="BP59" i="4"/>
  <c r="N52" i="4"/>
  <c r="BP52" i="4"/>
  <c r="BP111" i="4"/>
  <c r="N111" i="4"/>
  <c r="BP109" i="4"/>
  <c r="N109" i="4"/>
  <c r="N89" i="4"/>
  <c r="BP89" i="4"/>
  <c r="AK89" i="4"/>
  <c r="K50" i="4"/>
  <c r="K97" i="4"/>
  <c r="K49" i="4"/>
  <c r="K229" i="4"/>
  <c r="K139" i="4"/>
  <c r="K78" i="4"/>
  <c r="K93" i="4"/>
  <c r="E31" i="4"/>
  <c r="E116" i="4"/>
  <c r="E191" i="4"/>
  <c r="E210" i="4"/>
  <c r="E7" i="4"/>
  <c r="E158" i="4"/>
  <c r="E129" i="4"/>
  <c r="E59" i="4"/>
  <c r="E107" i="4"/>
  <c r="E37" i="4"/>
  <c r="E186" i="4"/>
  <c r="N45" i="4"/>
  <c r="BP45" i="4"/>
  <c r="BP221" i="4"/>
  <c r="N221" i="4"/>
  <c r="K71" i="4"/>
  <c r="E90" i="4"/>
  <c r="G215" i="4"/>
  <c r="J215" i="4"/>
  <c r="BU242" i="4"/>
  <c r="G130" i="4"/>
  <c r="N62" i="4"/>
  <c r="BP62" i="4"/>
  <c r="N187" i="4"/>
  <c r="BP187" i="4"/>
  <c r="BP122" i="4"/>
  <c r="N122" i="4"/>
  <c r="N224" i="4"/>
  <c r="BP224" i="4"/>
  <c r="BP165" i="4"/>
  <c r="N165" i="4"/>
  <c r="DE165" i="4"/>
  <c r="AT165" i="4"/>
  <c r="DN165" i="4"/>
  <c r="AB165" i="4"/>
  <c r="CM165" i="4"/>
  <c r="BL165" i="4"/>
  <c r="CV165" i="4"/>
  <c r="BU165" i="4"/>
  <c r="CD165" i="4"/>
  <c r="S165" i="4"/>
  <c r="AK165" i="4"/>
  <c r="N135" i="4"/>
  <c r="BP135" i="4"/>
  <c r="BC135" i="4"/>
  <c r="AB135" i="4"/>
  <c r="BU135" i="4"/>
  <c r="BL135" i="4"/>
  <c r="DN135" i="4"/>
  <c r="N240" i="4"/>
  <c r="BP240" i="4"/>
  <c r="AB240" i="4"/>
  <c r="DN240" i="4"/>
  <c r="CV240" i="4"/>
  <c r="BL240" i="4"/>
  <c r="S240" i="4"/>
  <c r="CM240" i="4"/>
  <c r="AT240" i="4"/>
  <c r="BC240" i="4"/>
  <c r="N199" i="4"/>
  <c r="BP199" i="4"/>
  <c r="N173" i="4"/>
  <c r="BP173" i="4"/>
  <c r="CD173" i="4"/>
  <c r="BC173" i="4"/>
  <c r="S173" i="4"/>
  <c r="AT173" i="4"/>
  <c r="CV173" i="4"/>
  <c r="AK173" i="4"/>
  <c r="BU173" i="4"/>
  <c r="AB173" i="4"/>
  <c r="BP92" i="4"/>
  <c r="N92" i="4"/>
  <c r="BP186" i="4"/>
  <c r="N186" i="4"/>
  <c r="N216" i="4"/>
  <c r="BP216" i="4"/>
  <c r="BP57" i="4"/>
  <c r="N57" i="4"/>
  <c r="AB57" i="4"/>
  <c r="DN57" i="4"/>
  <c r="S57" i="4"/>
  <c r="DE57" i="4"/>
  <c r="AT57" i="4"/>
  <c r="N28" i="4"/>
  <c r="BP28" i="4"/>
  <c r="BP99" i="4"/>
  <c r="N99" i="4"/>
  <c r="BL99" i="4"/>
  <c r="AT99" i="4"/>
  <c r="AB99" i="4"/>
  <c r="CD99" i="4"/>
  <c r="BU99" i="4"/>
  <c r="N105" i="4"/>
  <c r="BP105" i="4"/>
  <c r="DN105" i="4"/>
  <c r="S105" i="4"/>
  <c r="AK105" i="4"/>
  <c r="CV105" i="4"/>
  <c r="BU105" i="4"/>
  <c r="BL105" i="4"/>
  <c r="CD105" i="4"/>
  <c r="CM105" i="4"/>
  <c r="BP83" i="4"/>
  <c r="N83" i="4"/>
  <c r="AB83" i="4"/>
  <c r="S83" i="4"/>
  <c r="BL83" i="4"/>
  <c r="CD83" i="4"/>
  <c r="DE83" i="4"/>
  <c r="AT83" i="4"/>
  <c r="CV83" i="4"/>
  <c r="AK83" i="4"/>
  <c r="BC83" i="4"/>
  <c r="CM83" i="4"/>
  <c r="BU83" i="4"/>
  <c r="K11" i="4"/>
  <c r="K115" i="4"/>
  <c r="K178" i="4"/>
  <c r="K41" i="4"/>
  <c r="K101" i="4"/>
  <c r="J105" i="4"/>
  <c r="DE105" i="4" s="1"/>
  <c r="G105" i="4"/>
  <c r="E121" i="4"/>
  <c r="E206" i="4"/>
  <c r="K194" i="4"/>
  <c r="E194" i="4"/>
  <c r="J182" i="4"/>
  <c r="AT182" i="4" s="1"/>
  <c r="G182" i="4"/>
  <c r="J226" i="4"/>
  <c r="BL226" i="4" s="1"/>
  <c r="J140" i="4"/>
  <c r="G140" i="4"/>
  <c r="E151" i="4"/>
  <c r="E124" i="4"/>
  <c r="E85" i="4"/>
  <c r="E193" i="4"/>
  <c r="E176" i="4"/>
  <c r="E15" i="4"/>
  <c r="J162" i="4"/>
  <c r="G162" i="4"/>
  <c r="J219" i="4"/>
  <c r="G219" i="4"/>
  <c r="N106" i="4"/>
  <c r="BP106" i="4"/>
  <c r="BP223" i="4"/>
  <c r="N223" i="4"/>
  <c r="BP97" i="4"/>
  <c r="N97" i="4"/>
  <c r="CM97" i="4"/>
  <c r="CV97" i="4"/>
  <c r="BL97" i="4"/>
  <c r="AT97" i="4"/>
  <c r="CD97" i="4"/>
  <c r="AB97" i="4"/>
  <c r="S97" i="4"/>
  <c r="DE97" i="4"/>
  <c r="AK97" i="4"/>
  <c r="BU97" i="4"/>
  <c r="K94" i="4"/>
  <c r="E118" i="4"/>
  <c r="E16" i="4"/>
  <c r="BP204" i="4"/>
  <c r="N204" i="4"/>
  <c r="N230" i="4"/>
  <c r="BP230" i="4"/>
  <c r="BP53" i="4"/>
  <c r="N53" i="4"/>
  <c r="N119" i="4"/>
  <c r="BP119" i="4"/>
  <c r="BP68" i="4"/>
  <c r="N68" i="4"/>
  <c r="AT68" i="4"/>
  <c r="CV68" i="4"/>
  <c r="N44" i="4"/>
  <c r="BP44" i="4"/>
  <c r="N215" i="4"/>
  <c r="BP215" i="4"/>
  <c r="N170" i="4"/>
  <c r="BP170" i="4"/>
  <c r="BP150" i="4"/>
  <c r="N150" i="4"/>
  <c r="N20" i="4"/>
  <c r="BP20" i="4"/>
  <c r="BL20" i="4"/>
  <c r="CM20" i="4"/>
  <c r="CV20" i="4"/>
  <c r="BU20" i="4"/>
  <c r="S20" i="4"/>
  <c r="CD20" i="4"/>
  <c r="AB20" i="4"/>
  <c r="AT20" i="4"/>
  <c r="BC20" i="4"/>
  <c r="DN20" i="4"/>
  <c r="AK20" i="4"/>
  <c r="N162" i="4"/>
  <c r="BP162" i="4"/>
  <c r="N203" i="4"/>
  <c r="BP203" i="4"/>
  <c r="BP55" i="4"/>
  <c r="N55" i="4"/>
  <c r="N14" i="4"/>
  <c r="BP14" i="4"/>
  <c r="BP95" i="4"/>
  <c r="N95" i="4"/>
  <c r="N93" i="4"/>
  <c r="BP93" i="4"/>
  <c r="N48" i="4"/>
  <c r="BP48" i="4"/>
  <c r="K207" i="4"/>
  <c r="K99" i="4"/>
  <c r="K56" i="4"/>
  <c r="K62" i="4"/>
  <c r="K238" i="4"/>
  <c r="K227" i="4"/>
  <c r="K233" i="4"/>
  <c r="E32" i="4"/>
  <c r="K32" i="4"/>
  <c r="E223" i="4"/>
  <c r="K61" i="4"/>
  <c r="E61" i="4"/>
  <c r="J66" i="4"/>
  <c r="AK66" i="4" s="1"/>
  <c r="G66" i="4"/>
  <c r="J229" i="4"/>
  <c r="DN229" i="4" s="1"/>
  <c r="G229" i="4"/>
  <c r="E123" i="4"/>
  <c r="E60" i="4"/>
  <c r="E150" i="4"/>
  <c r="E152" i="4"/>
  <c r="E155" i="4"/>
  <c r="E195" i="4"/>
  <c r="E217" i="4"/>
  <c r="E23" i="4"/>
  <c r="E8" i="4"/>
  <c r="J142" i="4"/>
  <c r="AB142" i="4" s="1"/>
  <c r="G142" i="4"/>
  <c r="AO165" i="4"/>
  <c r="CQ165" i="4"/>
  <c r="BP242" i="4"/>
  <c r="N242" i="4"/>
  <c r="N231" i="4"/>
  <c r="BP231" i="4"/>
  <c r="BP155" i="4"/>
  <c r="N155" i="4"/>
  <c r="E55" i="4"/>
  <c r="K55" i="4"/>
  <c r="G50" i="4"/>
  <c r="J50" i="4"/>
  <c r="G40" i="4"/>
  <c r="J40" i="4"/>
  <c r="G117" i="4"/>
  <c r="J117" i="4"/>
  <c r="DN117" i="4" s="1"/>
  <c r="CQ185" i="4"/>
  <c r="AO185" i="4"/>
  <c r="BP79" i="4"/>
  <c r="N79" i="4"/>
  <c r="S79" i="4"/>
  <c r="DE79" i="4"/>
  <c r="CM79" i="4"/>
  <c r="AT79" i="4"/>
  <c r="N217" i="4"/>
  <c r="BP217" i="4"/>
  <c r="N76" i="4"/>
  <c r="BP76" i="4"/>
  <c r="BP27" i="4"/>
  <c r="N27" i="4"/>
  <c r="AT27" i="4"/>
  <c r="CD27" i="4"/>
  <c r="CV27" i="4"/>
  <c r="DE27" i="4"/>
  <c r="N47" i="4"/>
  <c r="BP47" i="4"/>
  <c r="BC47" i="4"/>
  <c r="DN47" i="4"/>
  <c r="AK47" i="4"/>
  <c r="N226" i="4"/>
  <c r="BP226" i="4"/>
  <c r="BP141" i="4"/>
  <c r="N141" i="4"/>
  <c r="N154" i="4"/>
  <c r="BP154" i="4"/>
  <c r="N114" i="4"/>
  <c r="BP114" i="4"/>
  <c r="CM114" i="4"/>
  <c r="CV114" i="4"/>
  <c r="N182" i="4"/>
  <c r="BP182" i="4"/>
  <c r="CD182" i="4"/>
  <c r="BP91" i="4"/>
  <c r="N91" i="4"/>
  <c r="N191" i="4"/>
  <c r="BP191" i="4"/>
  <c r="N17" i="4"/>
  <c r="BP17" i="4"/>
  <c r="N9" i="4"/>
  <c r="BP9" i="4"/>
  <c r="BP85" i="4"/>
  <c r="N85" i="4"/>
  <c r="N75" i="4"/>
  <c r="BP75" i="4"/>
  <c r="BP32" i="4"/>
  <c r="N32" i="4"/>
  <c r="K53" i="4"/>
  <c r="K65" i="4"/>
  <c r="K25" i="4"/>
  <c r="K40" i="4"/>
  <c r="K244" i="4"/>
  <c r="AA17" i="7"/>
  <c r="K125" i="4"/>
  <c r="G133" i="4"/>
  <c r="J133" i="4"/>
  <c r="AT133" i="4" s="1"/>
  <c r="E51" i="4"/>
  <c r="E73" i="4"/>
  <c r="E187" i="4"/>
  <c r="E211" i="4"/>
  <c r="E144" i="4"/>
  <c r="G141" i="4"/>
  <c r="J141" i="4"/>
  <c r="K110" i="4"/>
  <c r="E110" i="4"/>
  <c r="G57" i="4"/>
  <c r="J57" i="4"/>
  <c r="BU57" i="4" s="1"/>
  <c r="E164" i="4"/>
  <c r="J237" i="4"/>
  <c r="BL237" i="4" s="1"/>
  <c r="G237" i="4"/>
  <c r="J198" i="4"/>
  <c r="DN198" i="4" s="1"/>
  <c r="G198" i="4"/>
  <c r="E230" i="4"/>
  <c r="E239" i="4"/>
  <c r="G112" i="4"/>
  <c r="J112" i="4"/>
  <c r="BC165" i="4"/>
  <c r="K183" i="4"/>
  <c r="K87" i="4"/>
  <c r="K173" i="4"/>
  <c r="E132" i="4"/>
  <c r="J46" i="4"/>
  <c r="S46" i="4" s="1"/>
  <c r="G46" i="4"/>
  <c r="G167" i="4"/>
  <c r="J167" i="4"/>
  <c r="CD167" i="4" s="1"/>
  <c r="K12" i="4"/>
  <c r="E12" i="4"/>
  <c r="K84" i="4"/>
  <c r="E84" i="4"/>
  <c r="G227" i="4"/>
  <c r="J227" i="4"/>
  <c r="J233" i="4"/>
  <c r="G233" i="4"/>
  <c r="J156" i="4"/>
  <c r="G156" i="4"/>
  <c r="E214" i="4"/>
  <c r="E91" i="4"/>
  <c r="BP80" i="4"/>
  <c r="N80" i="4"/>
  <c r="N140" i="4"/>
  <c r="BP140" i="4"/>
  <c r="CM140" i="4"/>
  <c r="AK140" i="4"/>
  <c r="CV140" i="4"/>
  <c r="BL140" i="4"/>
  <c r="DN140" i="4"/>
  <c r="CD140" i="4"/>
  <c r="AT140" i="4"/>
  <c r="BU140" i="4"/>
  <c r="S140" i="4"/>
  <c r="N65" i="4"/>
  <c r="BP65" i="4"/>
  <c r="DN65" i="4"/>
  <c r="BP167" i="4"/>
  <c r="N167" i="4"/>
  <c r="N149" i="4"/>
  <c r="BP149" i="4"/>
  <c r="N196" i="4"/>
  <c r="BP196" i="4"/>
  <c r="N33" i="4"/>
  <c r="BP33" i="4"/>
  <c r="BP37" i="4"/>
  <c r="N37" i="4"/>
  <c r="BP22" i="4"/>
  <c r="N22" i="4"/>
  <c r="K39" i="4"/>
  <c r="K27" i="4"/>
  <c r="K43" i="4"/>
  <c r="K46" i="4"/>
  <c r="K153" i="4"/>
  <c r="E36" i="4"/>
  <c r="G154" i="4"/>
  <c r="E14" i="4"/>
  <c r="E163" i="4"/>
  <c r="E220" i="4"/>
  <c r="E190" i="4"/>
  <c r="E95" i="4"/>
  <c r="E77" i="4"/>
  <c r="E166" i="4"/>
  <c r="E204" i="4"/>
  <c r="E75" i="4"/>
  <c r="J68" i="4"/>
  <c r="CD68" i="4" s="1"/>
  <c r="G68" i="4"/>
  <c r="G170" i="4"/>
  <c r="J170" i="4"/>
  <c r="J17" i="4"/>
  <c r="AK17" i="4" s="1"/>
  <c r="G17" i="4"/>
  <c r="E225" i="4"/>
  <c r="J153" i="4"/>
  <c r="S153" i="4" s="1"/>
  <c r="G153" i="4"/>
  <c r="G79" i="4"/>
  <c r="J79" i="4"/>
  <c r="E160" i="4"/>
  <c r="J178" i="4"/>
  <c r="S178" i="4" s="1"/>
  <c r="G178" i="4"/>
  <c r="CD71" i="4"/>
  <c r="S71" i="4"/>
  <c r="CV71" i="4"/>
  <c r="DN71" i="4"/>
  <c r="BC71" i="4"/>
  <c r="BL71" i="4"/>
  <c r="BU71" i="4"/>
  <c r="AB71" i="4"/>
  <c r="AT71" i="4"/>
  <c r="CM71" i="4"/>
  <c r="DE71" i="4"/>
  <c r="AK71" i="4"/>
  <c r="BU148" i="4"/>
  <c r="CV148" i="4"/>
  <c r="AK148" i="4"/>
  <c r="S148" i="4"/>
  <c r="CD148" i="4"/>
  <c r="DN148" i="4"/>
  <c r="AT148" i="4"/>
  <c r="BL148" i="4"/>
  <c r="DE148" i="4"/>
  <c r="AB148" i="4"/>
  <c r="BC148" i="4"/>
  <c r="CM148" i="4"/>
  <c r="DE54" i="4"/>
  <c r="BC54" i="4"/>
  <c r="BL54" i="4"/>
  <c r="S54" i="4"/>
  <c r="BU54" i="4"/>
  <c r="AB54" i="4"/>
  <c r="DN54" i="4"/>
  <c r="AT54" i="4"/>
  <c r="CM54" i="4"/>
  <c r="CV54" i="4"/>
  <c r="CD54" i="4"/>
  <c r="AK54" i="4"/>
  <c r="S22" i="4"/>
  <c r="CV22" i="4"/>
  <c r="CM228" i="4"/>
  <c r="DN228" i="4"/>
  <c r="DE228" i="4"/>
  <c r="BC228" i="4"/>
  <c r="BU228" i="4"/>
  <c r="AK228" i="4"/>
  <c r="AT228" i="4"/>
  <c r="BL228" i="4"/>
  <c r="AB228" i="4"/>
  <c r="CD228" i="4"/>
  <c r="S228" i="4"/>
  <c r="CV228" i="4"/>
  <c r="DE11" i="4"/>
  <c r="CV11" i="4"/>
  <c r="AB171" i="4"/>
  <c r="CV171" i="4"/>
  <c r="AK171" i="4"/>
  <c r="DE171" i="4"/>
  <c r="CM171" i="4"/>
  <c r="DN171" i="4"/>
  <c r="CD171" i="4"/>
  <c r="AT171" i="4"/>
  <c r="S171" i="4"/>
  <c r="BL171" i="4"/>
  <c r="BU171" i="4"/>
  <c r="BC171" i="4"/>
  <c r="BL58" i="4"/>
  <c r="AB58" i="4"/>
  <c r="BU58" i="4"/>
  <c r="CV58" i="4"/>
  <c r="S58" i="4"/>
  <c r="CD58" i="4"/>
  <c r="AK58" i="4"/>
  <c r="CM58" i="4"/>
  <c r="AT58" i="4"/>
  <c r="DE58" i="4"/>
  <c r="BC58" i="4"/>
  <c r="DN58" i="4"/>
  <c r="AK238" i="4"/>
  <c r="CD185" i="4"/>
  <c r="CM185" i="4"/>
  <c r="DE185" i="4"/>
  <c r="S185" i="4"/>
  <c r="AT185" i="4"/>
  <c r="BU185" i="4"/>
  <c r="CV185" i="4"/>
  <c r="BC185" i="4"/>
  <c r="AK185" i="4"/>
  <c r="AB185" i="4"/>
  <c r="DN185" i="4"/>
  <c r="BL185" i="4"/>
  <c r="S130" i="4"/>
  <c r="AT130" i="4"/>
  <c r="CM130" i="4"/>
  <c r="BU130" i="4"/>
  <c r="DN130" i="4"/>
  <c r="CV130" i="4"/>
  <c r="BC130" i="4"/>
  <c r="DE130" i="4"/>
  <c r="BL130" i="4"/>
  <c r="CD130" i="4"/>
  <c r="AB130" i="4"/>
  <c r="AK130" i="4"/>
  <c r="BL87" i="4"/>
  <c r="CD87" i="4"/>
  <c r="DN87" i="4"/>
  <c r="CM87" i="4"/>
  <c r="BU87" i="4"/>
  <c r="S87" i="4"/>
  <c r="CV87" i="4"/>
  <c r="AT87" i="4"/>
  <c r="AB87" i="4"/>
  <c r="BC87" i="4"/>
  <c r="AK87" i="4"/>
  <c r="DE87" i="4"/>
  <c r="S109" i="4"/>
  <c r="AT109" i="4"/>
  <c r="BL109" i="4"/>
  <c r="CD109" i="4"/>
  <c r="BU109" i="4"/>
  <c r="BC109" i="4"/>
  <c r="CM109" i="4"/>
  <c r="AK109" i="4"/>
  <c r="DN109" i="4"/>
  <c r="AB109" i="4"/>
  <c r="DE109" i="4"/>
  <c r="CV109" i="4"/>
  <c r="CD134" i="4"/>
  <c r="CM134" i="4"/>
  <c r="BL197" i="4"/>
  <c r="CV197" i="4"/>
  <c r="CM88" i="4"/>
  <c r="BU88" i="4"/>
  <c r="AT88" i="4"/>
  <c r="DE88" i="4"/>
  <c r="BL88" i="4"/>
  <c r="S88" i="4"/>
  <c r="CV88" i="4"/>
  <c r="DN88" i="4"/>
  <c r="AK88" i="4"/>
  <c r="CD88" i="4"/>
  <c r="BC88" i="4"/>
  <c r="AB88" i="4"/>
  <c r="BL183" i="4"/>
  <c r="BU183" i="4"/>
  <c r="DN183" i="4"/>
  <c r="DE183" i="4"/>
  <c r="CD183" i="4"/>
  <c r="BC183" i="4"/>
  <c r="AK183" i="4"/>
  <c r="CV183" i="4"/>
  <c r="AT183" i="4"/>
  <c r="CM183" i="4"/>
  <c r="S183" i="4"/>
  <c r="AB183" i="4"/>
  <c r="AT25" i="4"/>
  <c r="CD25" i="4"/>
  <c r="S25" i="4"/>
  <c r="CM25" i="4"/>
  <c r="CV25" i="4"/>
  <c r="AK25" i="4"/>
  <c r="AB25" i="4"/>
  <c r="BC25" i="4"/>
  <c r="BU25" i="4"/>
  <c r="BL25" i="4"/>
  <c r="DE25" i="4"/>
  <c r="DN25" i="4"/>
  <c r="AK98" i="4" l="1"/>
  <c r="AB98" i="4"/>
  <c r="S98" i="4"/>
  <c r="BU40" i="4"/>
  <c r="CM40" i="4"/>
  <c r="S205" i="4"/>
  <c r="DE197" i="4"/>
  <c r="CM197" i="4"/>
  <c r="BC197" i="4"/>
  <c r="AB197" i="4"/>
  <c r="DN197" i="4"/>
  <c r="S197" i="4"/>
  <c r="AK197" i="4"/>
  <c r="AT197" i="4"/>
  <c r="CM146" i="4"/>
  <c r="J245" i="4"/>
  <c r="G245" i="4"/>
  <c r="G98" i="4"/>
  <c r="S5" i="4"/>
  <c r="T5" i="4" s="1"/>
  <c r="U5" i="4" s="1"/>
  <c r="BL5" i="4"/>
  <c r="BM5" i="4" s="1"/>
  <c r="BN5" i="4" s="1"/>
  <c r="BU5" i="4"/>
  <c r="BV5" i="4" s="1"/>
  <c r="BW5" i="4" s="1"/>
  <c r="BL22" i="4"/>
  <c r="AT22" i="4"/>
  <c r="AB22" i="4"/>
  <c r="DN22" i="4"/>
  <c r="DE22" i="4"/>
  <c r="CM22" i="4"/>
  <c r="AK22" i="4"/>
  <c r="CD22" i="4"/>
  <c r="BU22" i="4"/>
  <c r="DE89" i="4"/>
  <c r="K12" i="2" s="1" a="1"/>
  <c r="K12" i="2" s="1"/>
  <c r="S89" i="4"/>
  <c r="DN167" i="4"/>
  <c r="CV134" i="4"/>
  <c r="DN134" i="4"/>
  <c r="BC134" i="4"/>
  <c r="DE134" i="4"/>
  <c r="AK134" i="4"/>
  <c r="BL134" i="4"/>
  <c r="AT134" i="4"/>
  <c r="BU134" i="4"/>
  <c r="S134" i="4"/>
  <c r="AB134" i="4"/>
  <c r="AB229" i="4"/>
  <c r="G93" i="4"/>
  <c r="J93" i="4"/>
  <c r="S17" i="4"/>
  <c r="BL17" i="4"/>
  <c r="CM17" i="4"/>
  <c r="AT117" i="4"/>
  <c r="J101" i="4"/>
  <c r="G101" i="4"/>
  <c r="DN50" i="4"/>
  <c r="BC50" i="4"/>
  <c r="CM50" i="4"/>
  <c r="BL50" i="4"/>
  <c r="AK50" i="4"/>
  <c r="DE154" i="4"/>
  <c r="DN154" i="4"/>
  <c r="G34" i="4"/>
  <c r="J34" i="4"/>
  <c r="AK209" i="4"/>
  <c r="CD209" i="4"/>
  <c r="CD175" i="4"/>
  <c r="DE175" i="4"/>
  <c r="BL175" i="4"/>
  <c r="DE17" i="4"/>
  <c r="K6" i="2" s="1" a="1"/>
  <c r="K6" i="2" s="1"/>
  <c r="DN114" i="4"/>
  <c r="AK114" i="4"/>
  <c r="BL114" i="4"/>
  <c r="S114" i="4"/>
  <c r="AB114" i="4"/>
  <c r="BC114" i="4"/>
  <c r="AT114" i="4"/>
  <c r="DE114" i="4"/>
  <c r="CD114" i="4"/>
  <c r="BU114" i="4"/>
  <c r="CV56" i="4"/>
  <c r="AK56" i="4"/>
  <c r="DE56" i="4"/>
  <c r="AT56" i="4"/>
  <c r="BU56" i="4"/>
  <c r="BC56" i="4"/>
  <c r="CD56" i="4"/>
  <c r="CM167" i="4"/>
  <c r="BL154" i="4"/>
  <c r="AT142" i="4"/>
  <c r="BU167" i="4"/>
  <c r="AB141" i="4"/>
  <c r="S141" i="4"/>
  <c r="BC141" i="4"/>
  <c r="CD154" i="4"/>
  <c r="CD63" i="4"/>
  <c r="AB63" i="4"/>
  <c r="BU63" i="4"/>
  <c r="CV63" i="4"/>
  <c r="AK63" i="4"/>
  <c r="BC63" i="4"/>
  <c r="DN63" i="4"/>
  <c r="AT63" i="4"/>
  <c r="BU229" i="4"/>
  <c r="DN162" i="4"/>
  <c r="AK162" i="4"/>
  <c r="AB162" i="4"/>
  <c r="BL162" i="4"/>
  <c r="CM49" i="4"/>
  <c r="DE49" i="4"/>
  <c r="AK49" i="4"/>
  <c r="DN49" i="4"/>
  <c r="AT49" i="4"/>
  <c r="AB49" i="4"/>
  <c r="BU49" i="4"/>
  <c r="BC49" i="4"/>
  <c r="J67" i="4"/>
  <c r="G67" i="4"/>
  <c r="BL200" i="4"/>
  <c r="BC200" i="4"/>
  <c r="BC167" i="4"/>
  <c r="AB17" i="4"/>
  <c r="J6" i="2" s="1" a="1"/>
  <c r="J6" i="2" s="1"/>
  <c r="BU104" i="4"/>
  <c r="DE104" i="4"/>
  <c r="AK104" i="4"/>
  <c r="CV104" i="4"/>
  <c r="AT30" i="4"/>
  <c r="AB30" i="4"/>
  <c r="CV30" i="4"/>
  <c r="CD30" i="4"/>
  <c r="BL30" i="4"/>
  <c r="BC30" i="4"/>
  <c r="BU30" i="4"/>
  <c r="DN30" i="4"/>
  <c r="BC22" i="4"/>
  <c r="CD17" i="4"/>
  <c r="AK229" i="4"/>
  <c r="AK112" i="4"/>
  <c r="BC112" i="4"/>
  <c r="BL112" i="4"/>
  <c r="AB112" i="4"/>
  <c r="S112" i="4"/>
  <c r="CD112" i="4"/>
  <c r="DE112" i="4"/>
  <c r="AK154" i="4"/>
  <c r="AK43" i="4"/>
  <c r="CV99" i="4"/>
  <c r="CM99" i="4"/>
  <c r="S99" i="4"/>
  <c r="AK99" i="4"/>
  <c r="AK117" i="4"/>
  <c r="S11" i="4"/>
  <c r="DN11" i="4"/>
  <c r="CD11" i="4"/>
  <c r="AK11" i="4"/>
  <c r="BC11" i="4"/>
  <c r="AB11" i="4"/>
  <c r="BU11" i="4"/>
  <c r="BU197" i="4"/>
  <c r="J76" i="4"/>
  <c r="G76" i="4"/>
  <c r="CD197" i="4"/>
  <c r="CV167" i="4"/>
  <c r="AK167" i="4"/>
  <c r="BL167" i="4"/>
  <c r="AT167" i="4"/>
  <c r="S167" i="4"/>
  <c r="AB167" i="4"/>
  <c r="DE167" i="4"/>
  <c r="BL205" i="4"/>
  <c r="CM205" i="4"/>
  <c r="DE205" i="4"/>
  <c r="AT205" i="4"/>
  <c r="AK205" i="4"/>
  <c r="DN205" i="4"/>
  <c r="BC205" i="4"/>
  <c r="BU205" i="4"/>
  <c r="J207" i="4"/>
  <c r="AK207" i="4" s="1"/>
  <c r="G207" i="4"/>
  <c r="CQ207" i="4" s="1"/>
  <c r="AT174" i="4"/>
  <c r="BL174" i="4"/>
  <c r="AK174" i="4"/>
  <c r="CM174" i="4"/>
  <c r="AB174" i="4"/>
  <c r="DE174" i="4"/>
  <c r="AO228" i="4"/>
  <c r="CQ228" i="4"/>
  <c r="AB50" i="4"/>
  <c r="CV49" i="4"/>
  <c r="CM11" i="4"/>
  <c r="S50" i="4"/>
  <c r="BL142" i="4"/>
  <c r="BU142" i="4"/>
  <c r="CV142" i="4"/>
  <c r="CD142" i="4"/>
  <c r="BC142" i="4"/>
  <c r="CM142" i="4"/>
  <c r="CD205" i="4"/>
  <c r="DE146" i="4"/>
  <c r="CV146" i="4"/>
  <c r="AT146" i="4"/>
  <c r="BL146" i="4"/>
  <c r="AK146" i="4"/>
  <c r="BU146" i="4"/>
  <c r="S146" i="4"/>
  <c r="CD146" i="4"/>
  <c r="DE238" i="4"/>
  <c r="CD238" i="4"/>
  <c r="BC238" i="4"/>
  <c r="BU238" i="4"/>
  <c r="S238" i="4"/>
  <c r="DN238" i="4"/>
  <c r="BL238" i="4"/>
  <c r="AB238" i="4"/>
  <c r="AT11" i="4"/>
  <c r="CM238" i="4"/>
  <c r="AT47" i="4"/>
  <c r="CD47" i="4"/>
  <c r="DE47" i="4"/>
  <c r="CV47" i="4"/>
  <c r="BL216" i="4"/>
  <c r="BC216" i="4"/>
  <c r="CD49" i="4"/>
  <c r="AT238" i="4"/>
  <c r="BL11" i="4"/>
  <c r="G147" i="4"/>
  <c r="CD50" i="4"/>
  <c r="BL49" i="4"/>
  <c r="CM30" i="4"/>
  <c r="AT135" i="4"/>
  <c r="CD135" i="4"/>
  <c r="S135" i="4"/>
  <c r="CM135" i="4"/>
  <c r="AK135" i="4"/>
  <c r="DE135" i="4"/>
  <c r="CV135" i="4"/>
  <c r="J189" i="4"/>
  <c r="G189" i="4"/>
  <c r="G200" i="4"/>
  <c r="CQ200" i="4" s="1"/>
  <c r="DN9" i="4"/>
  <c r="AB68" i="4"/>
  <c r="CV202" i="4"/>
  <c r="BL115" i="4"/>
  <c r="AT125" i="4"/>
  <c r="BU198" i="4"/>
  <c r="DN39" i="4"/>
  <c r="BU139" i="4"/>
  <c r="BU72" i="4"/>
  <c r="G30" i="4"/>
  <c r="CQ30" i="4" s="1"/>
  <c r="AK125" i="4"/>
  <c r="G80" i="4"/>
  <c r="J80" i="4"/>
  <c r="CV198" i="4"/>
  <c r="G104" i="4"/>
  <c r="AO104" i="4" s="1"/>
  <c r="AT9" i="4"/>
  <c r="BC68" i="4"/>
  <c r="BU106" i="4"/>
  <c r="BC57" i="4"/>
  <c r="BC202" i="4"/>
  <c r="DE115" i="4"/>
  <c r="J119" i="4"/>
  <c r="BU125" i="4"/>
  <c r="AT139" i="4"/>
  <c r="BL94" i="4"/>
  <c r="G135" i="4"/>
  <c r="AO135" i="4" s="1"/>
  <c r="DN178" i="4"/>
  <c r="G5" i="4"/>
  <c r="C7" i="8" s="1"/>
  <c r="E7" i="8" s="1"/>
  <c r="CQ109" i="4"/>
  <c r="G157" i="4"/>
  <c r="J157" i="4"/>
  <c r="S115" i="4"/>
  <c r="G45" i="4"/>
  <c r="J45" i="4"/>
  <c r="BU115" i="4"/>
  <c r="AB125" i="4"/>
  <c r="J15" i="2" s="1" a="1"/>
  <c r="J15" i="2" s="1"/>
  <c r="DE39" i="4"/>
  <c r="CV9" i="4"/>
  <c r="G89" i="4"/>
  <c r="AK68" i="4"/>
  <c r="AT106" i="4"/>
  <c r="AK57" i="4"/>
  <c r="S133" i="4"/>
  <c r="BL242" i="4"/>
  <c r="CV115" i="4"/>
  <c r="S125" i="4"/>
  <c r="BL139" i="4"/>
  <c r="AK94" i="4"/>
  <c r="C8" i="8"/>
  <c r="E8" i="8" s="1"/>
  <c r="G232" i="4"/>
  <c r="J232" i="4"/>
  <c r="BC198" i="4"/>
  <c r="AB9" i="4"/>
  <c r="BL68" i="4"/>
  <c r="CD57" i="4"/>
  <c r="AT115" i="4"/>
  <c r="CV125" i="4"/>
  <c r="AK159" i="4"/>
  <c r="AK139" i="4"/>
  <c r="AB41" i="4"/>
  <c r="J8" i="2" s="1" a="1"/>
  <c r="J8" i="2" s="1"/>
  <c r="CM244" i="4"/>
  <c r="B36" i="2"/>
  <c r="G29" i="4"/>
  <c r="J29" i="4"/>
  <c r="G143" i="4"/>
  <c r="J143" i="4"/>
  <c r="CD65" i="4"/>
  <c r="BU240" i="4"/>
  <c r="BC115" i="4"/>
  <c r="CD125" i="4"/>
  <c r="AB159" i="4"/>
  <c r="BU39" i="4"/>
  <c r="CV139" i="4"/>
  <c r="DE41" i="4"/>
  <c r="K8" i="2" s="1" a="1"/>
  <c r="K8" i="2" s="1"/>
  <c r="G62" i="4"/>
  <c r="J62" i="4"/>
  <c r="CD115" i="4"/>
  <c r="J78" i="4"/>
  <c r="G78" i="4"/>
  <c r="DN68" i="4"/>
  <c r="BU68" i="4"/>
  <c r="AK240" i="4"/>
  <c r="BU202" i="4"/>
  <c r="AK115" i="4"/>
  <c r="CD102" i="4"/>
  <c r="BC125" i="4"/>
  <c r="AT39" i="4"/>
  <c r="AB139" i="4"/>
  <c r="CV41" i="4"/>
  <c r="BC244" i="4"/>
  <c r="AO65" i="4"/>
  <c r="CQ65" i="4"/>
  <c r="B38" i="2"/>
  <c r="J195" i="4"/>
  <c r="G195" i="4"/>
  <c r="J223" i="4"/>
  <c r="G223" i="4"/>
  <c r="AT219" i="4"/>
  <c r="CD219" i="4"/>
  <c r="AB219" i="4"/>
  <c r="DN219" i="4"/>
  <c r="CV219" i="4"/>
  <c r="CM219" i="4"/>
  <c r="DE219" i="4"/>
  <c r="BL219" i="4"/>
  <c r="AK219" i="4"/>
  <c r="BC219" i="4"/>
  <c r="BU219" i="4"/>
  <c r="DN226" i="4"/>
  <c r="AB226" i="4"/>
  <c r="S226" i="4"/>
  <c r="CM226" i="4"/>
  <c r="AK226" i="4"/>
  <c r="BU226" i="4"/>
  <c r="DE226" i="4"/>
  <c r="CD226" i="4"/>
  <c r="AT226" i="4"/>
  <c r="CV226" i="4"/>
  <c r="BL215" i="4"/>
  <c r="AK215" i="4"/>
  <c r="BC215" i="4"/>
  <c r="DE215" i="4"/>
  <c r="AB215" i="4"/>
  <c r="AT215" i="4"/>
  <c r="CV215" i="4"/>
  <c r="DN215" i="4"/>
  <c r="CM215" i="4"/>
  <c r="CQ33" i="4"/>
  <c r="AO33" i="4"/>
  <c r="BU65" i="4"/>
  <c r="BL65" i="4"/>
  <c r="AT65" i="4"/>
  <c r="CM65" i="4"/>
  <c r="AK65" i="4"/>
  <c r="AB65" i="4"/>
  <c r="J10" i="2" s="1" a="1"/>
  <c r="J10" i="2" s="1"/>
  <c r="CV65" i="4"/>
  <c r="AO174" i="4"/>
  <c r="CQ174" i="4"/>
  <c r="G190" i="4"/>
  <c r="J190" i="4"/>
  <c r="AO162" i="4"/>
  <c r="CQ162" i="4"/>
  <c r="S33" i="4"/>
  <c r="AK33" i="4"/>
  <c r="BU33" i="4"/>
  <c r="AT33" i="4"/>
  <c r="CM33" i="4"/>
  <c r="CD33" i="4"/>
  <c r="BC33" i="4"/>
  <c r="DE33" i="4"/>
  <c r="AB33" i="4"/>
  <c r="CV33" i="4"/>
  <c r="DN33" i="4"/>
  <c r="AK21" i="4"/>
  <c r="DN21" i="4"/>
  <c r="CV21" i="4"/>
  <c r="DE21" i="4"/>
  <c r="CM21" i="4"/>
  <c r="BL21" i="4"/>
  <c r="AB21" i="4"/>
  <c r="S21" i="4"/>
  <c r="BU21" i="4"/>
  <c r="AT21" i="4"/>
  <c r="CD21" i="4"/>
  <c r="CQ89" i="4"/>
  <c r="AO89" i="4"/>
  <c r="G37" i="4"/>
  <c r="J37" i="4"/>
  <c r="DN100" i="4"/>
  <c r="BL209" i="4"/>
  <c r="AB209" i="4"/>
  <c r="DE209" i="4"/>
  <c r="BC209" i="4"/>
  <c r="BU209" i="4"/>
  <c r="CM209" i="4"/>
  <c r="DN209" i="4"/>
  <c r="S209" i="4"/>
  <c r="CV209" i="4"/>
  <c r="AT209" i="4"/>
  <c r="CQ18" i="4"/>
  <c r="AO18" i="4"/>
  <c r="BC6" i="4"/>
  <c r="AB6" i="4"/>
  <c r="BU6" i="4"/>
  <c r="DN6" i="4"/>
  <c r="CD6" i="4"/>
  <c r="CV6" i="4"/>
  <c r="AK6" i="4"/>
  <c r="CM6" i="4"/>
  <c r="S6" i="4"/>
  <c r="AT6" i="4"/>
  <c r="BL6" i="4"/>
  <c r="DE241" i="4"/>
  <c r="J225" i="4"/>
  <c r="G225" i="4"/>
  <c r="CQ147" i="4"/>
  <c r="AO147" i="4"/>
  <c r="J214" i="4"/>
  <c r="G214" i="4"/>
  <c r="CQ167" i="4"/>
  <c r="AO167" i="4"/>
  <c r="AO198" i="4"/>
  <c r="CQ198" i="4"/>
  <c r="G73" i="4"/>
  <c r="J73" i="4"/>
  <c r="BC226" i="4"/>
  <c r="J15" i="4"/>
  <c r="G15" i="4"/>
  <c r="G194" i="4"/>
  <c r="J194" i="4"/>
  <c r="G107" i="4"/>
  <c r="J107" i="4"/>
  <c r="DE6" i="4"/>
  <c r="BL46" i="4"/>
  <c r="BU98" i="4"/>
  <c r="J103" i="4"/>
  <c r="G103" i="4"/>
  <c r="CQ130" i="4"/>
  <c r="AO130" i="4"/>
  <c r="AB100" i="4"/>
  <c r="DE100" i="4"/>
  <c r="CD100" i="4"/>
  <c r="AK100" i="4"/>
  <c r="BU100" i="4"/>
  <c r="BL100" i="4"/>
  <c r="CV100" i="4"/>
  <c r="S100" i="4"/>
  <c r="AT100" i="4"/>
  <c r="G8" i="4"/>
  <c r="J8" i="4"/>
  <c r="J217" i="4"/>
  <c r="G217" i="4"/>
  <c r="AO182" i="4"/>
  <c r="CQ182" i="4"/>
  <c r="S241" i="4"/>
  <c r="CQ17" i="4"/>
  <c r="AO17" i="4"/>
  <c r="G220" i="4"/>
  <c r="J220" i="4"/>
  <c r="CQ46" i="4"/>
  <c r="AO46" i="4"/>
  <c r="AB198" i="4"/>
  <c r="S198" i="4"/>
  <c r="AK198" i="4"/>
  <c r="AT198" i="4"/>
  <c r="BL198" i="4"/>
  <c r="CD198" i="4"/>
  <c r="CM198" i="4"/>
  <c r="G51" i="4"/>
  <c r="J51" i="4"/>
  <c r="DE221" i="4"/>
  <c r="J59" i="4"/>
  <c r="G59" i="4"/>
  <c r="BC100" i="4"/>
  <c r="AT159" i="4"/>
  <c r="CM159" i="4"/>
  <c r="DE159" i="4"/>
  <c r="DN159" i="4"/>
  <c r="CD159" i="4"/>
  <c r="BL159" i="4"/>
  <c r="J180" i="4"/>
  <c r="G180" i="4"/>
  <c r="CM237" i="4"/>
  <c r="AA6" i="4"/>
  <c r="Z6" i="4"/>
  <c r="S177" i="4"/>
  <c r="AK177" i="4"/>
  <c r="CV177" i="4"/>
  <c r="DE177" i="4"/>
  <c r="CD177" i="4"/>
  <c r="DN177" i="4"/>
  <c r="AT177" i="4"/>
  <c r="CM177" i="4"/>
  <c r="BU177" i="4"/>
  <c r="BL177" i="4"/>
  <c r="BC177" i="4"/>
  <c r="AB177" i="4"/>
  <c r="G23" i="4"/>
  <c r="J23" i="4"/>
  <c r="BU241" i="4"/>
  <c r="CD147" i="4"/>
  <c r="BU147" i="4"/>
  <c r="AK147" i="4"/>
  <c r="CM147" i="4"/>
  <c r="DE147" i="4"/>
  <c r="S147" i="4"/>
  <c r="DN147" i="4"/>
  <c r="AT147" i="4"/>
  <c r="BL147" i="4"/>
  <c r="AB147" i="4"/>
  <c r="BC147" i="4"/>
  <c r="J32" i="4"/>
  <c r="G32" i="4"/>
  <c r="BU207" i="4"/>
  <c r="AT207" i="4"/>
  <c r="DN207" i="4"/>
  <c r="BC46" i="4"/>
  <c r="AB46" i="4"/>
  <c r="CM46" i="4"/>
  <c r="AT46" i="4"/>
  <c r="DN46" i="4"/>
  <c r="DE46" i="4"/>
  <c r="CV46" i="4"/>
  <c r="CQ237" i="4"/>
  <c r="AO237" i="4"/>
  <c r="AB133" i="4"/>
  <c r="CM133" i="4"/>
  <c r="CD133" i="4"/>
  <c r="BC133" i="4"/>
  <c r="BU133" i="4"/>
  <c r="DN133" i="4"/>
  <c r="AK133" i="4"/>
  <c r="DE133" i="4"/>
  <c r="CV133" i="4"/>
  <c r="BL133" i="4"/>
  <c r="G193" i="4"/>
  <c r="J193" i="4"/>
  <c r="J206" i="4"/>
  <c r="G206" i="4"/>
  <c r="BL221" i="4"/>
  <c r="J129" i="4"/>
  <c r="G129" i="4"/>
  <c r="BU237" i="4"/>
  <c r="BU46" i="4"/>
  <c r="CQ131" i="4"/>
  <c r="AO131" i="4"/>
  <c r="AO235" i="4"/>
  <c r="CQ235" i="4"/>
  <c r="CV66" i="4"/>
  <c r="CD66" i="4"/>
  <c r="CM66" i="4"/>
  <c r="AB66" i="4"/>
  <c r="BU66" i="4"/>
  <c r="DE66" i="4"/>
  <c r="DN66" i="4"/>
  <c r="BL66" i="4"/>
  <c r="AT66" i="4"/>
  <c r="BC66" i="4"/>
  <c r="S66" i="4"/>
  <c r="J61" i="4"/>
  <c r="G61" i="4"/>
  <c r="CV241" i="4"/>
  <c r="BC241" i="4"/>
  <c r="AK241" i="4"/>
  <c r="BL241" i="4"/>
  <c r="CM241" i="4"/>
  <c r="CD241" i="4"/>
  <c r="AT241" i="4"/>
  <c r="J14" i="4"/>
  <c r="G14" i="4"/>
  <c r="CQ156" i="4"/>
  <c r="AO156" i="4"/>
  <c r="G132" i="4"/>
  <c r="J132" i="4"/>
  <c r="CQ133" i="4"/>
  <c r="AO133" i="4"/>
  <c r="S215" i="4"/>
  <c r="AK46" i="4"/>
  <c r="BC21" i="4"/>
  <c r="BU131" i="4"/>
  <c r="BC131" i="4"/>
  <c r="CV131" i="4"/>
  <c r="CD131" i="4"/>
  <c r="S131" i="4"/>
  <c r="DN131" i="4"/>
  <c r="AT131" i="4"/>
  <c r="CM131" i="4"/>
  <c r="BL131" i="4"/>
  <c r="AK131" i="4"/>
  <c r="AB131" i="4"/>
  <c r="CV242" i="4"/>
  <c r="BC242" i="4"/>
  <c r="AB242" i="4"/>
  <c r="AK242" i="4"/>
  <c r="DN242" i="4"/>
  <c r="DE242" i="4"/>
  <c r="CD242" i="4"/>
  <c r="S242" i="4"/>
  <c r="AT242" i="4"/>
  <c r="BC159" i="4"/>
  <c r="AO98" i="4"/>
  <c r="CQ98" i="4"/>
  <c r="J188" i="4"/>
  <c r="G188" i="4"/>
  <c r="DI6" i="4"/>
  <c r="DH6" i="4" s="1"/>
  <c r="AX6" i="4"/>
  <c r="AW6" i="4" s="1"/>
  <c r="CZ6" i="4"/>
  <c r="CY6" i="4" s="1"/>
  <c r="AO6" i="4"/>
  <c r="AN6" i="4" s="1"/>
  <c r="BG6" i="4"/>
  <c r="BF6" i="4" s="1"/>
  <c r="CQ6" i="4"/>
  <c r="CP6" i="4" s="1"/>
  <c r="G7" i="4"/>
  <c r="J7" i="4"/>
  <c r="AJ6" i="4"/>
  <c r="AI6" i="4"/>
  <c r="CV98" i="4"/>
  <c r="BL98" i="4"/>
  <c r="DN98" i="4"/>
  <c r="DE98" i="4"/>
  <c r="BC98" i="4"/>
  <c r="CD98" i="4"/>
  <c r="AT98" i="4"/>
  <c r="CM98" i="4"/>
  <c r="J126" i="4"/>
  <c r="G126" i="4"/>
  <c r="CM170" i="4"/>
  <c r="CV170" i="4"/>
  <c r="AB170" i="4"/>
  <c r="CD170" i="4"/>
  <c r="AK170" i="4"/>
  <c r="BL170" i="4"/>
  <c r="S170" i="4"/>
  <c r="BU170" i="4"/>
  <c r="DN170" i="4"/>
  <c r="AT170" i="4"/>
  <c r="BC170" i="4"/>
  <c r="DE170" i="4"/>
  <c r="G55" i="4"/>
  <c r="J55" i="4"/>
  <c r="AO181" i="4"/>
  <c r="CQ181" i="4"/>
  <c r="CD221" i="4"/>
  <c r="AB221" i="4"/>
  <c r="BU221" i="4"/>
  <c r="AK221" i="4"/>
  <c r="S221" i="4"/>
  <c r="DN221" i="4"/>
  <c r="CV221" i="4"/>
  <c r="AB241" i="4"/>
  <c r="CQ153" i="4"/>
  <c r="AO153" i="4"/>
  <c r="AO218" i="4"/>
  <c r="CQ218" i="4"/>
  <c r="AT153" i="4"/>
  <c r="BL153" i="4"/>
  <c r="DE153" i="4"/>
  <c r="DN153" i="4"/>
  <c r="AK153" i="4"/>
  <c r="CD153" i="4"/>
  <c r="AB153" i="4"/>
  <c r="BU153" i="4"/>
  <c r="CM153" i="4"/>
  <c r="CV153" i="4"/>
  <c r="AB237" i="4"/>
  <c r="CV237" i="4"/>
  <c r="BC237" i="4"/>
  <c r="AT237" i="4"/>
  <c r="S237" i="4"/>
  <c r="AK237" i="4"/>
  <c r="DE237" i="4"/>
  <c r="DN237" i="4"/>
  <c r="CD237" i="4"/>
  <c r="BU215" i="4"/>
  <c r="BC221" i="4"/>
  <c r="BC153" i="4"/>
  <c r="BC65" i="4"/>
  <c r="CD215" i="4"/>
  <c r="R6" i="4"/>
  <c r="Q6" i="4"/>
  <c r="CV159" i="4"/>
  <c r="AO205" i="4"/>
  <c r="CQ205" i="4"/>
  <c r="G44" i="4"/>
  <c r="J44" i="4"/>
  <c r="AO63" i="4"/>
  <c r="CQ63" i="4"/>
  <c r="S219" i="4"/>
  <c r="S65" i="4"/>
  <c r="AO50" i="4"/>
  <c r="CQ50" i="4"/>
  <c r="AT221" i="4"/>
  <c r="BS6" i="4"/>
  <c r="BQ7" i="4" s="1"/>
  <c r="BT6" i="4"/>
  <c r="CQ100" i="4"/>
  <c r="AO100" i="4"/>
  <c r="S159" i="4"/>
  <c r="G196" i="4"/>
  <c r="J196" i="4"/>
  <c r="AK235" i="4"/>
  <c r="BU235" i="4"/>
  <c r="DE235" i="4"/>
  <c r="AB235" i="4"/>
  <c r="CV235" i="4"/>
  <c r="BL235" i="4"/>
  <c r="BC235" i="4"/>
  <c r="CD235" i="4"/>
  <c r="AT235" i="4"/>
  <c r="CM235" i="4"/>
  <c r="S235" i="4"/>
  <c r="J82" i="4"/>
  <c r="G82" i="4"/>
  <c r="G163" i="4"/>
  <c r="J163" i="4"/>
  <c r="S156" i="4"/>
  <c r="AT156" i="4"/>
  <c r="CM156" i="4"/>
  <c r="DN156" i="4"/>
  <c r="CD156" i="4"/>
  <c r="AK156" i="4"/>
  <c r="BU156" i="4"/>
  <c r="G164" i="4"/>
  <c r="J164" i="4"/>
  <c r="DN17" i="4"/>
  <c r="J155" i="4"/>
  <c r="G155" i="4"/>
  <c r="J176" i="4"/>
  <c r="G176" i="4"/>
  <c r="J158" i="4"/>
  <c r="G158" i="4"/>
  <c r="DN89" i="4"/>
  <c r="CB6" i="4"/>
  <c r="CC6" i="4"/>
  <c r="AO209" i="4"/>
  <c r="CQ209" i="4"/>
  <c r="BL18" i="4"/>
  <c r="AB18" i="4"/>
  <c r="BL138" i="4"/>
  <c r="CD174" i="4"/>
  <c r="BU174" i="4"/>
  <c r="DE53" i="4"/>
  <c r="K9" i="2" s="1" a="1"/>
  <c r="K9" i="2" s="1"/>
  <c r="CM53" i="4"/>
  <c r="CD53" i="4"/>
  <c r="S53" i="4"/>
  <c r="DN53" i="4"/>
  <c r="BU53" i="4"/>
  <c r="AB53" i="4"/>
  <c r="J9" i="2" s="1" a="1"/>
  <c r="J9" i="2" s="1"/>
  <c r="AK53" i="4"/>
  <c r="AT53" i="4"/>
  <c r="BC53" i="4"/>
  <c r="CV53" i="4"/>
  <c r="BL53" i="4"/>
  <c r="G35" i="4"/>
  <c r="J35" i="4"/>
  <c r="S175" i="4"/>
  <c r="AO177" i="4"/>
  <c r="CQ177" i="4"/>
  <c r="AO21" i="4"/>
  <c r="CQ21" i="4"/>
  <c r="J81" i="4"/>
  <c r="G81" i="4"/>
  <c r="AO240" i="4"/>
  <c r="CQ240" i="4"/>
  <c r="BC5" i="4"/>
  <c r="BD5" i="4" s="1"/>
  <c r="BE5" i="4" s="1"/>
  <c r="AT5" i="4"/>
  <c r="AU5" i="4" s="1"/>
  <c r="AV5" i="4" s="1"/>
  <c r="AK5" i="4"/>
  <c r="AL5" i="4" s="1"/>
  <c r="AM5" i="4" s="1"/>
  <c r="AB5" i="4"/>
  <c r="CM5" i="4"/>
  <c r="CN5" i="4" s="1"/>
  <c r="CO5" i="4" s="1"/>
  <c r="DE5" i="4"/>
  <c r="CD5" i="4"/>
  <c r="CE5" i="4" s="1"/>
  <c r="CF5" i="4" s="1"/>
  <c r="BU233" i="4"/>
  <c r="DN233" i="4"/>
  <c r="CM233" i="4"/>
  <c r="CV233" i="4"/>
  <c r="AT233" i="4"/>
  <c r="DE233" i="4"/>
  <c r="BC233" i="4"/>
  <c r="G121" i="4"/>
  <c r="J121" i="4"/>
  <c r="CQ13" i="4"/>
  <c r="AO13" i="4"/>
  <c r="CQ159" i="4"/>
  <c r="AO159" i="4"/>
  <c r="AO68" i="4"/>
  <c r="CQ68" i="4"/>
  <c r="AT154" i="4"/>
  <c r="BC154" i="4"/>
  <c r="S154" i="4"/>
  <c r="AB154" i="4"/>
  <c r="BU154" i="4"/>
  <c r="CV154" i="4"/>
  <c r="BU227" i="4"/>
  <c r="DE227" i="4"/>
  <c r="S227" i="4"/>
  <c r="BC227" i="4"/>
  <c r="CV227" i="4"/>
  <c r="J110" i="4"/>
  <c r="G110" i="4"/>
  <c r="BC17" i="4"/>
  <c r="AT141" i="4"/>
  <c r="G152" i="4"/>
  <c r="J152" i="4"/>
  <c r="BC93" i="4"/>
  <c r="S68" i="4"/>
  <c r="J124" i="4"/>
  <c r="G124" i="4"/>
  <c r="AO105" i="4"/>
  <c r="CQ105" i="4"/>
  <c r="BC105" i="4"/>
  <c r="J90" i="4"/>
  <c r="G90" i="4"/>
  <c r="J191" i="4"/>
  <c r="G191" i="4"/>
  <c r="AT89" i="4"/>
  <c r="CV18" i="4"/>
  <c r="DN13" i="4"/>
  <c r="S13" i="4"/>
  <c r="CV13" i="4"/>
  <c r="BL13" i="4"/>
  <c r="DE13" i="4"/>
  <c r="BC13" i="4"/>
  <c r="AT13" i="4"/>
  <c r="BU13" i="4"/>
  <c r="AB13" i="4"/>
  <c r="J192" i="4"/>
  <c r="G192" i="4"/>
  <c r="G86" i="4"/>
  <c r="J86" i="4"/>
  <c r="AK102" i="4"/>
  <c r="CV34" i="4"/>
  <c r="S174" i="4"/>
  <c r="S94" i="4"/>
  <c r="CV94" i="4"/>
  <c r="CM94" i="4"/>
  <c r="BC94" i="4"/>
  <c r="CD94" i="4"/>
  <c r="BC138" i="4"/>
  <c r="J42" i="4"/>
  <c r="G42" i="4"/>
  <c r="J169" i="4"/>
  <c r="G169" i="4"/>
  <c r="J224" i="4"/>
  <c r="G224" i="4"/>
  <c r="AB27" i="4"/>
  <c r="DN27" i="4"/>
  <c r="BC27" i="4"/>
  <c r="CM27" i="4"/>
  <c r="AK27" i="4"/>
  <c r="BU27" i="4"/>
  <c r="BL27" i="4"/>
  <c r="J10" i="4"/>
  <c r="G10" i="4"/>
  <c r="CD104" i="4"/>
  <c r="AK41" i="4"/>
  <c r="J203" i="4"/>
  <c r="G203" i="4"/>
  <c r="DN5" i="4"/>
  <c r="DO5" i="4" s="1"/>
  <c r="DP5" i="4" s="1"/>
  <c r="AT229" i="4"/>
  <c r="AO56" i="4"/>
  <c r="CQ56" i="4"/>
  <c r="G210" i="4"/>
  <c r="J210" i="4"/>
  <c r="DN200" i="4"/>
  <c r="AK200" i="4"/>
  <c r="CV200" i="4"/>
  <c r="BU200" i="4"/>
  <c r="S200" i="4"/>
  <c r="DE200" i="4"/>
  <c r="CD200" i="4"/>
  <c r="AT200" i="4"/>
  <c r="CQ227" i="4"/>
  <c r="AO227" i="4"/>
  <c r="CV17" i="4"/>
  <c r="J150" i="4"/>
  <c r="G150" i="4"/>
  <c r="CM68" i="4"/>
  <c r="G151" i="4"/>
  <c r="J151" i="4"/>
  <c r="AT105" i="4"/>
  <c r="BL89" i="4"/>
  <c r="BU18" i="4"/>
  <c r="CQ43" i="4"/>
  <c r="AO43" i="4"/>
  <c r="AB102" i="4"/>
  <c r="AK34" i="4"/>
  <c r="BC174" i="4"/>
  <c r="J48" i="4"/>
  <c r="G48" i="4"/>
  <c r="AT175" i="4"/>
  <c r="AK175" i="4"/>
  <c r="BU175" i="4"/>
  <c r="BC175" i="4"/>
  <c r="AB175" i="4"/>
  <c r="CV138" i="4"/>
  <c r="CQ184" i="4"/>
  <c r="AO184" i="4"/>
  <c r="AB200" i="4"/>
  <c r="AO27" i="4"/>
  <c r="CQ27" i="4"/>
  <c r="CM175" i="4"/>
  <c r="J236" i="4"/>
  <c r="G236" i="4"/>
  <c r="CD216" i="4"/>
  <c r="DE216" i="4"/>
  <c r="DN216" i="4"/>
  <c r="S216" i="4"/>
  <c r="CM216" i="4"/>
  <c r="AK216" i="4"/>
  <c r="CV216" i="4"/>
  <c r="AB216" i="4"/>
  <c r="BU216" i="4"/>
  <c r="AT216" i="4"/>
  <c r="CV5" i="4"/>
  <c r="CW5" i="4" s="1"/>
  <c r="CX5" i="4" s="1"/>
  <c r="G113" i="4"/>
  <c r="J113" i="4"/>
  <c r="S56" i="4"/>
  <c r="CM56" i="4"/>
  <c r="DN56" i="4"/>
  <c r="DE94" i="4"/>
  <c r="J85" i="4"/>
  <c r="G85" i="4"/>
  <c r="CM89" i="4"/>
  <c r="CQ178" i="4"/>
  <c r="AO178" i="4"/>
  <c r="J75" i="4"/>
  <c r="G75" i="4"/>
  <c r="AO200" i="4"/>
  <c r="J84" i="4"/>
  <c r="G84" i="4"/>
  <c r="DE141" i="4"/>
  <c r="BL141" i="4"/>
  <c r="AK141" i="4"/>
  <c r="BU17" i="4"/>
  <c r="CV141" i="4"/>
  <c r="S117" i="4"/>
  <c r="BU117" i="4"/>
  <c r="AB117" i="4"/>
  <c r="BC117" i="4"/>
  <c r="BL117" i="4"/>
  <c r="CV117" i="4"/>
  <c r="G16" i="4"/>
  <c r="J16" i="4"/>
  <c r="AT93" i="4"/>
  <c r="DN93" i="4"/>
  <c r="J31" i="4"/>
  <c r="G31" i="4"/>
  <c r="CV89" i="4"/>
  <c r="CM43" i="4"/>
  <c r="DE43" i="4"/>
  <c r="BC43" i="4"/>
  <c r="S43" i="4"/>
  <c r="DN43" i="4"/>
  <c r="AO106" i="4"/>
  <c r="CQ106" i="4"/>
  <c r="J69" i="4"/>
  <c r="G69" i="4"/>
  <c r="S34" i="4"/>
  <c r="J128" i="4"/>
  <c r="G128" i="4"/>
  <c r="CQ175" i="4"/>
  <c r="AO175" i="4"/>
  <c r="AO138" i="4"/>
  <c r="CQ138" i="4"/>
  <c r="CM184" i="4"/>
  <c r="BL184" i="4"/>
  <c r="CV184" i="4"/>
  <c r="S184" i="4"/>
  <c r="BU184" i="4"/>
  <c r="AK184" i="4"/>
  <c r="CM200" i="4"/>
  <c r="BC184" i="4"/>
  <c r="CQ102" i="4"/>
  <c r="AO102" i="4"/>
  <c r="BL227" i="4"/>
  <c r="BU43" i="4"/>
  <c r="AO216" i="4"/>
  <c r="CQ216" i="4"/>
  <c r="CQ99" i="4"/>
  <c r="AO99" i="4"/>
  <c r="AO154" i="4"/>
  <c r="CQ154" i="4"/>
  <c r="CK6" i="4"/>
  <c r="CL6" i="4"/>
  <c r="DE178" i="4"/>
  <c r="CV178" i="4"/>
  <c r="AB178" i="4"/>
  <c r="BU178" i="4"/>
  <c r="BL178" i="4"/>
  <c r="BC178" i="4"/>
  <c r="J36" i="4"/>
  <c r="G36" i="4"/>
  <c r="CM112" i="4"/>
  <c r="DN112" i="4"/>
  <c r="AT112" i="4"/>
  <c r="BU112" i="4"/>
  <c r="CV112" i="4"/>
  <c r="AO141" i="4"/>
  <c r="CQ141" i="4"/>
  <c r="AT17" i="4"/>
  <c r="CD141" i="4"/>
  <c r="J123" i="4"/>
  <c r="G123" i="4"/>
  <c r="J118" i="4"/>
  <c r="G118" i="4"/>
  <c r="AO93" i="4"/>
  <c r="CQ93" i="4"/>
  <c r="BC89" i="4"/>
  <c r="AO49" i="4"/>
  <c r="CQ49" i="4"/>
  <c r="CV119" i="4"/>
  <c r="BL119" i="4"/>
  <c r="BC119" i="4"/>
  <c r="AO96" i="4"/>
  <c r="CQ96" i="4"/>
  <c r="CM34" i="4"/>
  <c r="J161" i="4"/>
  <c r="G161" i="4"/>
  <c r="DE138" i="4"/>
  <c r="S138" i="4"/>
  <c r="AT138" i="4"/>
  <c r="CD138" i="4"/>
  <c r="DN138" i="4"/>
  <c r="CQ72" i="4"/>
  <c r="AO72" i="4"/>
  <c r="G108" i="4"/>
  <c r="J108" i="4"/>
  <c r="DE184" i="4"/>
  <c r="DN227" i="4"/>
  <c r="CM227" i="4"/>
  <c r="AT43" i="4"/>
  <c r="AK178" i="4"/>
  <c r="CV156" i="4"/>
  <c r="BL233" i="4"/>
  <c r="AO57" i="4"/>
  <c r="CQ57" i="4"/>
  <c r="CQ215" i="4"/>
  <c r="AO215" i="4"/>
  <c r="CD72" i="4"/>
  <c r="DE72" i="4"/>
  <c r="AB72" i="4"/>
  <c r="BC72" i="4"/>
  <c r="AK72" i="4"/>
  <c r="S72" i="4"/>
  <c r="CD184" i="4"/>
  <c r="AB233" i="4"/>
  <c r="AB227" i="4"/>
  <c r="CD43" i="4"/>
  <c r="CD178" i="4"/>
  <c r="BC156" i="4"/>
  <c r="CM117" i="4"/>
  <c r="B39" i="2"/>
  <c r="AT41" i="4"/>
  <c r="CD41" i="4"/>
  <c r="BU41" i="4"/>
  <c r="DN41" i="4"/>
  <c r="BL41" i="4"/>
  <c r="BC41" i="4"/>
  <c r="CM41" i="4"/>
  <c r="CQ170" i="4"/>
  <c r="AO170" i="4"/>
  <c r="G204" i="4"/>
  <c r="J204" i="4"/>
  <c r="J12" i="4"/>
  <c r="G12" i="4"/>
  <c r="AO112" i="4"/>
  <c r="CQ112" i="4"/>
  <c r="J144" i="4"/>
  <c r="G144" i="4"/>
  <c r="DN141" i="4"/>
  <c r="AK40" i="4"/>
  <c r="DN40" i="4"/>
  <c r="DE40" i="4"/>
  <c r="AT40" i="4"/>
  <c r="BL40" i="4"/>
  <c r="S40" i="4"/>
  <c r="AB40" i="4"/>
  <c r="CV40" i="4"/>
  <c r="CQ229" i="4"/>
  <c r="AO229" i="4"/>
  <c r="AO140" i="4"/>
  <c r="CQ140" i="4"/>
  <c r="BU89" i="4"/>
  <c r="AO119" i="4"/>
  <c r="CQ119" i="4"/>
  <c r="DE96" i="4"/>
  <c r="CV96" i="4"/>
  <c r="DN96" i="4"/>
  <c r="S96" i="4"/>
  <c r="BC96" i="4"/>
  <c r="AB96" i="4"/>
  <c r="BU96" i="4"/>
  <c r="CD96" i="4"/>
  <c r="AT96" i="4"/>
  <c r="AK96" i="4"/>
  <c r="CM96" i="4"/>
  <c r="BU34" i="4"/>
  <c r="BL79" i="4"/>
  <c r="BC79" i="4"/>
  <c r="BU79" i="4"/>
  <c r="CV79" i="4"/>
  <c r="AK79" i="4"/>
  <c r="AB79" i="4"/>
  <c r="CD79" i="4"/>
  <c r="G77" i="4"/>
  <c r="J77" i="4"/>
  <c r="DN104" i="4"/>
  <c r="S104" i="4"/>
  <c r="BC104" i="4"/>
  <c r="AT104" i="4"/>
  <c r="J239" i="4"/>
  <c r="G239" i="4"/>
  <c r="G211" i="4"/>
  <c r="J211" i="4"/>
  <c r="CM141" i="4"/>
  <c r="DN79" i="4"/>
  <c r="AO40" i="4"/>
  <c r="CQ40" i="4"/>
  <c r="AO142" i="4"/>
  <c r="CQ142" i="4"/>
  <c r="CV229" i="4"/>
  <c r="CM229" i="4"/>
  <c r="DE229" i="4"/>
  <c r="S229" i="4"/>
  <c r="CD229" i="4"/>
  <c r="BL229" i="4"/>
  <c r="BC229" i="4"/>
  <c r="DE68" i="4"/>
  <c r="CM119" i="4"/>
  <c r="BC140" i="4"/>
  <c r="AB140" i="4"/>
  <c r="AO34" i="4"/>
  <c r="CQ34" i="4"/>
  <c r="AB89" i="4"/>
  <c r="J12" i="2" s="1" a="1"/>
  <c r="J12" i="2" s="1"/>
  <c r="AK18" i="4"/>
  <c r="CQ125" i="4"/>
  <c r="AO125" i="4"/>
  <c r="G213" i="4"/>
  <c r="J213" i="4"/>
  <c r="AO202" i="4"/>
  <c r="CQ202" i="4"/>
  <c r="DE102" i="4"/>
  <c r="CD34" i="4"/>
  <c r="CV174" i="4"/>
  <c r="BL72" i="4"/>
  <c r="DN184" i="4"/>
  <c r="CD233" i="4"/>
  <c r="CD227" i="4"/>
  <c r="BL43" i="4"/>
  <c r="CM178" i="4"/>
  <c r="BC40" i="4"/>
  <c r="BL156" i="4"/>
  <c r="AB47" i="4"/>
  <c r="BU47" i="4"/>
  <c r="BL47" i="4"/>
  <c r="CM47" i="4"/>
  <c r="S47" i="4"/>
  <c r="J28" i="4"/>
  <c r="G28" i="4"/>
  <c r="AK13" i="4"/>
  <c r="G19" i="4"/>
  <c r="J19" i="4"/>
  <c r="CD117" i="4"/>
  <c r="AO146" i="4"/>
  <c r="CQ146" i="4"/>
  <c r="AO39" i="4"/>
  <c r="CQ39" i="4"/>
  <c r="CQ41" i="4"/>
  <c r="B37" i="2"/>
  <c r="B19" i="6" s="1"/>
  <c r="AO41" i="4"/>
  <c r="AO79" i="4"/>
  <c r="CQ79" i="4"/>
  <c r="J95" i="4"/>
  <c r="G95" i="4"/>
  <c r="DE140" i="4"/>
  <c r="J91" i="4"/>
  <c r="G91" i="4"/>
  <c r="J230" i="4"/>
  <c r="G230" i="4"/>
  <c r="J187" i="4"/>
  <c r="G187" i="4"/>
  <c r="CM154" i="4"/>
  <c r="BU141" i="4"/>
  <c r="S27" i="4"/>
  <c r="CV50" i="4"/>
  <c r="AT50" i="4"/>
  <c r="BU50" i="4"/>
  <c r="AK142" i="4"/>
  <c r="DE142" i="4"/>
  <c r="S142" i="4"/>
  <c r="DN142" i="4"/>
  <c r="CQ66" i="4"/>
  <c r="AO66" i="4"/>
  <c r="AB119" i="4"/>
  <c r="AO219" i="4"/>
  <c r="CQ219" i="4"/>
  <c r="CQ226" i="4"/>
  <c r="AO226" i="4"/>
  <c r="AB105" i="4"/>
  <c r="G186" i="4"/>
  <c r="J186" i="4"/>
  <c r="CD89" i="4"/>
  <c r="CM18" i="4"/>
  <c r="AO221" i="4"/>
  <c r="CQ221" i="4"/>
  <c r="BC34" i="4"/>
  <c r="DN174" i="4"/>
  <c r="DE50" i="4"/>
  <c r="AB56" i="4"/>
  <c r="DN72" i="4"/>
  <c r="AB184" i="4"/>
  <c r="AK233" i="4"/>
  <c r="AT227" i="4"/>
  <c r="CV43" i="4"/>
  <c r="AT178" i="4"/>
  <c r="CD40" i="4"/>
  <c r="AB156" i="4"/>
  <c r="CD13" i="4"/>
  <c r="DE117" i="4"/>
  <c r="G70" i="4"/>
  <c r="J70" i="4"/>
  <c r="G145" i="4"/>
  <c r="J145" i="4"/>
  <c r="BL181" i="4"/>
  <c r="DN181" i="4"/>
  <c r="AK181" i="4"/>
  <c r="CM181" i="4"/>
  <c r="AB181" i="4"/>
  <c r="AT181" i="4"/>
  <c r="CQ47" i="4"/>
  <c r="AO47" i="4"/>
  <c r="J149" i="4"/>
  <c r="G149" i="4"/>
  <c r="DE99" i="4"/>
  <c r="BC99" i="4"/>
  <c r="BO7" i="4"/>
  <c r="BS7" i="4" s="1"/>
  <c r="CQ97" i="4"/>
  <c r="AO97" i="4"/>
  <c r="DE173" i="4"/>
  <c r="DN173" i="4"/>
  <c r="CM173" i="4"/>
  <c r="AO134" i="4"/>
  <c r="CQ134" i="4"/>
  <c r="G199" i="4"/>
  <c r="J199" i="4"/>
  <c r="AO244" i="4"/>
  <c r="CQ244" i="4"/>
  <c r="CQ173" i="4"/>
  <c r="AO173" i="4"/>
  <c r="J111" i="4"/>
  <c r="G111" i="4"/>
  <c r="CQ242" i="4"/>
  <c r="AO242" i="4"/>
  <c r="J26" i="4"/>
  <c r="G26" i="4"/>
  <c r="J222" i="4"/>
  <c r="G222" i="4"/>
  <c r="AO9" i="4"/>
  <c r="CQ9" i="4"/>
  <c r="AO20" i="4"/>
  <c r="CQ20" i="4"/>
  <c r="G234" i="4"/>
  <c r="J234" i="4"/>
  <c r="CD168" i="4"/>
  <c r="AT168" i="4"/>
  <c r="AB168" i="4"/>
  <c r="CV168" i="4"/>
  <c r="DN168" i="4"/>
  <c r="BC168" i="4"/>
  <c r="BL168" i="4"/>
  <c r="BC9" i="4"/>
  <c r="AK9" i="4"/>
  <c r="DE9" i="4"/>
  <c r="CM9" i="4"/>
  <c r="S9" i="4"/>
  <c r="BL9" i="4"/>
  <c r="BU9" i="4"/>
  <c r="J52" i="4"/>
  <c r="G52" i="4"/>
  <c r="CQ115" i="4"/>
  <c r="AO115" i="4"/>
  <c r="J212" i="4"/>
  <c r="G212" i="4"/>
  <c r="AO53" i="4"/>
  <c r="CQ53" i="4"/>
  <c r="CQ122" i="4"/>
  <c r="AO122" i="4"/>
  <c r="AO64" i="4"/>
  <c r="CQ64" i="4"/>
  <c r="J127" i="4"/>
  <c r="G127" i="4"/>
  <c r="AO168" i="4"/>
  <c r="CQ168" i="4"/>
  <c r="AO139" i="4"/>
  <c r="CQ139" i="4"/>
  <c r="G120" i="4"/>
  <c r="J120" i="4"/>
  <c r="CQ71" i="4"/>
  <c r="AO71" i="4"/>
  <c r="G208" i="4"/>
  <c r="J208" i="4"/>
  <c r="BC122" i="4"/>
  <c r="S122" i="4"/>
  <c r="DE122" i="4"/>
  <c r="CD122" i="4"/>
  <c r="BL122" i="4"/>
  <c r="CV122" i="4"/>
  <c r="AB122" i="4"/>
  <c r="AK122" i="4"/>
  <c r="AT122" i="4"/>
  <c r="BU122" i="4"/>
  <c r="CM122" i="4"/>
  <c r="DN137" i="4"/>
  <c r="AT137" i="4"/>
  <c r="BC201" i="4"/>
  <c r="CV201" i="4"/>
  <c r="AT201" i="4"/>
  <c r="AK201" i="4"/>
  <c r="S201" i="4"/>
  <c r="DN201" i="4"/>
  <c r="CD201" i="4"/>
  <c r="DE201" i="4"/>
  <c r="J74" i="4"/>
  <c r="G74" i="4"/>
  <c r="G160" i="4"/>
  <c r="J160" i="4"/>
  <c r="J166" i="4"/>
  <c r="G166" i="4"/>
  <c r="AO233" i="4"/>
  <c r="CQ233" i="4"/>
  <c r="CM57" i="4"/>
  <c r="CV57" i="4"/>
  <c r="BL57" i="4"/>
  <c r="CQ117" i="4"/>
  <c r="AO117" i="4"/>
  <c r="G60" i="4"/>
  <c r="J60" i="4"/>
  <c r="DN97" i="4"/>
  <c r="CD162" i="4"/>
  <c r="AT162" i="4"/>
  <c r="S162" i="4"/>
  <c r="BC162" i="4"/>
  <c r="CV162" i="4"/>
  <c r="BU162" i="4"/>
  <c r="DE162" i="4"/>
  <c r="CM162" i="4"/>
  <c r="BU182" i="4"/>
  <c r="S182" i="4"/>
  <c r="DE182" i="4"/>
  <c r="DN182" i="4"/>
  <c r="CM182" i="4"/>
  <c r="AB182" i="4"/>
  <c r="BL182" i="4"/>
  <c r="AK182" i="4"/>
  <c r="CV182" i="4"/>
  <c r="BC182" i="4"/>
  <c r="DN99" i="4"/>
  <c r="BL173" i="4"/>
  <c r="DE240" i="4"/>
  <c r="J116" i="4"/>
  <c r="G116" i="4"/>
  <c r="BL201" i="4"/>
  <c r="DE168" i="4"/>
  <c r="DN106" i="4"/>
  <c r="S106" i="4"/>
  <c r="BC106" i="4"/>
  <c r="CD106" i="4"/>
  <c r="DE106" i="4"/>
  <c r="CV106" i="4"/>
  <c r="CM106" i="4"/>
  <c r="AB106" i="4"/>
  <c r="J179" i="4"/>
  <c r="G179" i="4"/>
  <c r="J38" i="4"/>
  <c r="G38" i="4"/>
  <c r="CQ94" i="4"/>
  <c r="AO94" i="4"/>
  <c r="DE137" i="4"/>
  <c r="K16" i="2" s="1" a="1"/>
  <c r="K16" i="2" s="1"/>
  <c r="AO114" i="4"/>
  <c r="CQ114" i="4"/>
  <c r="G243" i="4"/>
  <c r="J243" i="4"/>
  <c r="G136" i="4"/>
  <c r="J136" i="4"/>
  <c r="BU244" i="4"/>
  <c r="AO137" i="4"/>
  <c r="CQ137" i="4"/>
  <c r="CQ201" i="4"/>
  <c r="AO201" i="4"/>
  <c r="AO76" i="4"/>
  <c r="CQ76" i="4"/>
  <c r="J172" i="4"/>
  <c r="G172" i="4"/>
  <c r="AO22" i="4"/>
  <c r="CQ22" i="4"/>
  <c r="J92" i="4"/>
  <c r="G92" i="4"/>
  <c r="AO83" i="4"/>
  <c r="CQ83" i="4"/>
  <c r="G231" i="4"/>
  <c r="J231" i="4"/>
  <c r="G24" i="4"/>
  <c r="J24" i="4"/>
  <c r="CQ157" i="4" l="1"/>
  <c r="AO157" i="4"/>
  <c r="CQ189" i="4"/>
  <c r="AO189" i="4"/>
  <c r="AK189" i="4"/>
  <c r="BC189" i="4"/>
  <c r="BL189" i="4"/>
  <c r="CD189" i="4"/>
  <c r="AB189" i="4"/>
  <c r="CV189" i="4"/>
  <c r="DN189" i="4"/>
  <c r="BU189" i="4"/>
  <c r="S189" i="4"/>
  <c r="DE189" i="4"/>
  <c r="CM189" i="4"/>
  <c r="AT189" i="4"/>
  <c r="BC143" i="4"/>
  <c r="BL143" i="4"/>
  <c r="AK143" i="4"/>
  <c r="CD143" i="4"/>
  <c r="BU143" i="4"/>
  <c r="S143" i="4"/>
  <c r="DN143" i="4"/>
  <c r="AB143" i="4"/>
  <c r="DE143" i="4"/>
  <c r="AT143" i="4"/>
  <c r="CV143" i="4"/>
  <c r="CM143" i="4"/>
  <c r="S207" i="4"/>
  <c r="DE78" i="4"/>
  <c r="S78" i="4"/>
  <c r="BL78" i="4"/>
  <c r="BC78" i="4"/>
  <c r="AB78" i="4"/>
  <c r="CV78" i="4"/>
  <c r="CD78" i="4"/>
  <c r="CM78" i="4"/>
  <c r="AT78" i="4"/>
  <c r="BU78" i="4"/>
  <c r="AK78" i="4"/>
  <c r="DN78" i="4"/>
  <c r="DN29" i="4"/>
  <c r="S29" i="4"/>
  <c r="CV29" i="4"/>
  <c r="AB29" i="4"/>
  <c r="J7" i="2" s="1" a="1"/>
  <c r="J7" i="2" s="1"/>
  <c r="AT29" i="4"/>
  <c r="BL29" i="4"/>
  <c r="CD29" i="4"/>
  <c r="CM29" i="4"/>
  <c r="DE29" i="4"/>
  <c r="K7" i="2" s="1" a="1"/>
  <c r="K7" i="2" s="1"/>
  <c r="BU29" i="4"/>
  <c r="BC29" i="4"/>
  <c r="AK29" i="4"/>
  <c r="AO232" i="4"/>
  <c r="CQ232" i="4"/>
  <c r="DE119" i="4"/>
  <c r="S119" i="4"/>
  <c r="AK119" i="4"/>
  <c r="DN119" i="4"/>
  <c r="AT119" i="4"/>
  <c r="CQ104" i="4"/>
  <c r="CQ80" i="4"/>
  <c r="AO80" i="4"/>
  <c r="CQ135" i="4"/>
  <c r="AO78" i="4"/>
  <c r="CQ78" i="4"/>
  <c r="AB232" i="4"/>
  <c r="AK232" i="4"/>
  <c r="AT232" i="4"/>
  <c r="S232" i="4"/>
  <c r="BU232" i="4"/>
  <c r="CV232" i="4"/>
  <c r="BC232" i="4"/>
  <c r="CD232" i="4"/>
  <c r="BL232" i="4"/>
  <c r="CM232" i="4"/>
  <c r="DE232" i="4"/>
  <c r="DN232" i="4"/>
  <c r="AO30" i="4"/>
  <c r="CQ29" i="4"/>
  <c r="AO29" i="4"/>
  <c r="AT34" i="4"/>
  <c r="DN34" i="4"/>
  <c r="AB34" i="4"/>
  <c r="BL34" i="4"/>
  <c r="DE34" i="4"/>
  <c r="BL80" i="4"/>
  <c r="AB80" i="4"/>
  <c r="S80" i="4"/>
  <c r="CM80" i="4"/>
  <c r="BC80" i="4"/>
  <c r="CD80" i="4"/>
  <c r="AT80" i="4"/>
  <c r="DE80" i="4"/>
  <c r="DN80" i="4"/>
  <c r="BU80" i="4"/>
  <c r="AK80" i="4"/>
  <c r="CV80" i="4"/>
  <c r="AB101" i="4"/>
  <c r="J13" i="2" s="1" a="1"/>
  <c r="J13" i="2" s="1"/>
  <c r="DN101" i="4"/>
  <c r="BC101" i="4"/>
  <c r="CV101" i="4"/>
  <c r="CM101" i="4"/>
  <c r="DE101" i="4"/>
  <c r="K13" i="2" s="1" a="1"/>
  <c r="K13" i="2" s="1"/>
  <c r="CD101" i="4"/>
  <c r="AT101" i="4"/>
  <c r="S101" i="4"/>
  <c r="BU101" i="4"/>
  <c r="BL101" i="4"/>
  <c r="AK101" i="4"/>
  <c r="CQ143" i="4"/>
  <c r="AO143" i="4"/>
  <c r="BC207" i="4"/>
  <c r="DE207" i="4"/>
  <c r="CM207" i="4"/>
  <c r="AB207" i="4"/>
  <c r="CD207" i="4"/>
  <c r="DE62" i="4"/>
  <c r="BC62" i="4"/>
  <c r="BU62" i="4"/>
  <c r="CD62" i="4"/>
  <c r="CM62" i="4"/>
  <c r="AT62" i="4"/>
  <c r="DN62" i="4"/>
  <c r="BL62" i="4"/>
  <c r="S62" i="4"/>
  <c r="CV62" i="4"/>
  <c r="AK62" i="4"/>
  <c r="AB62" i="4"/>
  <c r="AB45" i="4"/>
  <c r="CM45" i="4"/>
  <c r="BL45" i="4"/>
  <c r="S45" i="4"/>
  <c r="CD45" i="4"/>
  <c r="AK45" i="4"/>
  <c r="AT45" i="4"/>
  <c r="DE45" i="4"/>
  <c r="DN45" i="4"/>
  <c r="BU45" i="4"/>
  <c r="CV45" i="4"/>
  <c r="BC45" i="4"/>
  <c r="AK93" i="4"/>
  <c r="S93" i="4"/>
  <c r="DE93" i="4"/>
  <c r="BL93" i="4"/>
  <c r="CD93" i="4"/>
  <c r="CV93" i="4"/>
  <c r="BU93" i="4"/>
  <c r="AB93" i="4"/>
  <c r="CM93" i="4"/>
  <c r="CQ101" i="4"/>
  <c r="AO101" i="4"/>
  <c r="CV207" i="4"/>
  <c r="AO207" i="4"/>
  <c r="BL207" i="4"/>
  <c r="BU67" i="4"/>
  <c r="CV67" i="4"/>
  <c r="AK67" i="4"/>
  <c r="S67" i="4"/>
  <c r="CD67" i="4"/>
  <c r="BC67" i="4"/>
  <c r="AT67" i="4"/>
  <c r="DN67" i="4"/>
  <c r="CM67" i="4"/>
  <c r="AB67" i="4"/>
  <c r="DE67" i="4"/>
  <c r="BL67" i="4"/>
  <c r="AT245" i="4"/>
  <c r="BC245" i="4"/>
  <c r="CV245" i="4"/>
  <c r="S245" i="4"/>
  <c r="BU245" i="4"/>
  <c r="AB245" i="4"/>
  <c r="DE245" i="4"/>
  <c r="DN245" i="4"/>
  <c r="CD245" i="4"/>
  <c r="AK245" i="4"/>
  <c r="CM245" i="4"/>
  <c r="BL245" i="4"/>
  <c r="AO62" i="4"/>
  <c r="CQ62" i="4"/>
  <c r="CQ45" i="4"/>
  <c r="AO45" i="4"/>
  <c r="BL76" i="4"/>
  <c r="BC76" i="4"/>
  <c r="AB76" i="4"/>
  <c r="S76" i="4"/>
  <c r="CD76" i="4"/>
  <c r="DN76" i="4"/>
  <c r="CM76" i="4"/>
  <c r="BU76" i="4"/>
  <c r="DE76" i="4"/>
  <c r="AK76" i="4"/>
  <c r="AT76" i="4"/>
  <c r="CV76" i="4"/>
  <c r="AO67" i="4"/>
  <c r="CQ67" i="4"/>
  <c r="AO245" i="4"/>
  <c r="CQ245" i="4"/>
  <c r="BU119" i="4"/>
  <c r="CD119" i="4"/>
  <c r="BV6" i="4"/>
  <c r="BW6" i="4" s="1"/>
  <c r="DN157" i="4"/>
  <c r="S157" i="4"/>
  <c r="BC157" i="4"/>
  <c r="AK157" i="4"/>
  <c r="CM157" i="4"/>
  <c r="DE157" i="4"/>
  <c r="AB157" i="4"/>
  <c r="CD157" i="4"/>
  <c r="CV157" i="4"/>
  <c r="AT157" i="4"/>
  <c r="BL157" i="4"/>
  <c r="BU157" i="4"/>
  <c r="AO151" i="4"/>
  <c r="CQ151" i="4"/>
  <c r="AB55" i="4"/>
  <c r="CV55" i="4"/>
  <c r="AT55" i="4"/>
  <c r="AK55" i="4"/>
  <c r="DN55" i="4"/>
  <c r="S55" i="4"/>
  <c r="DE55" i="4"/>
  <c r="CD55" i="4"/>
  <c r="BC55" i="4"/>
  <c r="BL55" i="4"/>
  <c r="BU55" i="4"/>
  <c r="CM55" i="4"/>
  <c r="AO126" i="4"/>
  <c r="CQ126" i="4"/>
  <c r="CT6" i="4"/>
  <c r="CU6" i="4"/>
  <c r="AO123" i="4"/>
  <c r="CQ123" i="4"/>
  <c r="AO111" i="4"/>
  <c r="CQ111" i="4"/>
  <c r="CQ187" i="4"/>
  <c r="AO187" i="4"/>
  <c r="AO211" i="4"/>
  <c r="CQ211" i="4"/>
  <c r="AK123" i="4"/>
  <c r="AT123" i="4"/>
  <c r="CD123" i="4"/>
  <c r="BC123" i="4"/>
  <c r="AB123" i="4"/>
  <c r="DN123" i="4"/>
  <c r="S123" i="4"/>
  <c r="CM123" i="4"/>
  <c r="CV123" i="4"/>
  <c r="DE123" i="4"/>
  <c r="BU123" i="4"/>
  <c r="BL123" i="4"/>
  <c r="CQ128" i="4"/>
  <c r="AO128" i="4"/>
  <c r="DN31" i="4"/>
  <c r="CV31" i="4"/>
  <c r="S31" i="4"/>
  <c r="BC31" i="4"/>
  <c r="BL31" i="4"/>
  <c r="AK31" i="4"/>
  <c r="AB31" i="4"/>
  <c r="CM31" i="4"/>
  <c r="AT31" i="4"/>
  <c r="DE31" i="4"/>
  <c r="BU31" i="4"/>
  <c r="CD31" i="4"/>
  <c r="S210" i="4"/>
  <c r="CM210" i="4"/>
  <c r="AB210" i="4"/>
  <c r="CV210" i="4"/>
  <c r="DE210" i="4"/>
  <c r="AK210" i="4"/>
  <c r="DN210" i="4"/>
  <c r="BL210" i="4"/>
  <c r="AT210" i="4"/>
  <c r="BC210" i="4"/>
  <c r="BU210" i="4"/>
  <c r="CD210" i="4"/>
  <c r="AO124" i="4"/>
  <c r="CQ124" i="4"/>
  <c r="CV121" i="4"/>
  <c r="AB121" i="4"/>
  <c r="DE121" i="4"/>
  <c r="BL121" i="4"/>
  <c r="DN121" i="4"/>
  <c r="CM121" i="4"/>
  <c r="BC121" i="4"/>
  <c r="AT121" i="4"/>
  <c r="S121" i="4"/>
  <c r="CD121" i="4"/>
  <c r="AK121" i="4"/>
  <c r="BU121" i="4"/>
  <c r="S164" i="4"/>
  <c r="BL164" i="4"/>
  <c r="AB164" i="4"/>
  <c r="DE164" i="4"/>
  <c r="AT164" i="4"/>
  <c r="CM164" i="4"/>
  <c r="BU164" i="4"/>
  <c r="DN164" i="4"/>
  <c r="CD164" i="4"/>
  <c r="AK164" i="4"/>
  <c r="CV164" i="4"/>
  <c r="BC164" i="4"/>
  <c r="AO55" i="4"/>
  <c r="CQ55" i="4"/>
  <c r="CV126" i="4"/>
  <c r="DN126" i="4"/>
  <c r="AT126" i="4"/>
  <c r="S126" i="4"/>
  <c r="AK126" i="4"/>
  <c r="BU126" i="4"/>
  <c r="CD126" i="4"/>
  <c r="AB126" i="4"/>
  <c r="BL126" i="4"/>
  <c r="BC126" i="4"/>
  <c r="CM126" i="4"/>
  <c r="DE126" i="4"/>
  <c r="BJ6" i="4"/>
  <c r="BK6" i="4"/>
  <c r="CQ206" i="4"/>
  <c r="AO206" i="4"/>
  <c r="CQ59" i="4"/>
  <c r="AO59" i="4"/>
  <c r="CE6" i="4"/>
  <c r="CF6" i="4" s="1"/>
  <c r="CQ234" i="4"/>
  <c r="AO234" i="4"/>
  <c r="BL113" i="4"/>
  <c r="AT113" i="4"/>
  <c r="BC113" i="4"/>
  <c r="CM113" i="4"/>
  <c r="CV113" i="4"/>
  <c r="DN113" i="4"/>
  <c r="BU113" i="4"/>
  <c r="DE113" i="4"/>
  <c r="K14" i="2" s="1" a="1"/>
  <c r="K14" i="2" s="1"/>
  <c r="AK113" i="4"/>
  <c r="CD113" i="4"/>
  <c r="S113" i="4"/>
  <c r="AB113" i="4"/>
  <c r="J14" i="2" s="1" a="1"/>
  <c r="J14" i="2" s="1"/>
  <c r="BA6" i="4"/>
  <c r="BB6" i="4"/>
  <c r="AO193" i="4"/>
  <c r="CQ193" i="4"/>
  <c r="CM32" i="4"/>
  <c r="CD32" i="4"/>
  <c r="AB32" i="4"/>
  <c r="CV32" i="4"/>
  <c r="BU32" i="4"/>
  <c r="S32" i="4"/>
  <c r="DN32" i="4"/>
  <c r="AK32" i="4"/>
  <c r="DE32" i="4"/>
  <c r="BC32" i="4"/>
  <c r="BL32" i="4"/>
  <c r="AT32" i="4"/>
  <c r="AO23" i="4"/>
  <c r="CQ23" i="4"/>
  <c r="DN51" i="4"/>
  <c r="CV51" i="4"/>
  <c r="AT51" i="4"/>
  <c r="AB51" i="4"/>
  <c r="DE51" i="4"/>
  <c r="CM51" i="4"/>
  <c r="BL51" i="4"/>
  <c r="BC51" i="4"/>
  <c r="S51" i="4"/>
  <c r="CD51" i="4"/>
  <c r="AK51" i="4"/>
  <c r="BU51" i="4"/>
  <c r="CQ220" i="4"/>
  <c r="AO220" i="4"/>
  <c r="AO107" i="4"/>
  <c r="CQ107" i="4"/>
  <c r="CQ231" i="4"/>
  <c r="AO231" i="4"/>
  <c r="AK111" i="4"/>
  <c r="BC111" i="4"/>
  <c r="CV111" i="4"/>
  <c r="CD111" i="4"/>
  <c r="DN111" i="4"/>
  <c r="AB111" i="4"/>
  <c r="CM111" i="4"/>
  <c r="BL111" i="4"/>
  <c r="S111" i="4"/>
  <c r="AT111" i="4"/>
  <c r="DE111" i="4"/>
  <c r="BU111" i="4"/>
  <c r="AO121" i="4"/>
  <c r="CQ121" i="4"/>
  <c r="BT7" i="4"/>
  <c r="DE234" i="4"/>
  <c r="BC234" i="4"/>
  <c r="AK234" i="4"/>
  <c r="BL234" i="4"/>
  <c r="AT234" i="4"/>
  <c r="DN234" i="4"/>
  <c r="CV234" i="4"/>
  <c r="S234" i="4"/>
  <c r="AB234" i="4"/>
  <c r="CD234" i="4"/>
  <c r="CM234" i="4"/>
  <c r="BU234" i="4"/>
  <c r="CD70" i="4"/>
  <c r="DN70" i="4"/>
  <c r="AB70" i="4"/>
  <c r="CV70" i="4"/>
  <c r="DE70" i="4"/>
  <c r="BU70" i="4"/>
  <c r="BL70" i="4"/>
  <c r="BC70" i="4"/>
  <c r="AK70" i="4"/>
  <c r="CM70" i="4"/>
  <c r="AT70" i="4"/>
  <c r="S70" i="4"/>
  <c r="S108" i="4"/>
  <c r="CV108" i="4"/>
  <c r="DE108" i="4"/>
  <c r="BC108" i="4"/>
  <c r="CD108" i="4"/>
  <c r="BL108" i="4"/>
  <c r="BU108" i="4"/>
  <c r="AK108" i="4"/>
  <c r="CM108" i="4"/>
  <c r="AT108" i="4"/>
  <c r="DN108" i="4"/>
  <c r="AB108" i="4"/>
  <c r="AB150" i="4"/>
  <c r="S150" i="4"/>
  <c r="AK150" i="4"/>
  <c r="CM150" i="4"/>
  <c r="DN150" i="4"/>
  <c r="AT150" i="4"/>
  <c r="CV150" i="4"/>
  <c r="BL150" i="4"/>
  <c r="DE150" i="4"/>
  <c r="BU150" i="4"/>
  <c r="CD150" i="4"/>
  <c r="BC150" i="4"/>
  <c r="CQ32" i="4"/>
  <c r="AO32" i="4"/>
  <c r="AT179" i="4"/>
  <c r="CV179" i="4"/>
  <c r="CD179" i="4"/>
  <c r="DE179" i="4"/>
  <c r="BL179" i="4"/>
  <c r="S179" i="4"/>
  <c r="AK179" i="4"/>
  <c r="DN179" i="4"/>
  <c r="AB179" i="4"/>
  <c r="BC179" i="4"/>
  <c r="BU179" i="4"/>
  <c r="CM179" i="4"/>
  <c r="AK236" i="4"/>
  <c r="AB236" i="4"/>
  <c r="DN236" i="4"/>
  <c r="DE236" i="4"/>
  <c r="CV236" i="4"/>
  <c r="BC236" i="4"/>
  <c r="BL236" i="4"/>
  <c r="CM236" i="4"/>
  <c r="CD236" i="4"/>
  <c r="AT236" i="4"/>
  <c r="BU236" i="4"/>
  <c r="S236" i="4"/>
  <c r="AO91" i="4"/>
  <c r="CQ91" i="4"/>
  <c r="DL6" i="4"/>
  <c r="DM6" i="4"/>
  <c r="DN91" i="4"/>
  <c r="CV91" i="4"/>
  <c r="CM91" i="4"/>
  <c r="CD91" i="4"/>
  <c r="AT91" i="4"/>
  <c r="AB91" i="4"/>
  <c r="BU91" i="4"/>
  <c r="BL91" i="4"/>
  <c r="S91" i="4"/>
  <c r="DE91" i="4"/>
  <c r="AK91" i="4"/>
  <c r="BC91" i="4"/>
  <c r="AO180" i="4"/>
  <c r="CQ180" i="4"/>
  <c r="CQ203" i="4"/>
  <c r="AO203" i="4"/>
  <c r="CD180" i="4"/>
  <c r="CM180" i="4"/>
  <c r="DN180" i="4"/>
  <c r="S180" i="4"/>
  <c r="AT180" i="4"/>
  <c r="AB180" i="4"/>
  <c r="BC180" i="4"/>
  <c r="BL180" i="4"/>
  <c r="BU180" i="4"/>
  <c r="DE180" i="4"/>
  <c r="AK180" i="4"/>
  <c r="CV180" i="4"/>
  <c r="AO166" i="4"/>
  <c r="CQ166" i="4"/>
  <c r="AO208" i="4"/>
  <c r="CQ208" i="4"/>
  <c r="CQ199" i="4"/>
  <c r="AO199" i="4"/>
  <c r="AO95" i="4"/>
  <c r="CQ95" i="4"/>
  <c r="AT77" i="4"/>
  <c r="DN77" i="4"/>
  <c r="CD77" i="4"/>
  <c r="BC77" i="4"/>
  <c r="CM77" i="4"/>
  <c r="DE77" i="4"/>
  <c r="K11" i="2" s="1" a="1"/>
  <c r="K11" i="2" s="1"/>
  <c r="AB77" i="4"/>
  <c r="J11" i="2" s="1" a="1"/>
  <c r="J11" i="2" s="1"/>
  <c r="S77" i="4"/>
  <c r="BL77" i="4"/>
  <c r="BU77" i="4"/>
  <c r="CV77" i="4"/>
  <c r="AK77" i="4"/>
  <c r="CM12" i="4"/>
  <c r="DE12" i="4"/>
  <c r="DN12" i="4"/>
  <c r="AK12" i="4"/>
  <c r="CV12" i="4"/>
  <c r="BU12" i="4"/>
  <c r="BL12" i="4"/>
  <c r="CD12" i="4"/>
  <c r="BC12" i="4"/>
  <c r="AT12" i="4"/>
  <c r="AB12" i="4"/>
  <c r="S12" i="4"/>
  <c r="DN75" i="4"/>
  <c r="BC75" i="4"/>
  <c r="BU75" i="4"/>
  <c r="CM75" i="4"/>
  <c r="AK75" i="4"/>
  <c r="BL75" i="4"/>
  <c r="AB75" i="4"/>
  <c r="S75" i="4"/>
  <c r="AT75" i="4"/>
  <c r="CD75" i="4"/>
  <c r="CV75" i="4"/>
  <c r="DE75" i="4"/>
  <c r="AB203" i="4"/>
  <c r="AK203" i="4"/>
  <c r="BC203" i="4"/>
  <c r="BU203" i="4"/>
  <c r="BL203" i="4"/>
  <c r="DE203" i="4"/>
  <c r="CV203" i="4"/>
  <c r="CM203" i="4"/>
  <c r="AT203" i="4"/>
  <c r="DN203" i="4"/>
  <c r="S203" i="4"/>
  <c r="CD203" i="4"/>
  <c r="CQ169" i="4"/>
  <c r="AO169" i="4"/>
  <c r="AO86" i="4"/>
  <c r="CQ86" i="4"/>
  <c r="AO191" i="4"/>
  <c r="CQ191" i="4"/>
  <c r="CQ158" i="4"/>
  <c r="AO158" i="4"/>
  <c r="CD132" i="4"/>
  <c r="DE132" i="4"/>
  <c r="BU132" i="4"/>
  <c r="AK132" i="4"/>
  <c r="BC132" i="4"/>
  <c r="BL132" i="4"/>
  <c r="DN132" i="4"/>
  <c r="AT132" i="4"/>
  <c r="S132" i="4"/>
  <c r="CM132" i="4"/>
  <c r="CV132" i="4"/>
  <c r="AB132" i="4"/>
  <c r="CM61" i="4"/>
  <c r="DE61" i="4"/>
  <c r="DN61" i="4"/>
  <c r="AT61" i="4"/>
  <c r="BC61" i="4"/>
  <c r="CV61" i="4"/>
  <c r="CD61" i="4"/>
  <c r="BU61" i="4"/>
  <c r="AK61" i="4"/>
  <c r="BL61" i="4"/>
  <c r="S61" i="4"/>
  <c r="AB61" i="4"/>
  <c r="CM15" i="4"/>
  <c r="BU15" i="4"/>
  <c r="AT15" i="4"/>
  <c r="BL15" i="4"/>
  <c r="AB15" i="4"/>
  <c r="AK15" i="4"/>
  <c r="DE15" i="4"/>
  <c r="BC15" i="4"/>
  <c r="CD15" i="4"/>
  <c r="CV15" i="4"/>
  <c r="DN15" i="4"/>
  <c r="S15" i="4"/>
  <c r="BL223" i="4"/>
  <c r="CD223" i="4"/>
  <c r="DE223" i="4"/>
  <c r="AB223" i="4"/>
  <c r="S223" i="4"/>
  <c r="CV223" i="4"/>
  <c r="DN223" i="4"/>
  <c r="AT223" i="4"/>
  <c r="AK223" i="4"/>
  <c r="CM223" i="4"/>
  <c r="BC223" i="4"/>
  <c r="BU223" i="4"/>
  <c r="CD231" i="4"/>
  <c r="S231" i="4"/>
  <c r="CM231" i="4"/>
  <c r="DN231" i="4"/>
  <c r="BU231" i="4"/>
  <c r="AT231" i="4"/>
  <c r="DE231" i="4"/>
  <c r="BC231" i="4"/>
  <c r="AB231" i="4"/>
  <c r="AK231" i="4"/>
  <c r="BL231" i="4"/>
  <c r="CV231" i="4"/>
  <c r="CD116" i="4"/>
  <c r="AK116" i="4"/>
  <c r="BC116" i="4"/>
  <c r="DN116" i="4"/>
  <c r="AT116" i="4"/>
  <c r="CM116" i="4"/>
  <c r="S116" i="4"/>
  <c r="CV116" i="4"/>
  <c r="BL116" i="4"/>
  <c r="BU116" i="4"/>
  <c r="AB116" i="4"/>
  <c r="DE116" i="4"/>
  <c r="AT52" i="4"/>
  <c r="AB52" i="4"/>
  <c r="DN52" i="4"/>
  <c r="CV52" i="4"/>
  <c r="BC52" i="4"/>
  <c r="CD52" i="4"/>
  <c r="DE52" i="4"/>
  <c r="BU52" i="4"/>
  <c r="S52" i="4"/>
  <c r="BL52" i="4"/>
  <c r="AK52" i="4"/>
  <c r="CM52" i="4"/>
  <c r="AB128" i="4"/>
  <c r="CV128" i="4"/>
  <c r="DN128" i="4"/>
  <c r="AT128" i="4"/>
  <c r="S128" i="4"/>
  <c r="AK128" i="4"/>
  <c r="CM128" i="4"/>
  <c r="BL128" i="4"/>
  <c r="CD128" i="4"/>
  <c r="DE128" i="4"/>
  <c r="BU128" i="4"/>
  <c r="BC128" i="4"/>
  <c r="AO210" i="4"/>
  <c r="CQ210" i="4"/>
  <c r="O7" i="4"/>
  <c r="M7" i="4" s="1"/>
  <c r="R7" i="4" s="1"/>
  <c r="T6" i="4"/>
  <c r="U6" i="4" s="1"/>
  <c r="AT213" i="4"/>
  <c r="AK213" i="4"/>
  <c r="BU213" i="4"/>
  <c r="CM213" i="4"/>
  <c r="DE213" i="4"/>
  <c r="DN213" i="4"/>
  <c r="BC213" i="4"/>
  <c r="CV213" i="4"/>
  <c r="BL213" i="4"/>
  <c r="AB213" i="4"/>
  <c r="CD213" i="4"/>
  <c r="S213" i="4"/>
  <c r="AO84" i="4"/>
  <c r="CQ84" i="4"/>
  <c r="X7" i="4"/>
  <c r="V7" i="4" s="1"/>
  <c r="Z7" i="4" s="1"/>
  <c r="AC6" i="4"/>
  <c r="AD6" i="4" s="1"/>
  <c r="W7" i="4"/>
  <c r="BU214" i="4"/>
  <c r="AT214" i="4"/>
  <c r="CM214" i="4"/>
  <c r="CD214" i="4"/>
  <c r="AB214" i="4"/>
  <c r="AK214" i="4"/>
  <c r="S214" i="4"/>
  <c r="BC214" i="4"/>
  <c r="DN214" i="4"/>
  <c r="BL214" i="4"/>
  <c r="CV214" i="4"/>
  <c r="DE214" i="4"/>
  <c r="AB230" i="4"/>
  <c r="AT230" i="4"/>
  <c r="DN230" i="4"/>
  <c r="CD230" i="4"/>
  <c r="AK230" i="4"/>
  <c r="BC230" i="4"/>
  <c r="CM230" i="4"/>
  <c r="DE230" i="4"/>
  <c r="BL230" i="4"/>
  <c r="S230" i="4"/>
  <c r="CV230" i="4"/>
  <c r="BU230" i="4"/>
  <c r="BC194" i="4"/>
  <c r="DE194" i="4"/>
  <c r="BL194" i="4"/>
  <c r="BU194" i="4"/>
  <c r="S194" i="4"/>
  <c r="CD194" i="4"/>
  <c r="DN194" i="4"/>
  <c r="CM194" i="4"/>
  <c r="CV194" i="4"/>
  <c r="AB194" i="4"/>
  <c r="AK194" i="4"/>
  <c r="AT194" i="4"/>
  <c r="BZ7" i="4"/>
  <c r="BY7" i="4"/>
  <c r="AO188" i="4"/>
  <c r="CQ188" i="4"/>
  <c r="AO190" i="4"/>
  <c r="CQ190" i="4"/>
  <c r="CQ136" i="4"/>
  <c r="AO136" i="4"/>
  <c r="S199" i="4"/>
  <c r="AB199" i="4"/>
  <c r="BU199" i="4"/>
  <c r="BC199" i="4"/>
  <c r="CM199" i="4"/>
  <c r="AK199" i="4"/>
  <c r="CV199" i="4"/>
  <c r="AT199" i="4"/>
  <c r="DE199" i="4"/>
  <c r="CD199" i="4"/>
  <c r="BL199" i="4"/>
  <c r="DN199" i="4"/>
  <c r="CQ75" i="4"/>
  <c r="AO75" i="4"/>
  <c r="AO152" i="4"/>
  <c r="CQ152" i="4"/>
  <c r="AB188" i="4"/>
  <c r="S188" i="4"/>
  <c r="AT188" i="4"/>
  <c r="BL188" i="4"/>
  <c r="AK188" i="4"/>
  <c r="BU188" i="4"/>
  <c r="DN188" i="4"/>
  <c r="CM188" i="4"/>
  <c r="CV188" i="4"/>
  <c r="DE188" i="4"/>
  <c r="CD188" i="4"/>
  <c r="BC188" i="4"/>
  <c r="AO222" i="4"/>
  <c r="CQ222" i="4"/>
  <c r="AK145" i="4"/>
  <c r="BC145" i="4"/>
  <c r="CM145" i="4"/>
  <c r="S145" i="4"/>
  <c r="AT145" i="4"/>
  <c r="BL145" i="4"/>
  <c r="DE145" i="4"/>
  <c r="CV145" i="4"/>
  <c r="AB145" i="4"/>
  <c r="CD145" i="4"/>
  <c r="BU145" i="4"/>
  <c r="DN145" i="4"/>
  <c r="DN38" i="4"/>
  <c r="S38" i="4"/>
  <c r="BC38" i="4"/>
  <c r="CD38" i="4"/>
  <c r="AB38" i="4"/>
  <c r="BL38" i="4"/>
  <c r="CV38" i="4"/>
  <c r="AK38" i="4"/>
  <c r="BU38" i="4"/>
  <c r="CM38" i="4"/>
  <c r="DE38" i="4"/>
  <c r="AT38" i="4"/>
  <c r="AR6" i="4"/>
  <c r="AS6" i="4"/>
  <c r="CV59" i="4"/>
  <c r="AB59" i="4"/>
  <c r="AT59" i="4"/>
  <c r="BL59" i="4"/>
  <c r="BC59" i="4"/>
  <c r="DN59" i="4"/>
  <c r="S59" i="4"/>
  <c r="CM59" i="4"/>
  <c r="DE59" i="4"/>
  <c r="BU59" i="4"/>
  <c r="CD59" i="4"/>
  <c r="AK59" i="4"/>
  <c r="AO230" i="4"/>
  <c r="CQ230" i="4"/>
  <c r="CM239" i="4"/>
  <c r="DN239" i="4"/>
  <c r="CD239" i="4"/>
  <c r="S239" i="4"/>
  <c r="BL239" i="4"/>
  <c r="BC239" i="4"/>
  <c r="BU239" i="4"/>
  <c r="AK239" i="4"/>
  <c r="AT239" i="4"/>
  <c r="DE239" i="4"/>
  <c r="AB239" i="4"/>
  <c r="CV239" i="4"/>
  <c r="AO236" i="4"/>
  <c r="CQ236" i="4"/>
  <c r="AB220" i="4"/>
  <c r="BL220" i="4"/>
  <c r="AK220" i="4"/>
  <c r="DN220" i="4"/>
  <c r="S220" i="4"/>
  <c r="BU220" i="4"/>
  <c r="DE220" i="4"/>
  <c r="BC220" i="4"/>
  <c r="AT220" i="4"/>
  <c r="CD220" i="4"/>
  <c r="CV220" i="4"/>
  <c r="CM220" i="4"/>
  <c r="AO70" i="4"/>
  <c r="CQ70" i="4"/>
  <c r="AK84" i="4"/>
  <c r="S84" i="4"/>
  <c r="DN84" i="4"/>
  <c r="BC84" i="4"/>
  <c r="BL84" i="4"/>
  <c r="BU84" i="4"/>
  <c r="AT84" i="4"/>
  <c r="CD84" i="4"/>
  <c r="DE84" i="4"/>
  <c r="AB84" i="4"/>
  <c r="CM84" i="4"/>
  <c r="CV84" i="4"/>
  <c r="AO92" i="4"/>
  <c r="CQ92" i="4"/>
  <c r="AO113" i="4"/>
  <c r="CQ113" i="4"/>
  <c r="AO51" i="4"/>
  <c r="CQ51" i="4"/>
  <c r="CV190" i="4"/>
  <c r="BC190" i="4"/>
  <c r="CM190" i="4"/>
  <c r="CD190" i="4"/>
  <c r="BU190" i="4"/>
  <c r="DN190" i="4"/>
  <c r="DE190" i="4"/>
  <c r="AT190" i="4"/>
  <c r="AB190" i="4"/>
  <c r="S190" i="4"/>
  <c r="BL190" i="4"/>
  <c r="AK190" i="4"/>
  <c r="CQ225" i="4"/>
  <c r="AO225" i="4"/>
  <c r="AO12" i="4"/>
  <c r="CQ12" i="4"/>
  <c r="BC225" i="4"/>
  <c r="S225" i="4"/>
  <c r="AK225" i="4"/>
  <c r="CD225" i="4"/>
  <c r="BL225" i="4"/>
  <c r="AB225" i="4"/>
  <c r="BU225" i="4"/>
  <c r="CM225" i="4"/>
  <c r="AT225" i="4"/>
  <c r="DN225" i="4"/>
  <c r="CV225" i="4"/>
  <c r="DE225" i="4"/>
  <c r="CM211" i="4"/>
  <c r="DN211" i="4"/>
  <c r="BC211" i="4"/>
  <c r="CV211" i="4"/>
  <c r="BL211" i="4"/>
  <c r="CD211" i="4"/>
  <c r="BU211" i="4"/>
  <c r="AK211" i="4"/>
  <c r="AT211" i="4"/>
  <c r="AB211" i="4"/>
  <c r="DE211" i="4"/>
  <c r="S211" i="4"/>
  <c r="CQ116" i="4"/>
  <c r="AO116" i="4"/>
  <c r="BV7" i="4"/>
  <c r="BW7" i="4" s="1"/>
  <c r="BQ8" i="4"/>
  <c r="AT124" i="4"/>
  <c r="BU124" i="4"/>
  <c r="BL124" i="4"/>
  <c r="AB124" i="4"/>
  <c r="CD124" i="4"/>
  <c r="DN124" i="4"/>
  <c r="AK124" i="4"/>
  <c r="CM124" i="4"/>
  <c r="BC124" i="4"/>
  <c r="DE124" i="4"/>
  <c r="CV124" i="4"/>
  <c r="S124" i="4"/>
  <c r="CQ164" i="4"/>
  <c r="AO164" i="4"/>
  <c r="CQ144" i="4"/>
  <c r="AO144" i="4"/>
  <c r="DD6" i="4"/>
  <c r="DC6" i="4"/>
  <c r="CD23" i="4"/>
  <c r="BC23" i="4"/>
  <c r="DN23" i="4"/>
  <c r="S23" i="4"/>
  <c r="DE23" i="4"/>
  <c r="CM23" i="4"/>
  <c r="AK23" i="4"/>
  <c r="BU23" i="4"/>
  <c r="AT23" i="4"/>
  <c r="CV23" i="4"/>
  <c r="BL23" i="4"/>
  <c r="AB23" i="4"/>
  <c r="AT107" i="4"/>
  <c r="BL107" i="4"/>
  <c r="DN107" i="4"/>
  <c r="AK107" i="4"/>
  <c r="CV107" i="4"/>
  <c r="CM107" i="4"/>
  <c r="AB107" i="4"/>
  <c r="DE107" i="4"/>
  <c r="S107" i="4"/>
  <c r="BU107" i="4"/>
  <c r="BC107" i="4"/>
  <c r="CD107" i="4"/>
  <c r="CQ108" i="4"/>
  <c r="AO108" i="4"/>
  <c r="BU16" i="4"/>
  <c r="CD16" i="4"/>
  <c r="CM16" i="4"/>
  <c r="AK16" i="4"/>
  <c r="S16" i="4"/>
  <c r="AT16" i="4"/>
  <c r="AB16" i="4"/>
  <c r="DE16" i="4"/>
  <c r="DN16" i="4"/>
  <c r="CV16" i="4"/>
  <c r="BC16" i="4"/>
  <c r="BL16" i="4"/>
  <c r="BL48" i="4"/>
  <c r="CM48" i="4"/>
  <c r="BC48" i="4"/>
  <c r="S48" i="4"/>
  <c r="DE48" i="4"/>
  <c r="DN48" i="4"/>
  <c r="AB48" i="4"/>
  <c r="CD48" i="4"/>
  <c r="CV48" i="4"/>
  <c r="BU48" i="4"/>
  <c r="AK48" i="4"/>
  <c r="AT48" i="4"/>
  <c r="AO149" i="4"/>
  <c r="CQ149" i="4"/>
  <c r="CQ16" i="4"/>
  <c r="AO16" i="4"/>
  <c r="AO81" i="4"/>
  <c r="CQ81" i="4"/>
  <c r="AK37" i="4"/>
  <c r="BL37" i="4"/>
  <c r="CV37" i="4"/>
  <c r="DN37" i="4"/>
  <c r="CD37" i="4"/>
  <c r="DE37" i="4"/>
  <c r="S37" i="4"/>
  <c r="CM37" i="4"/>
  <c r="BU37" i="4"/>
  <c r="AB37" i="4"/>
  <c r="BC37" i="4"/>
  <c r="AT37" i="4"/>
  <c r="DN136" i="4"/>
  <c r="S136" i="4"/>
  <c r="BL136" i="4"/>
  <c r="BU136" i="4"/>
  <c r="AB136" i="4"/>
  <c r="BC136" i="4"/>
  <c r="DE136" i="4"/>
  <c r="AT136" i="4"/>
  <c r="AK136" i="4"/>
  <c r="CD136" i="4"/>
  <c r="CM136" i="4"/>
  <c r="CV136" i="4"/>
  <c r="BU152" i="4"/>
  <c r="S152" i="4"/>
  <c r="BC152" i="4"/>
  <c r="BL152" i="4"/>
  <c r="DE152" i="4"/>
  <c r="AK152" i="4"/>
  <c r="CV152" i="4"/>
  <c r="DN152" i="4"/>
  <c r="AT152" i="4"/>
  <c r="AB152" i="4"/>
  <c r="CD152" i="4"/>
  <c r="CM152" i="4"/>
  <c r="AB81" i="4"/>
  <c r="CV81" i="4"/>
  <c r="BL81" i="4"/>
  <c r="DE81" i="4"/>
  <c r="BU81" i="4"/>
  <c r="AT81" i="4"/>
  <c r="CM81" i="4"/>
  <c r="CD81" i="4"/>
  <c r="DN81" i="4"/>
  <c r="S81" i="4"/>
  <c r="AK81" i="4"/>
  <c r="BC81" i="4"/>
  <c r="AO194" i="4"/>
  <c r="CQ194" i="4"/>
  <c r="AB208" i="4"/>
  <c r="S208" i="4"/>
  <c r="DN208" i="4"/>
  <c r="BC208" i="4"/>
  <c r="CM208" i="4"/>
  <c r="BL208" i="4"/>
  <c r="BU208" i="4"/>
  <c r="DE208" i="4"/>
  <c r="CD208" i="4"/>
  <c r="AT208" i="4"/>
  <c r="AK208" i="4"/>
  <c r="CV208" i="4"/>
  <c r="AT224" i="4"/>
  <c r="DN224" i="4"/>
  <c r="BU224" i="4"/>
  <c r="AK224" i="4"/>
  <c r="DE224" i="4"/>
  <c r="CV224" i="4"/>
  <c r="CD224" i="4"/>
  <c r="AB224" i="4"/>
  <c r="BL224" i="4"/>
  <c r="S224" i="4"/>
  <c r="CM224" i="4"/>
  <c r="BC224" i="4"/>
  <c r="CQ15" i="4"/>
  <c r="AO15" i="4"/>
  <c r="BU95" i="4"/>
  <c r="S95" i="4"/>
  <c r="DE95" i="4"/>
  <c r="CM95" i="4"/>
  <c r="DN95" i="4"/>
  <c r="BC95" i="4"/>
  <c r="AT95" i="4"/>
  <c r="AK95" i="4"/>
  <c r="CD95" i="4"/>
  <c r="CV95" i="4"/>
  <c r="AB95" i="4"/>
  <c r="BL95" i="4"/>
  <c r="CV191" i="4"/>
  <c r="CD191" i="4"/>
  <c r="S191" i="4"/>
  <c r="BU191" i="4"/>
  <c r="BL191" i="4"/>
  <c r="DE191" i="4"/>
  <c r="DN191" i="4"/>
  <c r="AK191" i="4"/>
  <c r="BC191" i="4"/>
  <c r="CM191" i="4"/>
  <c r="AB191" i="4"/>
  <c r="AT191" i="4"/>
  <c r="CQ195" i="4"/>
  <c r="AO195" i="4"/>
  <c r="AB172" i="4"/>
  <c r="CD172" i="4"/>
  <c r="DN172" i="4"/>
  <c r="S172" i="4"/>
  <c r="BC172" i="4"/>
  <c r="CV172" i="4"/>
  <c r="CM172" i="4"/>
  <c r="BU172" i="4"/>
  <c r="BL172" i="4"/>
  <c r="DE172" i="4"/>
  <c r="AT172" i="4"/>
  <c r="AK172" i="4"/>
  <c r="DE192" i="4"/>
  <c r="CV192" i="4"/>
  <c r="BL192" i="4"/>
  <c r="DN192" i="4"/>
  <c r="CM192" i="4"/>
  <c r="BU192" i="4"/>
  <c r="AB192" i="4"/>
  <c r="BC192" i="4"/>
  <c r="CD192" i="4"/>
  <c r="AT192" i="4"/>
  <c r="AK192" i="4"/>
  <c r="S192" i="4"/>
  <c r="AO110" i="4"/>
  <c r="CQ110" i="4"/>
  <c r="AO176" i="4"/>
  <c r="CQ176" i="4"/>
  <c r="AG7" i="4"/>
  <c r="AL6" i="4"/>
  <c r="AM6" i="4" s="1"/>
  <c r="AF7" i="4"/>
  <c r="CQ217" i="4"/>
  <c r="AO217" i="4"/>
  <c r="DE73" i="4"/>
  <c r="AK73" i="4"/>
  <c r="CV73" i="4"/>
  <c r="CD73" i="4"/>
  <c r="AT73" i="4"/>
  <c r="CM73" i="4"/>
  <c r="BL73" i="4"/>
  <c r="AB73" i="4"/>
  <c r="S73" i="4"/>
  <c r="DN73" i="4"/>
  <c r="BC73" i="4"/>
  <c r="BU73" i="4"/>
  <c r="AO160" i="4"/>
  <c r="CQ160" i="4"/>
  <c r="AO212" i="4"/>
  <c r="CQ212" i="4"/>
  <c r="CQ24" i="4"/>
  <c r="AO24" i="4"/>
  <c r="CQ31" i="4"/>
  <c r="AO31" i="4"/>
  <c r="CQ38" i="4"/>
  <c r="AO38" i="4"/>
  <c r="CQ52" i="4"/>
  <c r="AO52" i="4"/>
  <c r="CQ145" i="4"/>
  <c r="AO145" i="4"/>
  <c r="CQ239" i="4"/>
  <c r="AO239" i="4"/>
  <c r="CQ150" i="4"/>
  <c r="AO150" i="4"/>
  <c r="AB206" i="4"/>
  <c r="BL206" i="4"/>
  <c r="CV206" i="4"/>
  <c r="BU206" i="4"/>
  <c r="AT206" i="4"/>
  <c r="DN206" i="4"/>
  <c r="S206" i="4"/>
  <c r="CM206" i="4"/>
  <c r="BC206" i="4"/>
  <c r="AK206" i="4"/>
  <c r="CD206" i="4"/>
  <c r="DE206" i="4"/>
  <c r="CQ214" i="4"/>
  <c r="AO214" i="4"/>
  <c r="AO179" i="4"/>
  <c r="CQ179" i="4"/>
  <c r="CQ127" i="4"/>
  <c r="AO127" i="4"/>
  <c r="AO48" i="4"/>
  <c r="CQ48" i="4"/>
  <c r="CD193" i="4"/>
  <c r="DN193" i="4"/>
  <c r="AT193" i="4"/>
  <c r="CV193" i="4"/>
  <c r="AB193" i="4"/>
  <c r="DE193" i="4"/>
  <c r="BC193" i="4"/>
  <c r="AK193" i="4"/>
  <c r="CM193" i="4"/>
  <c r="S193" i="4"/>
  <c r="BL193" i="4"/>
  <c r="BU193" i="4"/>
  <c r="AK127" i="4"/>
  <c r="BC127" i="4"/>
  <c r="DN127" i="4"/>
  <c r="DE127" i="4"/>
  <c r="BL127" i="4"/>
  <c r="AT127" i="4"/>
  <c r="AB127" i="4"/>
  <c r="S127" i="4"/>
  <c r="CM127" i="4"/>
  <c r="BU127" i="4"/>
  <c r="CV127" i="4"/>
  <c r="CD127" i="4"/>
  <c r="CQ213" i="4"/>
  <c r="AO213" i="4"/>
  <c r="AK144" i="4"/>
  <c r="DE144" i="4"/>
  <c r="AT144" i="4"/>
  <c r="BL144" i="4"/>
  <c r="BU144" i="4"/>
  <c r="S144" i="4"/>
  <c r="CD144" i="4"/>
  <c r="CM144" i="4"/>
  <c r="AB144" i="4"/>
  <c r="DN144" i="4"/>
  <c r="BC144" i="4"/>
  <c r="CV144" i="4"/>
  <c r="CQ69" i="4"/>
  <c r="AO69" i="4"/>
  <c r="AB69" i="4"/>
  <c r="DN69" i="4"/>
  <c r="BL69" i="4"/>
  <c r="BC69" i="4"/>
  <c r="S69" i="4"/>
  <c r="CD69" i="4"/>
  <c r="CM69" i="4"/>
  <c r="AK69" i="4"/>
  <c r="DE69" i="4"/>
  <c r="AT69" i="4"/>
  <c r="CV69" i="4"/>
  <c r="BU69" i="4"/>
  <c r="AT92" i="4"/>
  <c r="S92" i="4"/>
  <c r="DE92" i="4"/>
  <c r="CD92" i="4"/>
  <c r="BC92" i="4"/>
  <c r="BU92" i="4"/>
  <c r="AK92" i="4"/>
  <c r="BL92" i="4"/>
  <c r="DN92" i="4"/>
  <c r="AB92" i="4"/>
  <c r="CM92" i="4"/>
  <c r="CV92" i="4"/>
  <c r="BL149" i="4"/>
  <c r="CV149" i="4"/>
  <c r="AB149" i="4"/>
  <c r="J17" i="2" s="1" a="1"/>
  <c r="J17" i="2" s="1"/>
  <c r="DE149" i="4"/>
  <c r="K17" i="2" s="1" a="1"/>
  <c r="K17" i="2" s="1"/>
  <c r="BC149" i="4"/>
  <c r="BU149" i="4"/>
  <c r="CM149" i="4"/>
  <c r="AK149" i="4"/>
  <c r="CD149" i="4"/>
  <c r="DN149" i="4"/>
  <c r="AT149" i="4"/>
  <c r="S149" i="4"/>
  <c r="AK19" i="4"/>
  <c r="DN19" i="4"/>
  <c r="AB19" i="4"/>
  <c r="CV19" i="4"/>
  <c r="BU19" i="4"/>
  <c r="DE19" i="4"/>
  <c r="BC19" i="4"/>
  <c r="AT19" i="4"/>
  <c r="CM19" i="4"/>
  <c r="BL19" i="4"/>
  <c r="S19" i="4"/>
  <c r="CD19" i="4"/>
  <c r="CI7" i="4"/>
  <c r="CN6" i="4"/>
  <c r="CO6" i="4" s="1"/>
  <c r="CH7" i="4"/>
  <c r="CQ224" i="4"/>
  <c r="AO224" i="4"/>
  <c r="CQ19" i="4"/>
  <c r="AO19" i="4"/>
  <c r="S86" i="4"/>
  <c r="DE86" i="4"/>
  <c r="AK86" i="4"/>
  <c r="BL86" i="4"/>
  <c r="AT86" i="4"/>
  <c r="DN86" i="4"/>
  <c r="CD86" i="4"/>
  <c r="CV86" i="4"/>
  <c r="BU86" i="4"/>
  <c r="BC86" i="4"/>
  <c r="AB86" i="4"/>
  <c r="CM86" i="4"/>
  <c r="CQ61" i="4"/>
  <c r="AO61" i="4"/>
  <c r="CQ223" i="4"/>
  <c r="AO223" i="4"/>
  <c r="AK243" i="4"/>
  <c r="CD243" i="4"/>
  <c r="BU243" i="4"/>
  <c r="AB243" i="4"/>
  <c r="DE243" i="4"/>
  <c r="CV243" i="4"/>
  <c r="S243" i="4"/>
  <c r="CM243" i="4"/>
  <c r="DN243" i="4"/>
  <c r="BC243" i="4"/>
  <c r="BL243" i="4"/>
  <c r="AT243" i="4"/>
  <c r="CQ172" i="4"/>
  <c r="AO172" i="4"/>
  <c r="CQ243" i="4"/>
  <c r="AO243" i="4"/>
  <c r="BU166" i="4"/>
  <c r="DE166" i="4"/>
  <c r="CM166" i="4"/>
  <c r="S166" i="4"/>
  <c r="AK166" i="4"/>
  <c r="AT166" i="4"/>
  <c r="CD166" i="4"/>
  <c r="AB166" i="4"/>
  <c r="CV166" i="4"/>
  <c r="BC166" i="4"/>
  <c r="BL166" i="4"/>
  <c r="DN166" i="4"/>
  <c r="CD186" i="4"/>
  <c r="BL186" i="4"/>
  <c r="CV186" i="4"/>
  <c r="S186" i="4"/>
  <c r="BU186" i="4"/>
  <c r="DE186" i="4"/>
  <c r="CM186" i="4"/>
  <c r="DN186" i="4"/>
  <c r="AB186" i="4"/>
  <c r="AT186" i="4"/>
  <c r="AK186" i="4"/>
  <c r="BC186" i="4"/>
  <c r="AO28" i="4"/>
  <c r="CQ28" i="4"/>
  <c r="AO77" i="4"/>
  <c r="CQ77" i="4"/>
  <c r="BC204" i="4"/>
  <c r="CV204" i="4"/>
  <c r="CD204" i="4"/>
  <c r="AK204" i="4"/>
  <c r="S204" i="4"/>
  <c r="BU204" i="4"/>
  <c r="DN204" i="4"/>
  <c r="DE204" i="4"/>
  <c r="BL204" i="4"/>
  <c r="AT204" i="4"/>
  <c r="CM204" i="4"/>
  <c r="AB204" i="4"/>
  <c r="BU169" i="4"/>
  <c r="BC169" i="4"/>
  <c r="DE169" i="4"/>
  <c r="DN169" i="4"/>
  <c r="BL169" i="4"/>
  <c r="AT169" i="4"/>
  <c r="CV169" i="4"/>
  <c r="AB169" i="4"/>
  <c r="S169" i="4"/>
  <c r="AK169" i="4"/>
  <c r="CD169" i="4"/>
  <c r="CM169" i="4"/>
  <c r="CQ192" i="4"/>
  <c r="AO192" i="4"/>
  <c r="BL158" i="4"/>
  <c r="AT158" i="4"/>
  <c r="S158" i="4"/>
  <c r="DN158" i="4"/>
  <c r="DE158" i="4"/>
  <c r="AK158" i="4"/>
  <c r="BC158" i="4"/>
  <c r="CM158" i="4"/>
  <c r="CD158" i="4"/>
  <c r="CV158" i="4"/>
  <c r="BU158" i="4"/>
  <c r="AB158" i="4"/>
  <c r="AO132" i="4"/>
  <c r="CQ132" i="4"/>
  <c r="BC160" i="4"/>
  <c r="DE160" i="4"/>
  <c r="AK160" i="4"/>
  <c r="BL160" i="4"/>
  <c r="BU160" i="4"/>
  <c r="CV160" i="4"/>
  <c r="AT160" i="4"/>
  <c r="CM160" i="4"/>
  <c r="S160" i="4"/>
  <c r="DN160" i="4"/>
  <c r="CD160" i="4"/>
  <c r="AB160" i="4"/>
  <c r="AB222" i="4"/>
  <c r="BU222" i="4"/>
  <c r="DE222" i="4"/>
  <c r="CM222" i="4"/>
  <c r="BL222" i="4"/>
  <c r="CD222" i="4"/>
  <c r="AK222" i="4"/>
  <c r="CV222" i="4"/>
  <c r="DN222" i="4"/>
  <c r="BC222" i="4"/>
  <c r="AT222" i="4"/>
  <c r="S222" i="4"/>
  <c r="CQ186" i="4"/>
  <c r="AO186" i="4"/>
  <c r="BU28" i="4"/>
  <c r="BL28" i="4"/>
  <c r="AT28" i="4"/>
  <c r="DE28" i="4"/>
  <c r="CD28" i="4"/>
  <c r="DN28" i="4"/>
  <c r="CM28" i="4"/>
  <c r="AK28" i="4"/>
  <c r="S28" i="4"/>
  <c r="AB28" i="4"/>
  <c r="BC28" i="4"/>
  <c r="CV28" i="4"/>
  <c r="AO204" i="4"/>
  <c r="CQ204" i="4"/>
  <c r="AO42" i="4"/>
  <c r="CQ42" i="4"/>
  <c r="AO90" i="4"/>
  <c r="CQ90" i="4"/>
  <c r="DE163" i="4"/>
  <c r="CD163" i="4"/>
  <c r="S163" i="4"/>
  <c r="BC163" i="4"/>
  <c r="AB163" i="4"/>
  <c r="BL163" i="4"/>
  <c r="CM163" i="4"/>
  <c r="AT163" i="4"/>
  <c r="AK163" i="4"/>
  <c r="CV163" i="4"/>
  <c r="BU163" i="4"/>
  <c r="DN163" i="4"/>
  <c r="AK195" i="4"/>
  <c r="BC195" i="4"/>
  <c r="CD195" i="4"/>
  <c r="S195" i="4"/>
  <c r="CM195" i="4"/>
  <c r="AT195" i="4"/>
  <c r="AB195" i="4"/>
  <c r="BU195" i="4"/>
  <c r="CV195" i="4"/>
  <c r="BL195" i="4"/>
  <c r="DE195" i="4"/>
  <c r="DN195" i="4"/>
  <c r="AB60" i="4"/>
  <c r="CD60" i="4"/>
  <c r="BL60" i="4"/>
  <c r="BU60" i="4"/>
  <c r="CM60" i="4"/>
  <c r="AT60" i="4"/>
  <c r="S60" i="4"/>
  <c r="CV60" i="4"/>
  <c r="DE60" i="4"/>
  <c r="BC60" i="4"/>
  <c r="DN60" i="4"/>
  <c r="AK60" i="4"/>
  <c r="BU120" i="4"/>
  <c r="BC120" i="4"/>
  <c r="CV120" i="4"/>
  <c r="AB120" i="4"/>
  <c r="BL120" i="4"/>
  <c r="AK120" i="4"/>
  <c r="CD120" i="4"/>
  <c r="S120" i="4"/>
  <c r="AT120" i="4"/>
  <c r="CM120" i="4"/>
  <c r="DN120" i="4"/>
  <c r="DE120" i="4"/>
  <c r="AO26" i="4"/>
  <c r="CQ26" i="4"/>
  <c r="AO36" i="4"/>
  <c r="CQ36" i="4"/>
  <c r="CQ10" i="4"/>
  <c r="AO10" i="4"/>
  <c r="DE42" i="4"/>
  <c r="AT42" i="4"/>
  <c r="AK42" i="4"/>
  <c r="BL42" i="4"/>
  <c r="CM42" i="4"/>
  <c r="DN42" i="4"/>
  <c r="BU42" i="4"/>
  <c r="AB42" i="4"/>
  <c r="S42" i="4"/>
  <c r="CD42" i="4"/>
  <c r="CV42" i="4"/>
  <c r="BC42" i="4"/>
  <c r="AB90" i="4"/>
  <c r="BC90" i="4"/>
  <c r="DN90" i="4"/>
  <c r="BU90" i="4"/>
  <c r="S90" i="4"/>
  <c r="AT90" i="4"/>
  <c r="BL90" i="4"/>
  <c r="CV90" i="4"/>
  <c r="AK90" i="4"/>
  <c r="CM90" i="4"/>
  <c r="DE90" i="4"/>
  <c r="CD90" i="4"/>
  <c r="DE110" i="4"/>
  <c r="BC110" i="4"/>
  <c r="CD110" i="4"/>
  <c r="CV110" i="4"/>
  <c r="CM110" i="4"/>
  <c r="DN110" i="4"/>
  <c r="BU110" i="4"/>
  <c r="BL110" i="4"/>
  <c r="AB110" i="4"/>
  <c r="AK110" i="4"/>
  <c r="AT110" i="4"/>
  <c r="S110" i="4"/>
  <c r="DF5" i="4"/>
  <c r="DG5" i="4" s="1"/>
  <c r="K5" i="2" a="1"/>
  <c r="K5" i="2" s="1"/>
  <c r="BL176" i="4"/>
  <c r="CV176" i="4"/>
  <c r="AK176" i="4"/>
  <c r="S176" i="4"/>
  <c r="CD176" i="4"/>
  <c r="BU176" i="4"/>
  <c r="DE176" i="4"/>
  <c r="DN176" i="4"/>
  <c r="BC176" i="4"/>
  <c r="CM176" i="4"/>
  <c r="AT176" i="4"/>
  <c r="AB176" i="4"/>
  <c r="AO163" i="4"/>
  <c r="CQ163" i="4"/>
  <c r="CV196" i="4"/>
  <c r="BU196" i="4"/>
  <c r="CM196" i="4"/>
  <c r="BL196" i="4"/>
  <c r="AT196" i="4"/>
  <c r="DE196" i="4"/>
  <c r="AB196" i="4"/>
  <c r="BC196" i="4"/>
  <c r="CD196" i="4"/>
  <c r="S196" i="4"/>
  <c r="AK196" i="4"/>
  <c r="DN196" i="4"/>
  <c r="CM44" i="4"/>
  <c r="S44" i="4"/>
  <c r="DN44" i="4"/>
  <c r="BL44" i="4"/>
  <c r="CD44" i="4"/>
  <c r="AT44" i="4"/>
  <c r="CV44" i="4"/>
  <c r="BU44" i="4"/>
  <c r="DE44" i="4"/>
  <c r="AK44" i="4"/>
  <c r="AB44" i="4"/>
  <c r="BC44" i="4"/>
  <c r="DE217" i="4"/>
  <c r="CM217" i="4"/>
  <c r="BC217" i="4"/>
  <c r="S217" i="4"/>
  <c r="DN217" i="4"/>
  <c r="AK217" i="4"/>
  <c r="BU217" i="4"/>
  <c r="AB217" i="4"/>
  <c r="CV217" i="4"/>
  <c r="BL217" i="4"/>
  <c r="AT217" i="4"/>
  <c r="CD217" i="4"/>
  <c r="CQ103" i="4"/>
  <c r="AO103" i="4"/>
  <c r="CQ73" i="4"/>
  <c r="AO73" i="4"/>
  <c r="CQ161" i="4"/>
  <c r="AO161" i="4"/>
  <c r="AO118" i="4"/>
  <c r="CQ118" i="4"/>
  <c r="AK36" i="4"/>
  <c r="AT36" i="4"/>
  <c r="AB36" i="4"/>
  <c r="CD36" i="4"/>
  <c r="BC36" i="4"/>
  <c r="BU36" i="4"/>
  <c r="DE36" i="4"/>
  <c r="DN36" i="4"/>
  <c r="CV36" i="4"/>
  <c r="BL36" i="4"/>
  <c r="CM36" i="4"/>
  <c r="S36" i="4"/>
  <c r="AO85" i="4"/>
  <c r="CQ85" i="4"/>
  <c r="S10" i="4"/>
  <c r="AK10" i="4"/>
  <c r="BU10" i="4"/>
  <c r="CV10" i="4"/>
  <c r="CM10" i="4"/>
  <c r="BL10" i="4"/>
  <c r="DN10" i="4"/>
  <c r="AB10" i="4"/>
  <c r="AT10" i="4"/>
  <c r="CD10" i="4"/>
  <c r="DE10" i="4"/>
  <c r="BC10" i="4"/>
  <c r="AT35" i="4"/>
  <c r="DE35" i="4"/>
  <c r="DN35" i="4"/>
  <c r="BC35" i="4"/>
  <c r="CM35" i="4"/>
  <c r="AB35" i="4"/>
  <c r="BL35" i="4"/>
  <c r="BU35" i="4"/>
  <c r="AK35" i="4"/>
  <c r="CV35" i="4"/>
  <c r="CD35" i="4"/>
  <c r="S35" i="4"/>
  <c r="AO155" i="4"/>
  <c r="CQ155" i="4"/>
  <c r="AO82" i="4"/>
  <c r="CQ82" i="4"/>
  <c r="AO196" i="4"/>
  <c r="CQ196" i="4"/>
  <c r="AO44" i="4"/>
  <c r="CQ44" i="4"/>
  <c r="AB7" i="4"/>
  <c r="CM7" i="4"/>
  <c r="CD7" i="4"/>
  <c r="BU7" i="4"/>
  <c r="BL7" i="4"/>
  <c r="DE7" i="4"/>
  <c r="AT7" i="4"/>
  <c r="DN7" i="4"/>
  <c r="S7" i="4"/>
  <c r="BC7" i="4"/>
  <c r="AK7" i="4"/>
  <c r="CV7" i="4"/>
  <c r="AO14" i="4"/>
  <c r="CQ14" i="4"/>
  <c r="CQ129" i="4"/>
  <c r="AO129" i="4"/>
  <c r="DE8" i="4"/>
  <c r="BU8" i="4"/>
  <c r="AB8" i="4"/>
  <c r="AT8" i="4"/>
  <c r="S8" i="4"/>
  <c r="CV8" i="4"/>
  <c r="CD8" i="4"/>
  <c r="BL8" i="4"/>
  <c r="DN8" i="4"/>
  <c r="AK8" i="4"/>
  <c r="CM8" i="4"/>
  <c r="BC8" i="4"/>
  <c r="S103" i="4"/>
  <c r="CM103" i="4"/>
  <c r="DN103" i="4"/>
  <c r="BL103" i="4"/>
  <c r="CV103" i="4"/>
  <c r="AB103" i="4"/>
  <c r="DE103" i="4"/>
  <c r="BC103" i="4"/>
  <c r="AT103" i="4"/>
  <c r="CD103" i="4"/>
  <c r="BU103" i="4"/>
  <c r="AK103" i="4"/>
  <c r="CD187" i="4"/>
  <c r="AB187" i="4"/>
  <c r="BC187" i="4"/>
  <c r="CM187" i="4"/>
  <c r="DE187" i="4"/>
  <c r="DN187" i="4"/>
  <c r="CV187" i="4"/>
  <c r="BU187" i="4"/>
  <c r="S187" i="4"/>
  <c r="AK187" i="4"/>
  <c r="BL187" i="4"/>
  <c r="AT187" i="4"/>
  <c r="AO37" i="4"/>
  <c r="CQ37" i="4"/>
  <c r="CQ60" i="4"/>
  <c r="AO60" i="4"/>
  <c r="CQ74" i="4"/>
  <c r="AO74" i="4"/>
  <c r="AO120" i="4"/>
  <c r="CQ120" i="4"/>
  <c r="CM212" i="4"/>
  <c r="CD212" i="4"/>
  <c r="AB212" i="4"/>
  <c r="AT212" i="4"/>
  <c r="DN212" i="4"/>
  <c r="S212" i="4"/>
  <c r="AK212" i="4"/>
  <c r="DE212" i="4"/>
  <c r="BL212" i="4"/>
  <c r="BU212" i="4"/>
  <c r="CV212" i="4"/>
  <c r="BC212" i="4"/>
  <c r="AK26" i="4"/>
  <c r="BU26" i="4"/>
  <c r="CM26" i="4"/>
  <c r="AT26" i="4"/>
  <c r="AB26" i="4"/>
  <c r="CD26" i="4"/>
  <c r="S26" i="4"/>
  <c r="DN26" i="4"/>
  <c r="DE26" i="4"/>
  <c r="BL26" i="4"/>
  <c r="BC26" i="4"/>
  <c r="CV26" i="4"/>
  <c r="CD24" i="4"/>
  <c r="AK24" i="4"/>
  <c r="BC24" i="4"/>
  <c r="DE24" i="4"/>
  <c r="CV24" i="4"/>
  <c r="CM24" i="4"/>
  <c r="BU24" i="4"/>
  <c r="DN24" i="4"/>
  <c r="AT24" i="4"/>
  <c r="AB24" i="4"/>
  <c r="BL24" i="4"/>
  <c r="S24" i="4"/>
  <c r="CD74" i="4"/>
  <c r="CV74" i="4"/>
  <c r="DN74" i="4"/>
  <c r="AB74" i="4"/>
  <c r="AT74" i="4"/>
  <c r="BU74" i="4"/>
  <c r="CM74" i="4"/>
  <c r="BC74" i="4"/>
  <c r="DE74" i="4"/>
  <c r="S74" i="4"/>
  <c r="AK74" i="4"/>
  <c r="BL74" i="4"/>
  <c r="CM161" i="4"/>
  <c r="S161" i="4"/>
  <c r="CV161" i="4"/>
  <c r="DN161" i="4"/>
  <c r="CD161" i="4"/>
  <c r="DE161" i="4"/>
  <c r="AK161" i="4"/>
  <c r="AB161" i="4"/>
  <c r="BU161" i="4"/>
  <c r="AT161" i="4"/>
  <c r="BC161" i="4"/>
  <c r="BL161" i="4"/>
  <c r="S118" i="4"/>
  <c r="CM118" i="4"/>
  <c r="DN118" i="4"/>
  <c r="BL118" i="4"/>
  <c r="DE118" i="4"/>
  <c r="CV118" i="4"/>
  <c r="AB118" i="4"/>
  <c r="BU118" i="4"/>
  <c r="AK118" i="4"/>
  <c r="AT118" i="4"/>
  <c r="CD118" i="4"/>
  <c r="BC118" i="4"/>
  <c r="BC85" i="4"/>
  <c r="S85" i="4"/>
  <c r="CD85" i="4"/>
  <c r="CV85" i="4"/>
  <c r="AT85" i="4"/>
  <c r="DE85" i="4"/>
  <c r="DN85" i="4"/>
  <c r="AK85" i="4"/>
  <c r="BL85" i="4"/>
  <c r="AB85" i="4"/>
  <c r="CM85" i="4"/>
  <c r="BU85" i="4"/>
  <c r="S151" i="4"/>
  <c r="DN151" i="4"/>
  <c r="CM151" i="4"/>
  <c r="BU151" i="4"/>
  <c r="BC151" i="4"/>
  <c r="CV151" i="4"/>
  <c r="DE151" i="4"/>
  <c r="AB151" i="4"/>
  <c r="CD151" i="4"/>
  <c r="AT151" i="4"/>
  <c r="AK151" i="4"/>
  <c r="BL151" i="4"/>
  <c r="AC5" i="4"/>
  <c r="AD5" i="4" s="1"/>
  <c r="J5" i="2" a="1"/>
  <c r="J5" i="2" s="1"/>
  <c r="AO35" i="4"/>
  <c r="CQ35" i="4"/>
  <c r="BU155" i="4"/>
  <c r="AT155" i="4"/>
  <c r="BL155" i="4"/>
  <c r="BC155" i="4"/>
  <c r="DN155" i="4"/>
  <c r="AK155" i="4"/>
  <c r="CD155" i="4"/>
  <c r="CM155" i="4"/>
  <c r="S155" i="4"/>
  <c r="AB155" i="4"/>
  <c r="DE155" i="4"/>
  <c r="CV155" i="4"/>
  <c r="S82" i="4"/>
  <c r="AB82" i="4"/>
  <c r="AT82" i="4"/>
  <c r="DN82" i="4"/>
  <c r="CM82" i="4"/>
  <c r="BC82" i="4"/>
  <c r="BL82" i="4"/>
  <c r="AK82" i="4"/>
  <c r="DE82" i="4"/>
  <c r="BU82" i="4"/>
  <c r="CV82" i="4"/>
  <c r="CD82" i="4"/>
  <c r="DI7" i="4"/>
  <c r="CZ7" i="4"/>
  <c r="AO7" i="4"/>
  <c r="CQ7" i="4"/>
  <c r="BL14" i="4"/>
  <c r="AB14" i="4"/>
  <c r="DE14" i="4"/>
  <c r="S14" i="4"/>
  <c r="CD14" i="4"/>
  <c r="BC14" i="4"/>
  <c r="AT14" i="4"/>
  <c r="CM14" i="4"/>
  <c r="AK14" i="4"/>
  <c r="DN14" i="4"/>
  <c r="CV14" i="4"/>
  <c r="BU14" i="4"/>
  <c r="S129" i="4"/>
  <c r="BL129" i="4"/>
  <c r="AK129" i="4"/>
  <c r="AT129" i="4"/>
  <c r="DN129" i="4"/>
  <c r="CD129" i="4"/>
  <c r="CM129" i="4"/>
  <c r="CV129" i="4"/>
  <c r="BU129" i="4"/>
  <c r="AB129" i="4"/>
  <c r="DE129" i="4"/>
  <c r="BC129" i="4"/>
  <c r="AO8" i="4"/>
  <c r="CQ8" i="4"/>
  <c r="CG7" i="4" l="1"/>
  <c r="CK7" i="4" s="1"/>
  <c r="W8" i="4"/>
  <c r="AC7" i="4"/>
  <c r="AD7" i="4" s="1"/>
  <c r="X8" i="4"/>
  <c r="CH8" i="4"/>
  <c r="CG8" i="4" s="1"/>
  <c r="CL8" i="4" s="1"/>
  <c r="CN7" i="4"/>
  <c r="CO7" i="4" s="1"/>
  <c r="CI8" i="4"/>
  <c r="CY7" i="4"/>
  <c r="AY7" i="4"/>
  <c r="BD6" i="4"/>
  <c r="BE6" i="4" s="1"/>
  <c r="BO8" i="4"/>
  <c r="BS8" i="4" s="1"/>
  <c r="BV8" i="4" s="1"/>
  <c r="BW8" i="4" s="1"/>
  <c r="BX7" i="4"/>
  <c r="Q7" i="4"/>
  <c r="AE7" i="4"/>
  <c r="AX7" i="4"/>
  <c r="AP7" i="4"/>
  <c r="AU6" i="4"/>
  <c r="AV6" i="4" s="1"/>
  <c r="BM6" i="4"/>
  <c r="BN6" i="4" s="1"/>
  <c r="BH7" i="4"/>
  <c r="CL7" i="4"/>
  <c r="AA7" i="4"/>
  <c r="BG7" i="4"/>
  <c r="BF7" i="4" s="1"/>
  <c r="CR7" i="4"/>
  <c r="CW6" i="4"/>
  <c r="CX6" i="4" s="1"/>
  <c r="CP7" i="4"/>
  <c r="CT7" i="4" s="1"/>
  <c r="DJ7" i="4"/>
  <c r="DH7" i="4" s="1"/>
  <c r="DO6" i="4"/>
  <c r="DP6" i="4" s="1"/>
  <c r="DF6" i="4"/>
  <c r="DG6" i="4" s="1"/>
  <c r="DA7" i="4"/>
  <c r="AN7" i="4"/>
  <c r="V8" i="4" l="1"/>
  <c r="Z8" i="4" s="1"/>
  <c r="W9" i="4" s="1"/>
  <c r="BK7" i="4"/>
  <c r="BJ7" i="4"/>
  <c r="CK8" i="4"/>
  <c r="CH9" i="4" s="1"/>
  <c r="AR7" i="4"/>
  <c r="AS7" i="4"/>
  <c r="BQ9" i="4"/>
  <c r="CB7" i="4"/>
  <c r="CC7" i="4"/>
  <c r="DL7" i="4"/>
  <c r="DM7" i="4"/>
  <c r="DD7" i="4"/>
  <c r="DC7" i="4"/>
  <c r="AW7" i="4"/>
  <c r="AI7" i="4"/>
  <c r="AJ7" i="4"/>
  <c r="CU7" i="4"/>
  <c r="CW7" i="4"/>
  <c r="CX7" i="4" s="1"/>
  <c r="CR8" i="4"/>
  <c r="CP8" i="4" s="1"/>
  <c r="CT8" i="4" s="1"/>
  <c r="T7" i="4"/>
  <c r="U7" i="4" s="1"/>
  <c r="O8" i="4"/>
  <c r="M8" i="4" s="1"/>
  <c r="BT8" i="4"/>
  <c r="CI9" i="4"/>
  <c r="CG9" i="4"/>
  <c r="CN8" i="4"/>
  <c r="CO8" i="4" s="1"/>
  <c r="AC8" i="4" l="1"/>
  <c r="AD8" i="4" s="1"/>
  <c r="X9" i="4"/>
  <c r="V9" i="4" s="1"/>
  <c r="AA8" i="4"/>
  <c r="R8" i="4"/>
  <c r="Q8" i="4"/>
  <c r="AF8" i="4"/>
  <c r="AG8" i="4"/>
  <c r="AL7" i="4"/>
  <c r="AM7" i="4" s="1"/>
  <c r="BB7" i="4"/>
  <c r="BA7" i="4"/>
  <c r="CZ8" i="4"/>
  <c r="DF7" i="4"/>
  <c r="DG7" i="4" s="1"/>
  <c r="DA8" i="4"/>
  <c r="DI8" i="4"/>
  <c r="DH8" i="4" s="1"/>
  <c r="DL8" i="4" s="1"/>
  <c r="DJ8" i="4"/>
  <c r="DO7" i="4"/>
  <c r="DP7" i="4" s="1"/>
  <c r="BY8" i="4"/>
  <c r="CE7" i="4"/>
  <c r="CF7" i="4" s="1"/>
  <c r="BZ8" i="4"/>
  <c r="BO9" i="4"/>
  <c r="CR9" i="4"/>
  <c r="CW8" i="4"/>
  <c r="CX8" i="4" s="1"/>
  <c r="AU7" i="4"/>
  <c r="AV7" i="4" s="1"/>
  <c r="AP8" i="4"/>
  <c r="AN8" i="4" s="1"/>
  <c r="AS8" i="4" s="1"/>
  <c r="CU8" i="4"/>
  <c r="BG8" i="4"/>
  <c r="BM7" i="4"/>
  <c r="BN7" i="4" s="1"/>
  <c r="BH8" i="4"/>
  <c r="AR8" i="4"/>
  <c r="AP9" i="4" s="1"/>
  <c r="CL9" i="4"/>
  <c r="CK9" i="4"/>
  <c r="CH10" i="4" s="1"/>
  <c r="AN9" i="4" l="1"/>
  <c r="AE8" i="4"/>
  <c r="BX8" i="4"/>
  <c r="CB8" i="4" s="1"/>
  <c r="DI9" i="4"/>
  <c r="DJ9" i="4"/>
  <c r="DO8" i="4"/>
  <c r="DP8" i="4" s="1"/>
  <c r="CY8" i="4"/>
  <c r="AU8" i="4"/>
  <c r="AV8" i="4" s="1"/>
  <c r="CC8" i="4"/>
  <c r="BF8" i="4"/>
  <c r="CP9" i="4"/>
  <c r="BS9" i="4"/>
  <c r="BT9" i="4"/>
  <c r="BY9" i="4"/>
  <c r="BZ9" i="4"/>
  <c r="CE8" i="4"/>
  <c r="CF8" i="4" s="1"/>
  <c r="AX8" i="4"/>
  <c r="AW8" i="4" s="1"/>
  <c r="BB8" i="4" s="1"/>
  <c r="AY8" i="4"/>
  <c r="BD7" i="4"/>
  <c r="BE7" i="4" s="1"/>
  <c r="T8" i="4"/>
  <c r="U8" i="4" s="1"/>
  <c r="O9" i="4"/>
  <c r="M9" i="4" s="1"/>
  <c r="R9" i="4" s="1"/>
  <c r="DM8" i="4"/>
  <c r="CI10" i="4"/>
  <c r="CN9" i="4"/>
  <c r="CO9" i="4" s="1"/>
  <c r="AR9" i="4"/>
  <c r="AS9" i="4"/>
  <c r="AA9" i="4"/>
  <c r="Z9" i="4"/>
  <c r="W10" i="4" s="1"/>
  <c r="BX9" i="4" l="1"/>
  <c r="CB9" i="4" s="1"/>
  <c r="BY10" i="4" s="1"/>
  <c r="DH9" i="4"/>
  <c r="DL9" i="4" s="1"/>
  <c r="DI10" i="4" s="1"/>
  <c r="AI8" i="4"/>
  <c r="AJ8" i="4"/>
  <c r="DD8" i="4"/>
  <c r="DC8" i="4"/>
  <c r="Q9" i="4"/>
  <c r="BQ10" i="4"/>
  <c r="BO10" i="4" s="1"/>
  <c r="BV9" i="4"/>
  <c r="BW9" i="4" s="1"/>
  <c r="CU9" i="4"/>
  <c r="CT9" i="4"/>
  <c r="BK8" i="4"/>
  <c r="BJ8" i="4"/>
  <c r="BA8" i="4"/>
  <c r="CG10" i="4"/>
  <c r="AP10" i="4"/>
  <c r="AU9" i="4"/>
  <c r="AV9" i="4" s="1"/>
  <c r="AN10" i="4"/>
  <c r="AR10" i="4" s="1"/>
  <c r="AC9" i="4"/>
  <c r="AD9" i="4" s="1"/>
  <c r="X10" i="4"/>
  <c r="CE9" i="4" l="1"/>
  <c r="CF9" i="4" s="1"/>
  <c r="DO9" i="4"/>
  <c r="DP9" i="4" s="1"/>
  <c r="BZ10" i="4"/>
  <c r="BX10" i="4" s="1"/>
  <c r="AL8" i="4"/>
  <c r="AM8" i="4" s="1"/>
  <c r="AG9" i="4"/>
  <c r="AF9" i="4"/>
  <c r="AE9" i="4" s="1"/>
  <c r="AI9" i="4" s="1"/>
  <c r="DM9" i="4"/>
  <c r="DJ10" i="4"/>
  <c r="DH10" i="4" s="1"/>
  <c r="DL10" i="4" s="1"/>
  <c r="CC9" i="4"/>
  <c r="BS10" i="4"/>
  <c r="BT10" i="4"/>
  <c r="O10" i="4"/>
  <c r="M10" i="4" s="1"/>
  <c r="R10" i="4" s="1"/>
  <c r="T9" i="4"/>
  <c r="U9" i="4" s="1"/>
  <c r="Q10" i="4"/>
  <c r="T10" i="4" s="1"/>
  <c r="U10" i="4" s="1"/>
  <c r="BG9" i="4"/>
  <c r="BF9" i="4" s="1"/>
  <c r="BJ9" i="4" s="1"/>
  <c r="BG10" i="4" s="1"/>
  <c r="BH9" i="4"/>
  <c r="BM8" i="4"/>
  <c r="BN8" i="4" s="1"/>
  <c r="CZ9" i="4"/>
  <c r="DA9" i="4"/>
  <c r="DF8" i="4"/>
  <c r="DG8" i="4" s="1"/>
  <c r="AX9" i="4"/>
  <c r="AY9" i="4"/>
  <c r="BD8" i="4"/>
  <c r="BE8" i="4" s="1"/>
  <c r="CW9" i="4"/>
  <c r="CX9" i="4" s="1"/>
  <c r="CR10" i="4"/>
  <c r="CP10" i="4" s="1"/>
  <c r="CT10" i="4"/>
  <c r="CU10" i="4"/>
  <c r="CL10" i="4"/>
  <c r="CK10" i="4"/>
  <c r="CH11" i="4" s="1"/>
  <c r="AU10" i="4"/>
  <c r="AV10" i="4" s="1"/>
  <c r="AP11" i="4"/>
  <c r="AS10" i="4"/>
  <c r="O11" i="4"/>
  <c r="M11" i="4" s="1"/>
  <c r="Q11" i="4" s="1"/>
  <c r="V10" i="4"/>
  <c r="CC10" i="4" l="1"/>
  <c r="CB10" i="4"/>
  <c r="CY9" i="4"/>
  <c r="DD9" i="4" s="1"/>
  <c r="AF10" i="4"/>
  <c r="AL9" i="4"/>
  <c r="AM9" i="4" s="1"/>
  <c r="AG10" i="4"/>
  <c r="AJ9" i="4"/>
  <c r="BY11" i="4"/>
  <c r="BZ11" i="4"/>
  <c r="CE10" i="4"/>
  <c r="CF10" i="4" s="1"/>
  <c r="CW10" i="4"/>
  <c r="CX10" i="4" s="1"/>
  <c r="CR11" i="4"/>
  <c r="CP11" i="4" s="1"/>
  <c r="CT11" i="4" s="1"/>
  <c r="AW9" i="4"/>
  <c r="DI11" i="4"/>
  <c r="DJ11" i="4"/>
  <c r="DO10" i="4"/>
  <c r="DP10" i="4" s="1"/>
  <c r="BM9" i="4"/>
  <c r="BN9" i="4" s="1"/>
  <c r="DM10" i="4"/>
  <c r="BH10" i="4"/>
  <c r="BF10" i="4" s="1"/>
  <c r="BJ10" i="4" s="1"/>
  <c r="BG11" i="4" s="1"/>
  <c r="BK9" i="4"/>
  <c r="BV10" i="4"/>
  <c r="BW10" i="4" s="1"/>
  <c r="BQ11" i="4"/>
  <c r="BO11" i="4" s="1"/>
  <c r="BS11" i="4" s="1"/>
  <c r="CN10" i="4"/>
  <c r="CO10" i="4" s="1"/>
  <c r="CI11" i="4"/>
  <c r="AN11" i="4"/>
  <c r="AR11" i="4" s="1"/>
  <c r="O12" i="4"/>
  <c r="T11" i="4"/>
  <c r="U11" i="4" s="1"/>
  <c r="R11" i="4"/>
  <c r="Z10" i="4"/>
  <c r="W11" i="4" s="1"/>
  <c r="AA10" i="4"/>
  <c r="BT11" i="4" l="1"/>
  <c r="AE10" i="4"/>
  <c r="AI10" i="4" s="1"/>
  <c r="DC9" i="4"/>
  <c r="BK10" i="4"/>
  <c r="DH11" i="4"/>
  <c r="CZ10" i="4"/>
  <c r="CY10" i="4" s="1"/>
  <c r="DD10" i="4" s="1"/>
  <c r="DA10" i="4"/>
  <c r="DF9" i="4"/>
  <c r="DG9" i="4" s="1"/>
  <c r="BM10" i="4"/>
  <c r="BN10" i="4" s="1"/>
  <c r="BB9" i="4"/>
  <c r="BA9" i="4"/>
  <c r="BH11" i="4"/>
  <c r="BF11" i="4" s="1"/>
  <c r="BV11" i="4"/>
  <c r="BW11" i="4" s="1"/>
  <c r="BQ12" i="4"/>
  <c r="BO12" i="4" s="1"/>
  <c r="BS12" i="4" s="1"/>
  <c r="CR12" i="4"/>
  <c r="CW11" i="4"/>
  <c r="CX11" i="4" s="1"/>
  <c r="BX11" i="4"/>
  <c r="CU11" i="4"/>
  <c r="CG11" i="4"/>
  <c r="AU11" i="4"/>
  <c r="AV11" i="4" s="1"/>
  <c r="AP12" i="4"/>
  <c r="AS11" i="4"/>
  <c r="M12" i="4"/>
  <c r="Q12" i="4" s="1"/>
  <c r="AC10" i="4"/>
  <c r="AD10" i="4" s="1"/>
  <c r="X11" i="4"/>
  <c r="AN12" i="4" l="1"/>
  <c r="AS12" i="4" s="1"/>
  <c r="DC10" i="4"/>
  <c r="CP12" i="4"/>
  <c r="CT12" i="4" s="1"/>
  <c r="AG11" i="4"/>
  <c r="AL10" i="4"/>
  <c r="AM10" i="4" s="1"/>
  <c r="AF11" i="4"/>
  <c r="AE11" i="4" s="1"/>
  <c r="AI11" i="4" s="1"/>
  <c r="AJ10" i="4"/>
  <c r="BJ11" i="4"/>
  <c r="BK11" i="4"/>
  <c r="BQ13" i="4"/>
  <c r="BO13" i="4" s="1"/>
  <c r="BS13" i="4" s="1"/>
  <c r="BV12" i="4"/>
  <c r="BW12" i="4" s="1"/>
  <c r="AX10" i="4"/>
  <c r="AW10" i="4" s="1"/>
  <c r="BB10" i="4" s="1"/>
  <c r="BD9" i="4"/>
  <c r="BE9" i="4" s="1"/>
  <c r="AY10" i="4"/>
  <c r="CZ11" i="4"/>
  <c r="DF10" i="4"/>
  <c r="DG10" i="4" s="1"/>
  <c r="DA11" i="4"/>
  <c r="CY11" i="4" s="1"/>
  <c r="CU12" i="4"/>
  <c r="CC11" i="4"/>
  <c r="CB11" i="4"/>
  <c r="DM11" i="4"/>
  <c r="DL11" i="4"/>
  <c r="BT12" i="4"/>
  <c r="CR13" i="4"/>
  <c r="CW12" i="4"/>
  <c r="CX12" i="4" s="1"/>
  <c r="CL11" i="4"/>
  <c r="CK11" i="4"/>
  <c r="CH12" i="4" s="1"/>
  <c r="AR12" i="4"/>
  <c r="V11" i="4"/>
  <c r="T12" i="4"/>
  <c r="U12" i="4" s="1"/>
  <c r="O13" i="4"/>
  <c r="R12" i="4"/>
  <c r="AJ11" i="4" l="1"/>
  <c r="AF12" i="4"/>
  <c r="AG12" i="4"/>
  <c r="AL11" i="4"/>
  <c r="AM11" i="4" s="1"/>
  <c r="BA10" i="4"/>
  <c r="CP13" i="4"/>
  <c r="CT13" i="4" s="1"/>
  <c r="BT13" i="4"/>
  <c r="DD11" i="4"/>
  <c r="DC11" i="4"/>
  <c r="BQ14" i="4"/>
  <c r="BO14" i="4" s="1"/>
  <c r="BS14" i="4" s="1"/>
  <c r="BV13" i="4"/>
  <c r="BW13" i="4" s="1"/>
  <c r="DI12" i="4"/>
  <c r="DJ12" i="4"/>
  <c r="DO11" i="4"/>
  <c r="DP11" i="4" s="1"/>
  <c r="BG12" i="4"/>
  <c r="BH12" i="4"/>
  <c r="BM11" i="4"/>
  <c r="BN11" i="4" s="1"/>
  <c r="BY12" i="4"/>
  <c r="BX12" i="4" s="1"/>
  <c r="CC12" i="4" s="1"/>
  <c r="BZ12" i="4"/>
  <c r="CE11" i="4"/>
  <c r="CF11" i="4" s="1"/>
  <c r="CI12" i="4"/>
  <c r="CG12" i="4"/>
  <c r="CK12" i="4" s="1"/>
  <c r="CH13" i="4" s="1"/>
  <c r="CN11" i="4"/>
  <c r="CO11" i="4" s="1"/>
  <c r="AP13" i="4"/>
  <c r="AU12" i="4"/>
  <c r="AV12" i="4" s="1"/>
  <c r="AN13" i="4"/>
  <c r="AS13" i="4" s="1"/>
  <c r="M13" i="4"/>
  <c r="Q13" i="4" s="1"/>
  <c r="O14" i="4" s="1"/>
  <c r="T13" i="4"/>
  <c r="U13" i="4" s="1"/>
  <c r="Z11" i="4"/>
  <c r="W12" i="4" s="1"/>
  <c r="AA11" i="4"/>
  <c r="R13" i="4"/>
  <c r="BF12" i="4" l="1"/>
  <c r="BJ12" i="4" s="1"/>
  <c r="BG13" i="4" s="1"/>
  <c r="CB12" i="4"/>
  <c r="DH12" i="4"/>
  <c r="DM12" i="4" s="1"/>
  <c r="AE12" i="4"/>
  <c r="AI12" i="4" s="1"/>
  <c r="AJ12" i="4"/>
  <c r="BQ15" i="4"/>
  <c r="BO15" i="4" s="1"/>
  <c r="BS15" i="4" s="1"/>
  <c r="BV14" i="4"/>
  <c r="BW14" i="4" s="1"/>
  <c r="CZ12" i="4"/>
  <c r="DF11" i="4"/>
  <c r="DG11" i="4" s="1"/>
  <c r="DA12" i="4"/>
  <c r="BY13" i="4"/>
  <c r="CE12" i="4"/>
  <c r="CF12" i="4" s="1"/>
  <c r="BZ13" i="4"/>
  <c r="AX11" i="4"/>
  <c r="AW11" i="4" s="1"/>
  <c r="BB11" i="4" s="1"/>
  <c r="AY11" i="4"/>
  <c r="BD10" i="4"/>
  <c r="BE10" i="4" s="1"/>
  <c r="DL12" i="4"/>
  <c r="BK12" i="4"/>
  <c r="BT14" i="4"/>
  <c r="CW13" i="4"/>
  <c r="CX13" i="4" s="1"/>
  <c r="CR14" i="4"/>
  <c r="BH13" i="4"/>
  <c r="BF13" i="4" s="1"/>
  <c r="BM12" i="4"/>
  <c r="BN12" i="4" s="1"/>
  <c r="CU13" i="4"/>
  <c r="CN12" i="4"/>
  <c r="CO12" i="4" s="1"/>
  <c r="CI13" i="4"/>
  <c r="CL12" i="4"/>
  <c r="CG13" i="4" s="1"/>
  <c r="CK13" i="4" s="1"/>
  <c r="CH14" i="4" s="1"/>
  <c r="AR13" i="4"/>
  <c r="AC11" i="4"/>
  <c r="AD11" i="4" s="1"/>
  <c r="X12" i="4"/>
  <c r="M14" i="4"/>
  <c r="Q14" i="4" s="1"/>
  <c r="AL12" i="4" l="1"/>
  <c r="AM12" i="4" s="1"/>
  <c r="AF13" i="4"/>
  <c r="AG13" i="4"/>
  <c r="BK13" i="4"/>
  <c r="BJ13" i="4"/>
  <c r="BG14" i="4" s="1"/>
  <c r="BF14" i="4" s="1"/>
  <c r="BK14" i="4" s="1"/>
  <c r="CP14" i="4"/>
  <c r="BX13" i="4"/>
  <c r="BT15" i="4"/>
  <c r="CY12" i="4"/>
  <c r="BQ16" i="4"/>
  <c r="BO16" i="4" s="1"/>
  <c r="BS16" i="4" s="1"/>
  <c r="BV16" i="4" s="1"/>
  <c r="BW16" i="4" s="1"/>
  <c r="BV15" i="4"/>
  <c r="BW15" i="4" s="1"/>
  <c r="DI13" i="4"/>
  <c r="DH13" i="4" s="1"/>
  <c r="DM13" i="4" s="1"/>
  <c r="DJ13" i="4"/>
  <c r="DO12" i="4"/>
  <c r="DP12" i="4" s="1"/>
  <c r="BA11" i="4"/>
  <c r="CL13" i="4"/>
  <c r="CN13" i="4"/>
  <c r="CO13" i="4" s="1"/>
  <c r="CI14" i="4"/>
  <c r="AP14" i="4"/>
  <c r="AU13" i="4"/>
  <c r="AV13" i="4" s="1"/>
  <c r="AN14" i="4"/>
  <c r="O15" i="4"/>
  <c r="T14" i="4"/>
  <c r="U14" i="4" s="1"/>
  <c r="BM13" i="4"/>
  <c r="BN13" i="4" s="1"/>
  <c r="BH14" i="4"/>
  <c r="V12" i="4"/>
  <c r="R14" i="4"/>
  <c r="DL13" i="4" l="1"/>
  <c r="AE13" i="4"/>
  <c r="BQ17" i="4"/>
  <c r="BO17" i="4" s="1"/>
  <c r="BS17" i="4" s="1"/>
  <c r="BV17" i="4" s="1"/>
  <c r="BW17" i="4" s="1"/>
  <c r="DD12" i="4"/>
  <c r="DC12" i="4"/>
  <c r="CG14" i="4"/>
  <c r="CK14" i="4" s="1"/>
  <c r="CH15" i="4" s="1"/>
  <c r="CC13" i="4"/>
  <c r="CB13" i="4"/>
  <c r="DI14" i="4"/>
  <c r="DO13" i="4"/>
  <c r="DP13" i="4" s="1"/>
  <c r="DJ14" i="4"/>
  <c r="BT16" i="4"/>
  <c r="CT14" i="4"/>
  <c r="CU14" i="4"/>
  <c r="AX12" i="4"/>
  <c r="AY12" i="4"/>
  <c r="BD11" i="4"/>
  <c r="BE11" i="4" s="1"/>
  <c r="AS14" i="4"/>
  <c r="AR14" i="4"/>
  <c r="BQ18" i="4"/>
  <c r="AA12" i="4"/>
  <c r="Z12" i="4"/>
  <c r="W13" i="4" s="1"/>
  <c r="BJ14" i="4"/>
  <c r="BG15" i="4" s="1"/>
  <c r="BT17" i="4"/>
  <c r="M15" i="4"/>
  <c r="Q15" i="4" s="1"/>
  <c r="CL14" i="4" l="1"/>
  <c r="AJ13" i="4"/>
  <c r="AI13" i="4"/>
  <c r="CN14" i="4"/>
  <c r="CO14" i="4" s="1"/>
  <c r="BY14" i="4"/>
  <c r="BX14" i="4" s="1"/>
  <c r="CC14" i="4" s="1"/>
  <c r="CE13" i="4"/>
  <c r="CF13" i="4" s="1"/>
  <c r="BZ14" i="4"/>
  <c r="CZ13" i="4"/>
  <c r="DA13" i="4"/>
  <c r="DF12" i="4"/>
  <c r="DG12" i="4" s="1"/>
  <c r="AW12" i="4"/>
  <c r="DH14" i="4"/>
  <c r="CI15" i="4"/>
  <c r="CG15" i="4" s="1"/>
  <c r="CR15" i="4"/>
  <c r="CP15" i="4" s="1"/>
  <c r="CW14" i="4"/>
  <c r="CX14" i="4" s="1"/>
  <c r="BO18" i="4"/>
  <c r="BS18" i="4" s="1"/>
  <c r="BV18" i="4" s="1"/>
  <c r="BW18" i="4" s="1"/>
  <c r="AU14" i="4"/>
  <c r="AV14" i="4" s="1"/>
  <c r="AP15" i="4"/>
  <c r="AN15" i="4" s="1"/>
  <c r="AS15" i="4" s="1"/>
  <c r="BH15" i="4"/>
  <c r="BM14" i="4"/>
  <c r="BN14" i="4" s="1"/>
  <c r="X13" i="4"/>
  <c r="AC12" i="4"/>
  <c r="AD12" i="4" s="1"/>
  <c r="T15" i="4"/>
  <c r="U15" i="4" s="1"/>
  <c r="O16" i="4"/>
  <c r="R15" i="4"/>
  <c r="BQ19" i="4" l="1"/>
  <c r="BO19" i="4" s="1"/>
  <c r="BS19" i="4" s="1"/>
  <c r="CB14" i="4"/>
  <c r="AF14" i="4"/>
  <c r="AL13" i="4"/>
  <c r="AM13" i="4" s="1"/>
  <c r="AG14" i="4"/>
  <c r="BT18" i="4"/>
  <c r="CK15" i="4"/>
  <c r="CL15" i="4"/>
  <c r="BB12" i="4"/>
  <c r="BA12" i="4"/>
  <c r="BY15" i="4"/>
  <c r="BX15" i="4" s="1"/>
  <c r="CC15" i="4" s="1"/>
  <c r="BZ15" i="4"/>
  <c r="CE14" i="4"/>
  <c r="CF14" i="4" s="1"/>
  <c r="CT15" i="4"/>
  <c r="CU15" i="4"/>
  <c r="DM14" i="4"/>
  <c r="DL14" i="4"/>
  <c r="CY13" i="4"/>
  <c r="AR15" i="4"/>
  <c r="V13" i="4"/>
  <c r="BF15" i="4"/>
  <c r="AU15" i="4"/>
  <c r="AV15" i="4" s="1"/>
  <c r="AP16" i="4"/>
  <c r="AN16" i="4" s="1"/>
  <c r="AR16" i="4" s="1"/>
  <c r="M16" i="4"/>
  <c r="Q16" i="4" s="1"/>
  <c r="AE14" i="4" l="1"/>
  <c r="CR16" i="4"/>
  <c r="CP16" i="4" s="1"/>
  <c r="CU16" i="4" s="1"/>
  <c r="CW15" i="4"/>
  <c r="CX15" i="4" s="1"/>
  <c r="R16" i="4"/>
  <c r="AX13" i="4"/>
  <c r="AY13" i="4"/>
  <c r="BD12" i="4"/>
  <c r="BE12" i="4" s="1"/>
  <c r="DI15" i="4"/>
  <c r="DJ15" i="4"/>
  <c r="DO14" i="4"/>
  <c r="DP14" i="4" s="1"/>
  <c r="CB15" i="4"/>
  <c r="CT16" i="4"/>
  <c r="DD13" i="4"/>
  <c r="DC13" i="4"/>
  <c r="CH16" i="4"/>
  <c r="CN15" i="4"/>
  <c r="CO15" i="4" s="1"/>
  <c r="CI16" i="4"/>
  <c r="CR17" i="4"/>
  <c r="CW16" i="4"/>
  <c r="CX16" i="4" s="1"/>
  <c r="AS16" i="4"/>
  <c r="AP17" i="4"/>
  <c r="AU16" i="4"/>
  <c r="AV16" i="4" s="1"/>
  <c r="AN17" i="4"/>
  <c r="AR17" i="4" s="1"/>
  <c r="O17" i="4"/>
  <c r="M17" i="4" s="1"/>
  <c r="R17" i="4" s="1"/>
  <c r="T16" i="4"/>
  <c r="U16" i="4" s="1"/>
  <c r="Z13" i="4"/>
  <c r="W14" i="4" s="1"/>
  <c r="AA13" i="4"/>
  <c r="BV19" i="4"/>
  <c r="BW19" i="4" s="1"/>
  <c r="BQ20" i="4"/>
  <c r="BT19" i="4"/>
  <c r="BK15" i="4"/>
  <c r="BJ15" i="4"/>
  <c r="BG16" i="4" s="1"/>
  <c r="CP17" i="4" l="1"/>
  <c r="CU17" i="4" s="1"/>
  <c r="CG16" i="4"/>
  <c r="CK16" i="4" s="1"/>
  <c r="AJ14" i="4"/>
  <c r="AI14" i="4"/>
  <c r="CZ14" i="4"/>
  <c r="DF13" i="4"/>
  <c r="DG13" i="4" s="1"/>
  <c r="DA14" i="4"/>
  <c r="AW13" i="4"/>
  <c r="DH15" i="4"/>
  <c r="BY16" i="4"/>
  <c r="CE15" i="4"/>
  <c r="CF15" i="4" s="1"/>
  <c r="BZ16" i="4"/>
  <c r="CL16" i="4"/>
  <c r="CT17" i="4"/>
  <c r="BO20" i="4"/>
  <c r="BS20" i="4" s="1"/>
  <c r="BQ21" i="4" s="1"/>
  <c r="AS17" i="4"/>
  <c r="BV20" i="4"/>
  <c r="BW20" i="4" s="1"/>
  <c r="Q17" i="4"/>
  <c r="AC13" i="4"/>
  <c r="AD13" i="4" s="1"/>
  <c r="X14" i="4"/>
  <c r="V14" i="4"/>
  <c r="Z14" i="4" s="1"/>
  <c r="W15" i="4" s="1"/>
  <c r="BH16" i="4"/>
  <c r="BM15" i="4"/>
  <c r="BN15" i="4" s="1"/>
  <c r="AU17" i="4"/>
  <c r="AV17" i="4" s="1"/>
  <c r="AP18" i="4"/>
  <c r="AN18" i="4" l="1"/>
  <c r="AS18" i="4" s="1"/>
  <c r="AF15" i="4"/>
  <c r="AL14" i="4"/>
  <c r="AM14" i="4" s="1"/>
  <c r="AG15" i="4"/>
  <c r="CH17" i="4"/>
  <c r="CN16" i="4"/>
  <c r="CO16" i="4" s="1"/>
  <c r="CI17" i="4"/>
  <c r="CY14" i="4"/>
  <c r="BX16" i="4"/>
  <c r="BT20" i="4"/>
  <c r="BO21" i="4" s="1"/>
  <c r="BS21" i="4" s="1"/>
  <c r="DM15" i="4"/>
  <c r="DL15" i="4"/>
  <c r="BB13" i="4"/>
  <c r="BA13" i="4"/>
  <c r="CR18" i="4"/>
  <c r="CP18" i="4"/>
  <c r="CU18" i="4" s="1"/>
  <c r="CW17" i="4"/>
  <c r="CX17" i="4" s="1"/>
  <c r="BF16" i="4"/>
  <c r="AA14" i="4"/>
  <c r="AC14" i="4"/>
  <c r="AD14" i="4" s="1"/>
  <c r="X15" i="4"/>
  <c r="V15" i="4" s="1"/>
  <c r="O18" i="4"/>
  <c r="M18" i="4" s="1"/>
  <c r="R18" i="4" s="1"/>
  <c r="T17" i="4"/>
  <c r="U17" i="4" s="1"/>
  <c r="CT18" i="4" l="1"/>
  <c r="CG17" i="4"/>
  <c r="AR18" i="4"/>
  <c r="AE15" i="4"/>
  <c r="Z15" i="4"/>
  <c r="W16" i="4" s="1"/>
  <c r="AA15" i="4"/>
  <c r="AX14" i="4"/>
  <c r="AW14" i="4" s="1"/>
  <c r="BB14" i="4" s="1"/>
  <c r="AY14" i="4"/>
  <c r="BD13" i="4"/>
  <c r="BE13" i="4" s="1"/>
  <c r="DI16" i="4"/>
  <c r="DO15" i="4"/>
  <c r="DP15" i="4" s="1"/>
  <c r="DJ16" i="4"/>
  <c r="CC16" i="4"/>
  <c r="CB16" i="4"/>
  <c r="DC14" i="4"/>
  <c r="DD14" i="4"/>
  <c r="CR19" i="4"/>
  <c r="CP19" i="4" s="1"/>
  <c r="CW18" i="4"/>
  <c r="CX18" i="4" s="1"/>
  <c r="BJ16" i="4"/>
  <c r="BG17" i="4" s="1"/>
  <c r="BK16" i="4"/>
  <c r="AP19" i="4"/>
  <c r="AN19" i="4" s="1"/>
  <c r="AS19" i="4" s="1"/>
  <c r="AU18" i="4"/>
  <c r="AV18" i="4" s="1"/>
  <c r="Q18" i="4"/>
  <c r="BQ22" i="4"/>
  <c r="BV21" i="4"/>
  <c r="BW21" i="4" s="1"/>
  <c r="BT21" i="4"/>
  <c r="AI15" i="4" l="1"/>
  <c r="AJ15" i="4"/>
  <c r="CK17" i="4"/>
  <c r="CL17" i="4"/>
  <c r="BY17" i="4"/>
  <c r="BZ17" i="4"/>
  <c r="CE16" i="4"/>
  <c r="CF16" i="4" s="1"/>
  <c r="AC15" i="4"/>
  <c r="AD15" i="4" s="1"/>
  <c r="X16" i="4"/>
  <c r="V16" i="4" s="1"/>
  <c r="DH16" i="4"/>
  <c r="CZ15" i="4"/>
  <c r="DA15" i="4"/>
  <c r="DF14" i="4"/>
  <c r="DG14" i="4" s="1"/>
  <c r="BA14" i="4"/>
  <c r="CU19" i="4"/>
  <c r="CT19" i="4"/>
  <c r="BO22" i="4"/>
  <c r="BS22" i="4" s="1"/>
  <c r="BH17" i="4"/>
  <c r="BM16" i="4"/>
  <c r="BN16" i="4" s="1"/>
  <c r="BF17" i="4"/>
  <c r="BV22" i="4"/>
  <c r="BW22" i="4" s="1"/>
  <c r="BQ23" i="4"/>
  <c r="T18" i="4"/>
  <c r="U18" i="4" s="1"/>
  <c r="O19" i="4"/>
  <c r="M19" i="4"/>
  <c r="R19" i="4" s="1"/>
  <c r="AR19" i="4"/>
  <c r="AF16" i="4" l="1"/>
  <c r="AL15" i="4"/>
  <c r="AM15" i="4" s="1"/>
  <c r="AG16" i="4"/>
  <c r="BX17" i="4"/>
  <c r="CB17" i="4" s="1"/>
  <c r="CH18" i="4"/>
  <c r="CN17" i="4"/>
  <c r="CO17" i="4" s="1"/>
  <c r="CI18" i="4"/>
  <c r="Z16" i="4"/>
  <c r="AA16" i="4"/>
  <c r="AX15" i="4"/>
  <c r="AW15" i="4" s="1"/>
  <c r="BB15" i="4" s="1"/>
  <c r="BD14" i="4"/>
  <c r="BE14" i="4" s="1"/>
  <c r="AY15" i="4"/>
  <c r="CY15" i="4"/>
  <c r="DM16" i="4"/>
  <c r="DL16" i="4"/>
  <c r="BT22" i="4"/>
  <c r="BO23" i="4" s="1"/>
  <c r="BS23" i="4" s="1"/>
  <c r="BQ24" i="4" s="1"/>
  <c r="BY18" i="4"/>
  <c r="BZ18" i="4"/>
  <c r="CE17" i="4"/>
  <c r="CF17" i="4" s="1"/>
  <c r="CW19" i="4"/>
  <c r="CX19" i="4" s="1"/>
  <c r="CR20" i="4"/>
  <c r="CP20" i="4" s="1"/>
  <c r="BJ17" i="4"/>
  <c r="BG18" i="4" s="1"/>
  <c r="BK17" i="4"/>
  <c r="Q19" i="4"/>
  <c r="O20" i="4" s="1"/>
  <c r="M20" i="4" s="1"/>
  <c r="Q20" i="4" s="1"/>
  <c r="AU19" i="4"/>
  <c r="AV19" i="4" s="1"/>
  <c r="AP20" i="4"/>
  <c r="AN20" i="4"/>
  <c r="AS20" i="4" s="1"/>
  <c r="BV23" i="4" l="1"/>
  <c r="BW23" i="4" s="1"/>
  <c r="CG18" i="4"/>
  <c r="CC17" i="4"/>
  <c r="BT23" i="4"/>
  <c r="AE16" i="4"/>
  <c r="BA15" i="4"/>
  <c r="BX18" i="4"/>
  <c r="DI17" i="4"/>
  <c r="DH17" i="4" s="1"/>
  <c r="DM17" i="4" s="1"/>
  <c r="DJ17" i="4"/>
  <c r="DO16" i="4"/>
  <c r="DP16" i="4" s="1"/>
  <c r="DC15" i="4"/>
  <c r="DD15" i="4"/>
  <c r="T19" i="4"/>
  <c r="U19" i="4" s="1"/>
  <c r="W17" i="4"/>
  <c r="V17" i="4" s="1"/>
  <c r="AC16" i="4"/>
  <c r="AD16" i="4" s="1"/>
  <c r="X17" i="4"/>
  <c r="CU20" i="4"/>
  <c r="CT20" i="4"/>
  <c r="BM17" i="4"/>
  <c r="BN17" i="4" s="1"/>
  <c r="BH18" i="4"/>
  <c r="T20" i="4"/>
  <c r="U20" i="4" s="1"/>
  <c r="O21" i="4"/>
  <c r="R20" i="4"/>
  <c r="BO24" i="4"/>
  <c r="BS24" i="4" s="1"/>
  <c r="AR20" i="4"/>
  <c r="AI16" i="4" l="1"/>
  <c r="AJ16" i="4"/>
  <c r="CL18" i="4"/>
  <c r="CK18" i="4"/>
  <c r="CZ16" i="4"/>
  <c r="CY16" i="4" s="1"/>
  <c r="DC16" i="4" s="1"/>
  <c r="DF15" i="4"/>
  <c r="DG15" i="4" s="1"/>
  <c r="DA16" i="4"/>
  <c r="DL17" i="4"/>
  <c r="Z17" i="4"/>
  <c r="AA17" i="4"/>
  <c r="CC18" i="4"/>
  <c r="CB18" i="4"/>
  <c r="AX16" i="4"/>
  <c r="AW16" i="4" s="1"/>
  <c r="BB16" i="4" s="1"/>
  <c r="AY16" i="4"/>
  <c r="BD15" i="4"/>
  <c r="BE15" i="4" s="1"/>
  <c r="CW20" i="4"/>
  <c r="CX20" i="4" s="1"/>
  <c r="CR21" i="4"/>
  <c r="CP21" i="4"/>
  <c r="BT24" i="4"/>
  <c r="BF18" i="4"/>
  <c r="BQ25" i="4"/>
  <c r="BV24" i="4"/>
  <c r="BW24" i="4" s="1"/>
  <c r="BO25" i="4"/>
  <c r="BS25" i="4" s="1"/>
  <c r="AU20" i="4"/>
  <c r="AV20" i="4" s="1"/>
  <c r="AP21" i="4"/>
  <c r="M21" i="4"/>
  <c r="Q21" i="4" s="1"/>
  <c r="BA16" i="4" l="1"/>
  <c r="AX17" i="4" s="1"/>
  <c r="CH19" i="4"/>
  <c r="CN18" i="4"/>
  <c r="CO18" i="4" s="1"/>
  <c r="CI19" i="4"/>
  <c r="AF17" i="4"/>
  <c r="AL16" i="4"/>
  <c r="AM16" i="4" s="1"/>
  <c r="AG17" i="4"/>
  <c r="CZ17" i="4"/>
  <c r="DF16" i="4"/>
  <c r="DG16" i="4" s="1"/>
  <c r="DA17" i="4"/>
  <c r="DI18" i="4"/>
  <c r="DJ18" i="4"/>
  <c r="DO17" i="4"/>
  <c r="DP17" i="4" s="1"/>
  <c r="AC17" i="4"/>
  <c r="AD17" i="4" s="1"/>
  <c r="X18" i="4"/>
  <c r="W18" i="4"/>
  <c r="H6" i="2" a="1"/>
  <c r="H6" i="2" s="1"/>
  <c r="AY17" i="4"/>
  <c r="BY19" i="4"/>
  <c r="BZ19" i="4"/>
  <c r="CE18" i="4"/>
  <c r="CF18" i="4" s="1"/>
  <c r="DD16" i="4"/>
  <c r="CU21" i="4"/>
  <c r="CT21" i="4"/>
  <c r="BT25" i="4"/>
  <c r="BJ18" i="4"/>
  <c r="BG19" i="4" s="1"/>
  <c r="BK18" i="4"/>
  <c r="BV25" i="4"/>
  <c r="BW25" i="4" s="1"/>
  <c r="BQ26" i="4"/>
  <c r="T21" i="4"/>
  <c r="U21" i="4" s="1"/>
  <c r="O22" i="4"/>
  <c r="AN21" i="4"/>
  <c r="R21" i="4"/>
  <c r="BX19" i="4" l="1"/>
  <c r="CC19" i="4" s="1"/>
  <c r="BD16" i="4"/>
  <c r="BE16" i="4" s="1"/>
  <c r="CY17" i="4"/>
  <c r="DC17" i="4" s="1"/>
  <c r="BO26" i="4"/>
  <c r="BT26" i="4" s="1"/>
  <c r="AW17" i="4"/>
  <c r="BB17" i="4" s="1"/>
  <c r="AE17" i="4"/>
  <c r="V18" i="4"/>
  <c r="CG19" i="4"/>
  <c r="I6" i="2" a="1"/>
  <c r="I6" i="2" s="1"/>
  <c r="DF17" i="4"/>
  <c r="DG17" i="4" s="1"/>
  <c r="DA18" i="4"/>
  <c r="CZ18" i="4"/>
  <c r="M22" i="4"/>
  <c r="Q22" i="4" s="1"/>
  <c r="O23" i="4" s="1"/>
  <c r="DD17" i="4"/>
  <c r="BA17" i="4"/>
  <c r="DH18" i="4"/>
  <c r="CR22" i="4"/>
  <c r="CW21" i="4"/>
  <c r="CX21" i="4" s="1"/>
  <c r="CP22" i="4"/>
  <c r="BH19" i="4"/>
  <c r="BM18" i="4"/>
  <c r="BN18" i="4" s="1"/>
  <c r="BF19" i="4"/>
  <c r="BJ19" i="4" s="1"/>
  <c r="BG20" i="4" s="1"/>
  <c r="AS21" i="4"/>
  <c r="AR21" i="4"/>
  <c r="AA18" i="4" l="1"/>
  <c r="Z18" i="4"/>
  <c r="CK19" i="4"/>
  <c r="CL19" i="4"/>
  <c r="AJ17" i="4"/>
  <c r="AI17" i="4"/>
  <c r="T22" i="4"/>
  <c r="U22" i="4" s="1"/>
  <c r="BS26" i="4"/>
  <c r="BQ27" i="4" s="1"/>
  <c r="BO27" i="4" s="1"/>
  <c r="BT27" i="4" s="1"/>
  <c r="CB19" i="4"/>
  <c r="BY20" i="4" s="1"/>
  <c r="DM18" i="4"/>
  <c r="DL18" i="4"/>
  <c r="AX18" i="4"/>
  <c r="AW18" i="4" s="1"/>
  <c r="BB18" i="4" s="1"/>
  <c r="BD17" i="4"/>
  <c r="BE17" i="4" s="1"/>
  <c r="AY18" i="4"/>
  <c r="R22" i="4"/>
  <c r="CY18" i="4"/>
  <c r="DC18" i="4" s="1"/>
  <c r="CU22" i="4"/>
  <c r="CT22" i="4"/>
  <c r="BM19" i="4"/>
  <c r="BN19" i="4" s="1"/>
  <c r="BH20" i="4"/>
  <c r="BK19" i="4"/>
  <c r="AU21" i="4"/>
  <c r="AV21" i="4" s="1"/>
  <c r="AP22" i="4"/>
  <c r="AN22" i="4"/>
  <c r="AR22" i="4" s="1"/>
  <c r="AF18" i="4" l="1"/>
  <c r="AE18" i="4" s="1"/>
  <c r="AL17" i="4"/>
  <c r="AM17" i="4" s="1"/>
  <c r="AG18" i="4"/>
  <c r="BZ20" i="4"/>
  <c r="BX20" i="4" s="1"/>
  <c r="BV26" i="4"/>
  <c r="BW26" i="4" s="1"/>
  <c r="CH20" i="4"/>
  <c r="CN19" i="4"/>
  <c r="CO19" i="4" s="1"/>
  <c r="CI20" i="4"/>
  <c r="CE19" i="4"/>
  <c r="CF19" i="4" s="1"/>
  <c r="W19" i="4"/>
  <c r="AC18" i="4"/>
  <c r="AD18" i="4" s="1"/>
  <c r="X19" i="4"/>
  <c r="R23" i="4"/>
  <c r="DD18" i="4"/>
  <c r="CZ19" i="4"/>
  <c r="CY19" i="4" s="1"/>
  <c r="DC19" i="4" s="1"/>
  <c r="DA19" i="4"/>
  <c r="DF18" i="4"/>
  <c r="DG18" i="4" s="1"/>
  <c r="M23" i="4"/>
  <c r="Q23" i="4" s="1"/>
  <c r="DI19" i="4"/>
  <c r="DO18" i="4"/>
  <c r="DP18" i="4" s="1"/>
  <c r="DJ19" i="4"/>
  <c r="BA18" i="4"/>
  <c r="CR23" i="4"/>
  <c r="CW22" i="4"/>
  <c r="CX22" i="4" s="1"/>
  <c r="CP23" i="4"/>
  <c r="BF20" i="4"/>
  <c r="BJ20" i="4" s="1"/>
  <c r="BG21" i="4" s="1"/>
  <c r="AS22" i="4"/>
  <c r="AP23" i="4"/>
  <c r="AN23" i="4" s="1"/>
  <c r="AS23" i="4" s="1"/>
  <c r="AU22" i="4"/>
  <c r="AV22" i="4" s="1"/>
  <c r="BS27" i="4"/>
  <c r="AI18" i="4" l="1"/>
  <c r="AJ18" i="4"/>
  <c r="V19" i="4"/>
  <c r="CG20" i="4"/>
  <c r="DD19" i="4"/>
  <c r="T23" i="4"/>
  <c r="U23" i="4" s="1"/>
  <c r="O24" i="4"/>
  <c r="M24" i="4" s="1"/>
  <c r="Q24" i="4" s="1"/>
  <c r="CZ20" i="4"/>
  <c r="DA20" i="4"/>
  <c r="DF19" i="4"/>
  <c r="DG19" i="4" s="1"/>
  <c r="AX19" i="4"/>
  <c r="BD18" i="4"/>
  <c r="BE18" i="4" s="1"/>
  <c r="AY19" i="4"/>
  <c r="DH19" i="4"/>
  <c r="CC20" i="4"/>
  <c r="CB20" i="4"/>
  <c r="CU23" i="4"/>
  <c r="CT23" i="4"/>
  <c r="BH21" i="4"/>
  <c r="BM20" i="4"/>
  <c r="BN20" i="4" s="1"/>
  <c r="BK20" i="4"/>
  <c r="BQ28" i="4"/>
  <c r="BV27" i="4"/>
  <c r="BW27" i="4" s="1"/>
  <c r="BO28" i="4"/>
  <c r="BT28" i="4" s="1"/>
  <c r="AR23" i="4"/>
  <c r="R24" i="4" l="1"/>
  <c r="CL20" i="4"/>
  <c r="CK20" i="4"/>
  <c r="AW19" i="4"/>
  <c r="BB19" i="4" s="1"/>
  <c r="Z19" i="4"/>
  <c r="AA19" i="4"/>
  <c r="AF19" i="4"/>
  <c r="AL18" i="4"/>
  <c r="AM18" i="4" s="1"/>
  <c r="AG19" i="4"/>
  <c r="BY21" i="4"/>
  <c r="BX21" i="4" s="1"/>
  <c r="CC21" i="4" s="1"/>
  <c r="BZ21" i="4"/>
  <c r="CE20" i="4"/>
  <c r="CF20" i="4" s="1"/>
  <c r="CY20" i="4"/>
  <c r="DC20" i="4" s="1"/>
  <c r="O25" i="4"/>
  <c r="T24" i="4"/>
  <c r="U24" i="4" s="1"/>
  <c r="DD20" i="4"/>
  <c r="BA19" i="4"/>
  <c r="DM19" i="4"/>
  <c r="DL19" i="4"/>
  <c r="CW23" i="4"/>
  <c r="CX23" i="4" s="1"/>
  <c r="CR24" i="4"/>
  <c r="BF21" i="4"/>
  <c r="BJ21" i="4" s="1"/>
  <c r="BG22" i="4" s="1"/>
  <c r="BS28" i="4"/>
  <c r="AP24" i="4"/>
  <c r="AN24" i="4" s="1"/>
  <c r="AS24" i="4" s="1"/>
  <c r="AU23" i="4"/>
  <c r="AV23" i="4" s="1"/>
  <c r="M25" i="4" l="1"/>
  <c r="Q25" i="4" s="1"/>
  <c r="W20" i="4"/>
  <c r="X20" i="4"/>
  <c r="AC19" i="4"/>
  <c r="AD19" i="4" s="1"/>
  <c r="CB21" i="4"/>
  <c r="AE19" i="4"/>
  <c r="CH21" i="4"/>
  <c r="CN20" i="4"/>
  <c r="CO20" i="4" s="1"/>
  <c r="CI21" i="4"/>
  <c r="CG21" i="4" s="1"/>
  <c r="CL21" i="4" s="1"/>
  <c r="CK21" i="4"/>
  <c r="R25" i="4"/>
  <c r="AX20" i="4"/>
  <c r="AY20" i="4"/>
  <c r="BD19" i="4"/>
  <c r="BE19" i="4" s="1"/>
  <c r="CZ21" i="4"/>
  <c r="DA21" i="4"/>
  <c r="DF20" i="4"/>
  <c r="DG20" i="4" s="1"/>
  <c r="BY22" i="4"/>
  <c r="CE21" i="4"/>
  <c r="CF21" i="4" s="1"/>
  <c r="BZ22" i="4"/>
  <c r="DI20" i="4"/>
  <c r="DJ20" i="4"/>
  <c r="DO19" i="4"/>
  <c r="DP19" i="4" s="1"/>
  <c r="CP24" i="4"/>
  <c r="BH22" i="4"/>
  <c r="BM21" i="4"/>
  <c r="BN21" i="4" s="1"/>
  <c r="BK21" i="4"/>
  <c r="AR24" i="4"/>
  <c r="BQ29" i="4"/>
  <c r="BV28" i="4"/>
  <c r="BW28" i="4" s="1"/>
  <c r="BO29" i="4"/>
  <c r="BT29" i="4" s="1"/>
  <c r="CH22" i="4" l="1"/>
  <c r="CN21" i="4"/>
  <c r="CO21" i="4" s="1"/>
  <c r="CI22" i="4"/>
  <c r="CG22" i="4" s="1"/>
  <c r="CL22" i="4" s="1"/>
  <c r="CK22" i="4"/>
  <c r="BX22" i="4"/>
  <c r="CC22" i="4" s="1"/>
  <c r="AJ19" i="4"/>
  <c r="AI19" i="4"/>
  <c r="CY21" i="4"/>
  <c r="DC21" i="4" s="1"/>
  <c r="CZ22" i="4" s="1"/>
  <c r="V20" i="4"/>
  <c r="O26" i="4"/>
  <c r="M26" i="4" s="1"/>
  <c r="T25" i="4"/>
  <c r="U25" i="4" s="1"/>
  <c r="AW20" i="4"/>
  <c r="DH20" i="4"/>
  <c r="BF22" i="4"/>
  <c r="BJ22" i="4" s="1"/>
  <c r="BG23" i="4" s="1"/>
  <c r="CB22" i="4"/>
  <c r="CU24" i="4"/>
  <c r="CT24" i="4"/>
  <c r="BH23" i="4"/>
  <c r="BS29" i="4"/>
  <c r="AU24" i="4"/>
  <c r="AV24" i="4" s="1"/>
  <c r="AP25" i="4"/>
  <c r="AN25" i="4"/>
  <c r="AS25" i="4" s="1"/>
  <c r="Q26" i="4" l="1"/>
  <c r="R26" i="4"/>
  <c r="Z20" i="4"/>
  <c r="AA20" i="4"/>
  <c r="AL19" i="4"/>
  <c r="AM19" i="4" s="1"/>
  <c r="AF20" i="4"/>
  <c r="AG20" i="4"/>
  <c r="AE20" i="4" s="1"/>
  <c r="AJ20" i="4" s="1"/>
  <c r="DD21" i="4"/>
  <c r="DA22" i="4"/>
  <c r="CY22" i="4" s="1"/>
  <c r="DC22" i="4" s="1"/>
  <c r="CH23" i="4"/>
  <c r="CG23" i="4" s="1"/>
  <c r="CI23" i="4"/>
  <c r="CN22" i="4"/>
  <c r="CO22" i="4" s="1"/>
  <c r="DF21" i="4"/>
  <c r="DG21" i="4" s="1"/>
  <c r="BY23" i="4"/>
  <c r="BZ23" i="4"/>
  <c r="CE22" i="4"/>
  <c r="CF22" i="4" s="1"/>
  <c r="DM20" i="4"/>
  <c r="DL20" i="4"/>
  <c r="BK22" i="4"/>
  <c r="BF23" i="4" s="1"/>
  <c r="BJ23" i="4" s="1"/>
  <c r="BG24" i="4" s="1"/>
  <c r="BM22" i="4"/>
  <c r="BN22" i="4" s="1"/>
  <c r="BB20" i="4"/>
  <c r="BA20" i="4"/>
  <c r="CW24" i="4"/>
  <c r="CX24" i="4" s="1"/>
  <c r="CR25" i="4"/>
  <c r="CP25" i="4" s="1"/>
  <c r="CU25" i="4" s="1"/>
  <c r="BH24" i="4"/>
  <c r="BM23" i="4"/>
  <c r="BN23" i="4" s="1"/>
  <c r="BQ30" i="4"/>
  <c r="BV29" i="4"/>
  <c r="BW29" i="4" s="1"/>
  <c r="BO30" i="4"/>
  <c r="BT30" i="4" s="1"/>
  <c r="AR25" i="4"/>
  <c r="CZ23" i="4" l="1"/>
  <c r="CY23" i="4" s="1"/>
  <c r="DF22" i="4"/>
  <c r="DG22" i="4" s="1"/>
  <c r="DA23" i="4"/>
  <c r="DD22" i="4"/>
  <c r="CL23" i="4"/>
  <c r="CK23" i="4"/>
  <c r="BK23" i="4"/>
  <c r="BF24" i="4" s="1"/>
  <c r="AI20" i="4"/>
  <c r="W21" i="4"/>
  <c r="X21" i="4"/>
  <c r="AC20" i="4"/>
  <c r="AD20" i="4" s="1"/>
  <c r="R27" i="4"/>
  <c r="BX23" i="4"/>
  <c r="CC23" i="4" s="1"/>
  <c r="O27" i="4"/>
  <c r="M27" i="4" s="1"/>
  <c r="Q27" i="4" s="1"/>
  <c r="T26" i="4"/>
  <c r="U26" i="4" s="1"/>
  <c r="AX21" i="4"/>
  <c r="AY21" i="4"/>
  <c r="BD20" i="4"/>
  <c r="BE20" i="4" s="1"/>
  <c r="DI21" i="4"/>
  <c r="DO20" i="4"/>
  <c r="DP20" i="4" s="1"/>
  <c r="DJ21" i="4"/>
  <c r="DH21" i="4" s="1"/>
  <c r="DL21" i="4" s="1"/>
  <c r="CT25" i="4"/>
  <c r="BS30" i="4"/>
  <c r="AU25" i="4"/>
  <c r="AV25" i="4" s="1"/>
  <c r="AP26" i="4"/>
  <c r="AN26" i="4" s="1"/>
  <c r="AS26" i="4" s="1"/>
  <c r="DC23" i="4" l="1"/>
  <c r="DD23" i="4"/>
  <c r="BK24" i="4"/>
  <c r="BJ24" i="4"/>
  <c r="BG25" i="4" s="1"/>
  <c r="V21" i="4"/>
  <c r="AL20" i="4"/>
  <c r="AM20" i="4" s="1"/>
  <c r="AG21" i="4"/>
  <c r="AF21" i="4"/>
  <c r="AE21" i="4" s="1"/>
  <c r="AJ21" i="4" s="1"/>
  <c r="AI21" i="4"/>
  <c r="CH24" i="4"/>
  <c r="CI24" i="4"/>
  <c r="CN23" i="4"/>
  <c r="CO23" i="4" s="1"/>
  <c r="AW21" i="4"/>
  <c r="BA21" i="4" s="1"/>
  <c r="AY22" i="4" s="1"/>
  <c r="CB23" i="4"/>
  <c r="T27" i="4"/>
  <c r="U27" i="4" s="1"/>
  <c r="O28" i="4"/>
  <c r="M28" i="4" s="1"/>
  <c r="BY24" i="4"/>
  <c r="BX24" i="4" s="1"/>
  <c r="CC24" i="4" s="1"/>
  <c r="BZ24" i="4"/>
  <c r="CE23" i="4"/>
  <c r="CF23" i="4" s="1"/>
  <c r="DM21" i="4"/>
  <c r="DI22" i="4"/>
  <c r="DJ22" i="4"/>
  <c r="DO21" i="4"/>
  <c r="DP21" i="4" s="1"/>
  <c r="CZ24" i="4"/>
  <c r="DF23" i="4"/>
  <c r="DG23" i="4" s="1"/>
  <c r="DA24" i="4"/>
  <c r="CR26" i="4"/>
  <c r="CW25" i="4"/>
  <c r="CX25" i="4" s="1"/>
  <c r="CP26" i="4"/>
  <c r="BH25" i="4"/>
  <c r="BF25" i="4" s="1"/>
  <c r="BK25" i="4" s="1"/>
  <c r="BV30" i="4"/>
  <c r="BW30" i="4" s="1"/>
  <c r="BQ31" i="4"/>
  <c r="BO31" i="4" s="1"/>
  <c r="BT31" i="4" s="1"/>
  <c r="AR26" i="4"/>
  <c r="CG24" i="4" l="1"/>
  <c r="AJ22" i="4"/>
  <c r="CB24" i="4"/>
  <c r="CE24" i="4" s="1"/>
  <c r="CF24" i="4" s="1"/>
  <c r="AL21" i="4"/>
  <c r="AM21" i="4" s="1"/>
  <c r="AG22" i="4"/>
  <c r="AF22" i="4"/>
  <c r="AE22" i="4" s="1"/>
  <c r="AI22" i="4" s="1"/>
  <c r="AX22" i="4"/>
  <c r="AA21" i="4"/>
  <c r="Z21" i="4"/>
  <c r="BD21" i="4"/>
  <c r="BE21" i="4" s="1"/>
  <c r="BM24" i="4"/>
  <c r="BN24" i="4" s="1"/>
  <c r="Q28" i="4"/>
  <c r="R28" i="4"/>
  <c r="BB21" i="4"/>
  <c r="AW22" i="4" s="1"/>
  <c r="BA22" i="4" s="1"/>
  <c r="DM22" i="4"/>
  <c r="BY25" i="4"/>
  <c r="DH22" i="4"/>
  <c r="DL22" i="4" s="1"/>
  <c r="CY24" i="4"/>
  <c r="CU26" i="4"/>
  <c r="CT26" i="4"/>
  <c r="BJ25" i="4"/>
  <c r="BG26" i="4" s="1"/>
  <c r="AU26" i="4"/>
  <c r="AV26" i="4" s="1"/>
  <c r="AP27" i="4"/>
  <c r="AN27" i="4" s="1"/>
  <c r="AS27" i="4" s="1"/>
  <c r="BS31" i="4"/>
  <c r="AF23" i="4" l="1"/>
  <c r="AG23" i="4"/>
  <c r="AL22" i="4"/>
  <c r="AM22" i="4" s="1"/>
  <c r="T28" i="4"/>
  <c r="U28" i="4" s="1"/>
  <c r="O29" i="4"/>
  <c r="M29" i="4" s="1"/>
  <c r="Q29" i="4" s="1"/>
  <c r="CL24" i="4"/>
  <c r="CK24" i="4"/>
  <c r="W22" i="4"/>
  <c r="V22" i="4" s="1"/>
  <c r="Z22" i="4" s="1"/>
  <c r="X22" i="4"/>
  <c r="AC21" i="4"/>
  <c r="AD21" i="4" s="1"/>
  <c r="BZ25" i="4"/>
  <c r="BX25" i="4" s="1"/>
  <c r="DI23" i="4"/>
  <c r="DO22" i="4"/>
  <c r="DP22" i="4" s="1"/>
  <c r="DJ23" i="4"/>
  <c r="DD24" i="4"/>
  <c r="DC24" i="4"/>
  <c r="AX23" i="4"/>
  <c r="BD22" i="4"/>
  <c r="BE22" i="4" s="1"/>
  <c r="AY23" i="4"/>
  <c r="BB22" i="4"/>
  <c r="CW26" i="4"/>
  <c r="CX26" i="4" s="1"/>
  <c r="CR27" i="4"/>
  <c r="BH26" i="4"/>
  <c r="BF26" i="4" s="1"/>
  <c r="BK26" i="4" s="1"/>
  <c r="BM25" i="4"/>
  <c r="BN25" i="4" s="1"/>
  <c r="AR27" i="4"/>
  <c r="BV31" i="4"/>
  <c r="BW31" i="4" s="1"/>
  <c r="BQ32" i="4"/>
  <c r="BO32" i="4"/>
  <c r="BT32" i="4" s="1"/>
  <c r="W23" i="4" l="1"/>
  <c r="AC22" i="4"/>
  <c r="AD22" i="4" s="1"/>
  <c r="X23" i="4"/>
  <c r="R29" i="4"/>
  <c r="CH25" i="4"/>
  <c r="CN24" i="4"/>
  <c r="CO24" i="4" s="1"/>
  <c r="CI25" i="4"/>
  <c r="AA22" i="4"/>
  <c r="O30" i="4"/>
  <c r="M30" i="4" s="1"/>
  <c r="Q30" i="4" s="1"/>
  <c r="T29" i="4"/>
  <c r="U29" i="4" s="1"/>
  <c r="AE23" i="4"/>
  <c r="DH23" i="4"/>
  <c r="CB25" i="4"/>
  <c r="CC25" i="4"/>
  <c r="AW23" i="4"/>
  <c r="CZ25" i="4"/>
  <c r="DA25" i="4"/>
  <c r="DF24" i="4"/>
  <c r="DG24" i="4" s="1"/>
  <c r="CP27" i="4"/>
  <c r="BJ26" i="4"/>
  <c r="BG27" i="4" s="1"/>
  <c r="BS32" i="4"/>
  <c r="AP28" i="4"/>
  <c r="AU27" i="4"/>
  <c r="AV27" i="4" s="1"/>
  <c r="AJ23" i="4" l="1"/>
  <c r="AI23" i="4"/>
  <c r="V23" i="4"/>
  <c r="O31" i="4"/>
  <c r="T30" i="4"/>
  <c r="U30" i="4" s="1"/>
  <c r="CY25" i="4"/>
  <c r="DD25" i="4" s="1"/>
  <c r="CG25" i="4"/>
  <c r="R30" i="4"/>
  <c r="BB23" i="4"/>
  <c r="BA23" i="4"/>
  <c r="BY26" i="4"/>
  <c r="BX26" i="4" s="1"/>
  <c r="CB26" i="4" s="1"/>
  <c r="BZ26" i="4"/>
  <c r="CE25" i="4"/>
  <c r="CF25" i="4" s="1"/>
  <c r="DL23" i="4"/>
  <c r="DM23" i="4"/>
  <c r="CU27" i="4"/>
  <c r="CT27" i="4"/>
  <c r="BM26" i="4"/>
  <c r="BN26" i="4" s="1"/>
  <c r="BH27" i="4"/>
  <c r="BV32" i="4"/>
  <c r="BW32" i="4" s="1"/>
  <c r="BQ33" i="4"/>
  <c r="BO33" i="4"/>
  <c r="BT33" i="4" s="1"/>
  <c r="AN28" i="4"/>
  <c r="CL25" i="4" l="1"/>
  <c r="CK25" i="4"/>
  <c r="M31" i="4"/>
  <c r="Q31" i="4" s="1"/>
  <c r="DC25" i="4"/>
  <c r="AA23" i="4"/>
  <c r="Z23" i="4"/>
  <c r="AF24" i="4"/>
  <c r="AE24" i="4" s="1"/>
  <c r="AG24" i="4"/>
  <c r="AL23" i="4"/>
  <c r="AM23" i="4" s="1"/>
  <c r="AI24" i="4"/>
  <c r="AJ24" i="4"/>
  <c r="BY27" i="4"/>
  <c r="BX27" i="4" s="1"/>
  <c r="CC27" i="4" s="1"/>
  <c r="BZ27" i="4"/>
  <c r="CE26" i="4"/>
  <c r="CF26" i="4" s="1"/>
  <c r="DI24" i="4"/>
  <c r="DO23" i="4"/>
  <c r="DP23" i="4" s="1"/>
  <c r="DJ24" i="4"/>
  <c r="AX24" i="4"/>
  <c r="BD23" i="4"/>
  <c r="BE23" i="4" s="1"/>
  <c r="AY24" i="4"/>
  <c r="CZ26" i="4"/>
  <c r="CY26" i="4" s="1"/>
  <c r="DD26" i="4" s="1"/>
  <c r="DA26" i="4"/>
  <c r="DF25" i="4"/>
  <c r="DG25" i="4" s="1"/>
  <c r="CC26" i="4"/>
  <c r="DC26" i="4"/>
  <c r="CZ27" i="4" s="1"/>
  <c r="CY27" i="4" s="1"/>
  <c r="DD27" i="4" s="1"/>
  <c r="DA27" i="4"/>
  <c r="CW27" i="4"/>
  <c r="CX27" i="4" s="1"/>
  <c r="CR28" i="4"/>
  <c r="BF27" i="4"/>
  <c r="BS33" i="4"/>
  <c r="AS28" i="4"/>
  <c r="AR28" i="4"/>
  <c r="O32" i="4" l="1"/>
  <c r="M32" i="4" s="1"/>
  <c r="R32" i="4" s="1"/>
  <c r="T31" i="4"/>
  <c r="U31" i="4" s="1"/>
  <c r="W24" i="4"/>
  <c r="V24" i="4" s="1"/>
  <c r="AA24" i="4" s="1"/>
  <c r="AC23" i="4"/>
  <c r="AD23" i="4" s="1"/>
  <c r="X24" i="4"/>
  <c r="Z24" i="4"/>
  <c r="CH26" i="4"/>
  <c r="CN25" i="4"/>
  <c r="CO25" i="4" s="1"/>
  <c r="CI26" i="4"/>
  <c r="AL24" i="4"/>
  <c r="AM24" i="4" s="1"/>
  <c r="AF25" i="4"/>
  <c r="AE25" i="4" s="1"/>
  <c r="AG25" i="4"/>
  <c r="DF26" i="4"/>
  <c r="DG26" i="4" s="1"/>
  <c r="R31" i="4"/>
  <c r="DH24" i="4"/>
  <c r="CB27" i="4"/>
  <c r="AW24" i="4"/>
  <c r="DC27" i="4"/>
  <c r="CZ28" i="4" s="1"/>
  <c r="CP28" i="4"/>
  <c r="BK27" i="4"/>
  <c r="BJ27" i="4"/>
  <c r="BG28" i="4" s="1"/>
  <c r="BV33" i="4"/>
  <c r="BW33" i="4" s="1"/>
  <c r="BQ34" i="4"/>
  <c r="BO34" i="4"/>
  <c r="BT34" i="4" s="1"/>
  <c r="AU28" i="4"/>
  <c r="AV28" i="4" s="1"/>
  <c r="AP29" i="4"/>
  <c r="AN29" i="4"/>
  <c r="AS29" i="4" s="1"/>
  <c r="CG26" i="4" l="1"/>
  <c r="W25" i="4"/>
  <c r="AC24" i="4"/>
  <c r="AD24" i="4" s="1"/>
  <c r="X25" i="4"/>
  <c r="AI25" i="4"/>
  <c r="AJ25" i="4"/>
  <c r="Q32" i="4"/>
  <c r="DL24" i="4"/>
  <c r="DM24" i="4"/>
  <c r="BB24" i="4"/>
  <c r="BA24" i="4"/>
  <c r="BY28" i="4"/>
  <c r="BX28" i="4" s="1"/>
  <c r="CC28" i="4" s="1"/>
  <c r="BZ28" i="4"/>
  <c r="CE27" i="4"/>
  <c r="CF27" i="4" s="1"/>
  <c r="DF27" i="4"/>
  <c r="DG27" i="4" s="1"/>
  <c r="DA28" i="4"/>
  <c r="CU28" i="4"/>
  <c r="CT28" i="4"/>
  <c r="BH28" i="4"/>
  <c r="BM27" i="4"/>
  <c r="BN27" i="4" s="1"/>
  <c r="AR29" i="4"/>
  <c r="BS34" i="4"/>
  <c r="AG26" i="4" l="1"/>
  <c r="AL25" i="4"/>
  <c r="AM25" i="4" s="1"/>
  <c r="AF26" i="4"/>
  <c r="T32" i="4"/>
  <c r="U32" i="4" s="1"/>
  <c r="O33" i="4"/>
  <c r="M33" i="4" s="1"/>
  <c r="R33" i="4" s="1"/>
  <c r="Q33" i="4"/>
  <c r="CB28" i="4"/>
  <c r="V25" i="4"/>
  <c r="CL26" i="4"/>
  <c r="CK26" i="4"/>
  <c r="BY29" i="4"/>
  <c r="BZ29" i="4"/>
  <c r="CE28" i="4"/>
  <c r="CF28" i="4" s="1"/>
  <c r="AX25" i="4"/>
  <c r="BD24" i="4"/>
  <c r="BE24" i="4" s="1"/>
  <c r="AY25" i="4"/>
  <c r="DI25" i="4"/>
  <c r="DJ25" i="4"/>
  <c r="DO24" i="4"/>
  <c r="DP24" i="4" s="1"/>
  <c r="CY28" i="4"/>
  <c r="CW28" i="4"/>
  <c r="CX28" i="4" s="1"/>
  <c r="CR29" i="4"/>
  <c r="BF28" i="4"/>
  <c r="BQ35" i="4"/>
  <c r="BV34" i="4"/>
  <c r="BW34" i="4" s="1"/>
  <c r="BO35" i="4"/>
  <c r="BT35" i="4" s="1"/>
  <c r="AU29" i="4"/>
  <c r="AV29" i="4" s="1"/>
  <c r="AP30" i="4"/>
  <c r="BX29" i="4" l="1"/>
  <c r="CC29" i="4" s="1"/>
  <c r="CH27" i="4"/>
  <c r="CG27" i="4" s="1"/>
  <c r="CK27" i="4" s="1"/>
  <c r="CN26" i="4"/>
  <c r="CO26" i="4" s="1"/>
  <c r="CI27" i="4"/>
  <c r="AA25" i="4"/>
  <c r="Z25" i="4"/>
  <c r="T33" i="4"/>
  <c r="U33" i="4" s="1"/>
  <c r="O34" i="4"/>
  <c r="M34" i="4" s="1"/>
  <c r="R34" i="4" s="1"/>
  <c r="Q34" i="4"/>
  <c r="AE26" i="4"/>
  <c r="DH25" i="4"/>
  <c r="AW25" i="4"/>
  <c r="CB29" i="4"/>
  <c r="DD28" i="4"/>
  <c r="DC28" i="4"/>
  <c r="CZ29" i="4" s="1"/>
  <c r="CP29" i="4"/>
  <c r="BK28" i="4"/>
  <c r="BJ28" i="4"/>
  <c r="BG29" i="4" s="1"/>
  <c r="BS35" i="4"/>
  <c r="AN30" i="4"/>
  <c r="CH28" i="4" l="1"/>
  <c r="CG28" i="4" s="1"/>
  <c r="CL28" i="4" s="1"/>
  <c r="CI28" i="4"/>
  <c r="CN27" i="4"/>
  <c r="CO27" i="4" s="1"/>
  <c r="O35" i="4"/>
  <c r="M35" i="4" s="1"/>
  <c r="R35" i="4" s="1"/>
  <c r="T34" i="4"/>
  <c r="U34" i="4" s="1"/>
  <c r="Q35" i="4"/>
  <c r="AI26" i="4"/>
  <c r="AJ26" i="4"/>
  <c r="W26" i="4"/>
  <c r="V26" i="4" s="1"/>
  <c r="Z26" i="4" s="1"/>
  <c r="AC25" i="4"/>
  <c r="AD25" i="4" s="1"/>
  <c r="X26" i="4"/>
  <c r="CL27" i="4"/>
  <c r="AA26" i="4"/>
  <c r="BY30" i="4"/>
  <c r="BZ30" i="4"/>
  <c r="CE29" i="4"/>
  <c r="CF29" i="4" s="1"/>
  <c r="BB25" i="4"/>
  <c r="BA25" i="4"/>
  <c r="DL25" i="4"/>
  <c r="DM25" i="4"/>
  <c r="DF28" i="4"/>
  <c r="DG28" i="4" s="1"/>
  <c r="DA29" i="4"/>
  <c r="CU29" i="4"/>
  <c r="CT29" i="4"/>
  <c r="BH29" i="4"/>
  <c r="BM28" i="4"/>
  <c r="BN28" i="4" s="1"/>
  <c r="BF29" i="4"/>
  <c r="BJ29" i="4" s="1"/>
  <c r="BG30" i="4" s="1"/>
  <c r="BQ36" i="4"/>
  <c r="BV35" i="4"/>
  <c r="BW35" i="4" s="1"/>
  <c r="AS30" i="4"/>
  <c r="AR30" i="4"/>
  <c r="W27" i="4" l="1"/>
  <c r="AC26" i="4"/>
  <c r="AD26" i="4" s="1"/>
  <c r="X27" i="4"/>
  <c r="AF27" i="4"/>
  <c r="AL26" i="4"/>
  <c r="AM26" i="4" s="1"/>
  <c r="AG27" i="4"/>
  <c r="T35" i="4"/>
  <c r="U35" i="4" s="1"/>
  <c r="O36" i="4"/>
  <c r="M36" i="4" s="1"/>
  <c r="CK28" i="4"/>
  <c r="BX30" i="4"/>
  <c r="DI26" i="4"/>
  <c r="DO25" i="4"/>
  <c r="DP25" i="4" s="1"/>
  <c r="DJ26" i="4"/>
  <c r="AX26" i="4"/>
  <c r="BD25" i="4"/>
  <c r="BE25" i="4" s="1"/>
  <c r="AY26" i="4"/>
  <c r="CY29" i="4"/>
  <c r="CW29" i="4"/>
  <c r="CX29" i="4" s="1"/>
  <c r="CR30" i="4"/>
  <c r="CP30" i="4"/>
  <c r="CU30" i="4" s="1"/>
  <c r="BK29" i="4"/>
  <c r="BH30" i="4"/>
  <c r="BF30" i="4" s="1"/>
  <c r="BJ30" i="4" s="1"/>
  <c r="BG31" i="4" s="1"/>
  <c r="BM29" i="4"/>
  <c r="BN29" i="4" s="1"/>
  <c r="AU30" i="4"/>
  <c r="AV30" i="4" s="1"/>
  <c r="AP31" i="4"/>
  <c r="AN31" i="4"/>
  <c r="AR31" i="4" s="1"/>
  <c r="BO36" i="4"/>
  <c r="CH29" i="4" l="1"/>
  <c r="CI29" i="4"/>
  <c r="CN28" i="4"/>
  <c r="CO28" i="4" s="1"/>
  <c r="R36" i="4"/>
  <c r="Q36" i="4"/>
  <c r="DH26" i="4"/>
  <c r="DL26" i="4" s="1"/>
  <c r="AE27" i="4"/>
  <c r="V27" i="4"/>
  <c r="DI27" i="4"/>
  <c r="DO26" i="4"/>
  <c r="DP26" i="4" s="1"/>
  <c r="DJ27" i="4"/>
  <c r="AW26" i="4"/>
  <c r="CC30" i="4"/>
  <c r="CB30" i="4"/>
  <c r="DD29" i="4"/>
  <c r="DC29" i="4"/>
  <c r="CZ30" i="4" s="1"/>
  <c r="CT30" i="4"/>
  <c r="BH31" i="4"/>
  <c r="BM30" i="4"/>
  <c r="BN30" i="4" s="1"/>
  <c r="BK30" i="4"/>
  <c r="AS31" i="4"/>
  <c r="AN32" i="4" s="1"/>
  <c r="AR32" i="4" s="1"/>
  <c r="AP32" i="4"/>
  <c r="AU31" i="4"/>
  <c r="AV31" i="4" s="1"/>
  <c r="BT36" i="4"/>
  <c r="BS36" i="4"/>
  <c r="Z27" i="4" l="1"/>
  <c r="AA27" i="4"/>
  <c r="O37" i="4"/>
  <c r="M37" i="4" s="1"/>
  <c r="R37" i="4" s="1"/>
  <c r="T36" i="4"/>
  <c r="U36" i="4" s="1"/>
  <c r="AJ27" i="4"/>
  <c r="AI27" i="4"/>
  <c r="DM26" i="4"/>
  <c r="CG29" i="4"/>
  <c r="BB26" i="4"/>
  <c r="BA26" i="4"/>
  <c r="BY31" i="4"/>
  <c r="CE30" i="4"/>
  <c r="CF30" i="4" s="1"/>
  <c r="BZ31" i="4"/>
  <c r="Q37" i="4"/>
  <c r="O38" i="4" s="1"/>
  <c r="M38" i="4" s="1"/>
  <c r="R38" i="4" s="1"/>
  <c r="DH27" i="4"/>
  <c r="DL27" i="4" s="1"/>
  <c r="I7" i="2" a="1"/>
  <c r="I7" i="2" s="1"/>
  <c r="DA30" i="4"/>
  <c r="CY30" i="4"/>
  <c r="DD30" i="4" s="1"/>
  <c r="DF29" i="4"/>
  <c r="DG29" i="4" s="1"/>
  <c r="CR31" i="4"/>
  <c r="CW30" i="4"/>
  <c r="CX30" i="4" s="1"/>
  <c r="CP31" i="4"/>
  <c r="CU31" i="4" s="1"/>
  <c r="BF31" i="4"/>
  <c r="BJ31" i="4" s="1"/>
  <c r="BG32" i="4" s="1"/>
  <c r="AS32" i="4"/>
  <c r="AU32" i="4"/>
  <c r="AV32" i="4" s="1"/>
  <c r="AP33" i="4"/>
  <c r="BQ37" i="4"/>
  <c r="BO37" i="4" s="1"/>
  <c r="BS37" i="4" s="1"/>
  <c r="BV36" i="4"/>
  <c r="BW36" i="4" s="1"/>
  <c r="T37" i="4" l="1"/>
  <c r="U37" i="4" s="1"/>
  <c r="CL29" i="4"/>
  <c r="CK29" i="4"/>
  <c r="AN33" i="4"/>
  <c r="AS33" i="4" s="1"/>
  <c r="AF28" i="4"/>
  <c r="AL27" i="4"/>
  <c r="AM27" i="4" s="1"/>
  <c r="AG28" i="4"/>
  <c r="W28" i="4"/>
  <c r="X28" i="4"/>
  <c r="AC27" i="4"/>
  <c r="AD27" i="4" s="1"/>
  <c r="V28" i="4"/>
  <c r="AA28" i="4" s="1"/>
  <c r="DI28" i="4"/>
  <c r="DO27" i="4"/>
  <c r="DP27" i="4" s="1"/>
  <c r="DJ28" i="4"/>
  <c r="DM27" i="4"/>
  <c r="BX31" i="4"/>
  <c r="AX27" i="4"/>
  <c r="BD26" i="4"/>
  <c r="BE26" i="4" s="1"/>
  <c r="AY27" i="4"/>
  <c r="DC30" i="4"/>
  <c r="CZ31" i="4" s="1"/>
  <c r="CT31" i="4"/>
  <c r="BT37" i="4"/>
  <c r="BM31" i="4"/>
  <c r="BN31" i="4" s="1"/>
  <c r="BH32" i="4"/>
  <c r="BK31" i="4"/>
  <c r="BV37" i="4"/>
  <c r="BW37" i="4" s="1"/>
  <c r="BQ38" i="4"/>
  <c r="Q38" i="4"/>
  <c r="AR33" i="4"/>
  <c r="Z28" i="4" l="1"/>
  <c r="AE28" i="4"/>
  <c r="CH30" i="4"/>
  <c r="CG30" i="4" s="1"/>
  <c r="CK30" i="4" s="1"/>
  <c r="CI30" i="4"/>
  <c r="CN29" i="4"/>
  <c r="CO29" i="4" s="1"/>
  <c r="BO38" i="4"/>
  <c r="BT38" i="4" s="1"/>
  <c r="DH28" i="4"/>
  <c r="DL28" i="4" s="1"/>
  <c r="AW27" i="4"/>
  <c r="CC31" i="4"/>
  <c r="CB31" i="4"/>
  <c r="BF32" i="4"/>
  <c r="BJ32" i="4" s="1"/>
  <c r="BG33" i="4" s="1"/>
  <c r="DM28" i="4"/>
  <c r="DA31" i="4"/>
  <c r="CY31" i="4" s="1"/>
  <c r="DD31" i="4" s="1"/>
  <c r="DF30" i="4"/>
  <c r="DG30" i="4" s="1"/>
  <c r="CR32" i="4"/>
  <c r="CP32" i="4"/>
  <c r="CU32" i="4" s="1"/>
  <c r="CW31" i="4"/>
  <c r="CX31" i="4" s="1"/>
  <c r="CT32" i="4"/>
  <c r="BS38" i="4"/>
  <c r="O39" i="4"/>
  <c r="T38" i="4"/>
  <c r="U38" i="4" s="1"/>
  <c r="AU33" i="4"/>
  <c r="AV33" i="4" s="1"/>
  <c r="AP34" i="4"/>
  <c r="AN34" i="4"/>
  <c r="AS34" i="4" s="1"/>
  <c r="CH31" i="4" l="1"/>
  <c r="CN30" i="4"/>
  <c r="CO30" i="4" s="1"/>
  <c r="CI31" i="4"/>
  <c r="W29" i="4"/>
  <c r="AC28" i="4"/>
  <c r="AD28" i="4" s="1"/>
  <c r="X29" i="4"/>
  <c r="BK32" i="4"/>
  <c r="BK33" i="4" s="1"/>
  <c r="BH33" i="4"/>
  <c r="BF33" i="4" s="1"/>
  <c r="BJ33" i="4" s="1"/>
  <c r="BG34" i="4" s="1"/>
  <c r="CL30" i="4"/>
  <c r="BM32" i="4"/>
  <c r="BN32" i="4" s="1"/>
  <c r="AI28" i="4"/>
  <c r="AJ28" i="4"/>
  <c r="BY32" i="4"/>
  <c r="CE31" i="4"/>
  <c r="CF31" i="4" s="1"/>
  <c r="BZ32" i="4"/>
  <c r="BB27" i="4"/>
  <c r="BA27" i="4"/>
  <c r="DI29" i="4"/>
  <c r="DO28" i="4"/>
  <c r="DP28" i="4" s="1"/>
  <c r="DJ29" i="4"/>
  <c r="DH29" i="4" s="1"/>
  <c r="DM29" i="4" s="1"/>
  <c r="DL29" i="4"/>
  <c r="DC31" i="4"/>
  <c r="CZ32" i="4" s="1"/>
  <c r="CW32" i="4"/>
  <c r="CX32" i="4" s="1"/>
  <c r="CR33" i="4"/>
  <c r="CP33" i="4"/>
  <c r="CU33" i="4" s="1"/>
  <c r="M39" i="4"/>
  <c r="R39" i="4" s="1"/>
  <c r="BQ39" i="4"/>
  <c r="BV38" i="4"/>
  <c r="BW38" i="4" s="1"/>
  <c r="AR34" i="4"/>
  <c r="CG31" i="4" l="1"/>
  <c r="CK31" i="4" s="1"/>
  <c r="AF29" i="4"/>
  <c r="AL28" i="4"/>
  <c r="AM28" i="4" s="1"/>
  <c r="AG29" i="4"/>
  <c r="BH34" i="4"/>
  <c r="BF34" i="4" s="1"/>
  <c r="BJ34" i="4" s="1"/>
  <c r="V29" i="4"/>
  <c r="BM33" i="4"/>
  <c r="BN33" i="4" s="1"/>
  <c r="DI30" i="4"/>
  <c r="DO29" i="4"/>
  <c r="DP29" i="4" s="1"/>
  <c r="DJ30" i="4"/>
  <c r="AX28" i="4"/>
  <c r="AW28" i="4" s="1"/>
  <c r="BA28" i="4" s="1"/>
  <c r="AY28" i="4"/>
  <c r="BD27" i="4"/>
  <c r="BE27" i="4" s="1"/>
  <c r="BB28" i="4"/>
  <c r="Q39" i="4"/>
  <c r="O40" i="4" s="1"/>
  <c r="BX32" i="4"/>
  <c r="DA32" i="4"/>
  <c r="CY32" i="4"/>
  <c r="DD32" i="4" s="1"/>
  <c r="DF31" i="4"/>
  <c r="DG31" i="4" s="1"/>
  <c r="CT33" i="4"/>
  <c r="AU34" i="4"/>
  <c r="AV34" i="4" s="1"/>
  <c r="AP35" i="4"/>
  <c r="AN35" i="4"/>
  <c r="AS35" i="4" s="1"/>
  <c r="BO39" i="4"/>
  <c r="BG35" i="4" l="1"/>
  <c r="BM34" i="4"/>
  <c r="BN34" i="4" s="1"/>
  <c r="BH35" i="4"/>
  <c r="CH32" i="4"/>
  <c r="CN31" i="4"/>
  <c r="CO31" i="4" s="1"/>
  <c r="CI32" i="4"/>
  <c r="AA29" i="4"/>
  <c r="Z29" i="4"/>
  <c r="T39" i="4"/>
  <c r="U39" i="4" s="1"/>
  <c r="AE29" i="4"/>
  <c r="CL31" i="4"/>
  <c r="DC32" i="4"/>
  <c r="CZ33" i="4" s="1"/>
  <c r="AX29" i="4"/>
  <c r="AW29" i="4" s="1"/>
  <c r="BA29" i="4" s="1"/>
  <c r="AY29" i="4"/>
  <c r="BD28" i="4"/>
  <c r="BE28" i="4" s="1"/>
  <c r="CB32" i="4"/>
  <c r="CC32" i="4"/>
  <c r="BK34" i="4"/>
  <c r="DH30" i="4"/>
  <c r="CW33" i="4"/>
  <c r="CX33" i="4" s="1"/>
  <c r="CR34" i="4"/>
  <c r="CP34" i="4"/>
  <c r="CU34" i="4" s="1"/>
  <c r="BT39" i="4"/>
  <c r="BS39" i="4"/>
  <c r="AR35" i="4"/>
  <c r="M40" i="4"/>
  <c r="CL32" i="4" l="1"/>
  <c r="DA33" i="4"/>
  <c r="CY33" i="4" s="1"/>
  <c r="CG32" i="4"/>
  <c r="CK32" i="4" s="1"/>
  <c r="AJ29" i="4"/>
  <c r="AI29" i="4"/>
  <c r="DF32" i="4"/>
  <c r="DG32" i="4" s="1"/>
  <c r="BF35" i="4"/>
  <c r="BJ35" i="4" s="1"/>
  <c r="BG36" i="4" s="1"/>
  <c r="W30" i="4"/>
  <c r="V30" i="4" s="1"/>
  <c r="AA30" i="4" s="1"/>
  <c r="X30" i="4"/>
  <c r="AC29" i="4"/>
  <c r="AD29" i="4" s="1"/>
  <c r="H7" i="2" a="1"/>
  <c r="H7" i="2" s="1"/>
  <c r="Z30" i="4"/>
  <c r="AX30" i="4"/>
  <c r="AY30" i="4"/>
  <c r="BD29" i="4"/>
  <c r="BE29" i="4" s="1"/>
  <c r="DM30" i="4"/>
  <c r="DL30" i="4"/>
  <c r="BB29" i="4"/>
  <c r="BY33" i="4"/>
  <c r="CE32" i="4"/>
  <c r="CF32" i="4" s="1"/>
  <c r="BZ33" i="4"/>
  <c r="CT34" i="4"/>
  <c r="BH36" i="4"/>
  <c r="BM35" i="4"/>
  <c r="BN35" i="4" s="1"/>
  <c r="BQ40" i="4"/>
  <c r="BV39" i="4"/>
  <c r="BW39" i="4" s="1"/>
  <c r="R40" i="4"/>
  <c r="Q40" i="4"/>
  <c r="AP36" i="4"/>
  <c r="AU35" i="4"/>
  <c r="AV35" i="4" s="1"/>
  <c r="DD33" i="4" l="1"/>
  <c r="DC33" i="4"/>
  <c r="CZ34" i="4" s="1"/>
  <c r="AF30" i="4"/>
  <c r="AG30" i="4"/>
  <c r="AL29" i="4"/>
  <c r="AM29" i="4" s="1"/>
  <c r="W31" i="4"/>
  <c r="AC30" i="4"/>
  <c r="AD30" i="4" s="1"/>
  <c r="X31" i="4"/>
  <c r="BK35" i="4"/>
  <c r="BF36" i="4" s="1"/>
  <c r="BJ36" i="4" s="1"/>
  <c r="CH33" i="4"/>
  <c r="CI33" i="4"/>
  <c r="CN32" i="4"/>
  <c r="CO32" i="4" s="1"/>
  <c r="BX33" i="4"/>
  <c r="DI31" i="4"/>
  <c r="DJ31" i="4"/>
  <c r="DO30" i="4"/>
  <c r="DP30" i="4" s="1"/>
  <c r="AW30" i="4"/>
  <c r="BA30" i="4" s="1"/>
  <c r="DF33" i="4"/>
  <c r="DG33" i="4" s="1"/>
  <c r="DA34" i="4"/>
  <c r="CW34" i="4"/>
  <c r="CX34" i="4" s="1"/>
  <c r="CR35" i="4"/>
  <c r="CP35" i="4"/>
  <c r="CU35" i="4" s="1"/>
  <c r="BO40" i="4"/>
  <c r="T40" i="4"/>
  <c r="U40" i="4" s="1"/>
  <c r="O41" i="4"/>
  <c r="M41" i="4"/>
  <c r="Q41" i="4" s="1"/>
  <c r="AN36" i="4"/>
  <c r="BG37" i="4" l="1"/>
  <c r="BF37" i="4" s="1"/>
  <c r="BJ37" i="4" s="1"/>
  <c r="BG38" i="4" s="1"/>
  <c r="BH37" i="4"/>
  <c r="BM36" i="4"/>
  <c r="BN36" i="4" s="1"/>
  <c r="V31" i="4"/>
  <c r="AE30" i="4"/>
  <c r="BK36" i="4"/>
  <c r="CG33" i="4"/>
  <c r="CB33" i="4"/>
  <c r="CC33" i="4"/>
  <c r="BB30" i="4"/>
  <c r="DH31" i="4"/>
  <c r="AX31" i="4"/>
  <c r="AY31" i="4"/>
  <c r="BD30" i="4"/>
  <c r="BE30" i="4" s="1"/>
  <c r="CY34" i="4"/>
  <c r="CT35" i="4"/>
  <c r="R41" i="4"/>
  <c r="O42" i="4"/>
  <c r="T41" i="4"/>
  <c r="U41" i="4" s="1"/>
  <c r="M42" i="4"/>
  <c r="R42" i="4" s="1"/>
  <c r="AS36" i="4"/>
  <c r="AR36" i="4"/>
  <c r="BS40" i="4"/>
  <c r="BT40" i="4"/>
  <c r="AI30" i="4" l="1"/>
  <c r="AJ30" i="4"/>
  <c r="CK33" i="4"/>
  <c r="CL33" i="4"/>
  <c r="AA31" i="4"/>
  <c r="Z31" i="4"/>
  <c r="BK37" i="4"/>
  <c r="AW31" i="4"/>
  <c r="BA31" i="4" s="1"/>
  <c r="BM37" i="4"/>
  <c r="BN37" i="4" s="1"/>
  <c r="DL31" i="4"/>
  <c r="DM31" i="4"/>
  <c r="BH38" i="4"/>
  <c r="BF38" i="4" s="1"/>
  <c r="BY34" i="4"/>
  <c r="BX34" i="4" s="1"/>
  <c r="CB34" i="4" s="1"/>
  <c r="BZ34" i="4"/>
  <c r="CE33" i="4"/>
  <c r="CF33" i="4" s="1"/>
  <c r="DD34" i="4"/>
  <c r="DC34" i="4"/>
  <c r="CZ35" i="4" s="1"/>
  <c r="CW35" i="4"/>
  <c r="CX35" i="4" s="1"/>
  <c r="CR36" i="4"/>
  <c r="CP36" i="4" s="1"/>
  <c r="CU36" i="4" s="1"/>
  <c r="Q42" i="4"/>
  <c r="BV40" i="4"/>
  <c r="BW40" i="4" s="1"/>
  <c r="BQ41" i="4"/>
  <c r="BO41" i="4"/>
  <c r="BS41" i="4" s="1"/>
  <c r="AP37" i="4"/>
  <c r="AU36" i="4"/>
  <c r="AV36" i="4" s="1"/>
  <c r="AN37" i="4"/>
  <c r="AS37" i="4" s="1"/>
  <c r="W32" i="4" l="1"/>
  <c r="V32" i="4" s="1"/>
  <c r="Z32" i="4" s="1"/>
  <c r="AC31" i="4"/>
  <c r="AD31" i="4" s="1"/>
  <c r="X32" i="4"/>
  <c r="CH34" i="4"/>
  <c r="CG34" i="4" s="1"/>
  <c r="CK34" i="4" s="1"/>
  <c r="CI34" i="4"/>
  <c r="CN33" i="4"/>
  <c r="CO33" i="4" s="1"/>
  <c r="AF31" i="4"/>
  <c r="AL30" i="4"/>
  <c r="AM30" i="4" s="1"/>
  <c r="AG31" i="4"/>
  <c r="BJ38" i="4"/>
  <c r="BK38" i="4"/>
  <c r="CC34" i="4"/>
  <c r="DI32" i="4"/>
  <c r="DO31" i="4"/>
  <c r="DP31" i="4" s="1"/>
  <c r="DJ32" i="4"/>
  <c r="AX32" i="4"/>
  <c r="BD31" i="4"/>
  <c r="BE31" i="4" s="1"/>
  <c r="AY32" i="4"/>
  <c r="BY35" i="4"/>
  <c r="BX35" i="4" s="1"/>
  <c r="CB35" i="4" s="1"/>
  <c r="CE34" i="4"/>
  <c r="CF34" i="4" s="1"/>
  <c r="BZ35" i="4"/>
  <c r="BB31" i="4"/>
  <c r="DF34" i="4"/>
  <c r="DG34" i="4" s="1"/>
  <c r="DA35" i="4"/>
  <c r="CY35" i="4" s="1"/>
  <c r="DD35" i="4" s="1"/>
  <c r="CT36" i="4"/>
  <c r="BT41" i="4"/>
  <c r="BQ42" i="4"/>
  <c r="BO42" i="4" s="1"/>
  <c r="BS42" i="4" s="1"/>
  <c r="BV41" i="4"/>
  <c r="BW41" i="4" s="1"/>
  <c r="T42" i="4"/>
  <c r="U42" i="4" s="1"/>
  <c r="O43" i="4"/>
  <c r="AR37" i="4"/>
  <c r="W33" i="4" l="1"/>
  <c r="V33" i="4" s="1"/>
  <c r="Z33" i="4" s="1"/>
  <c r="AC32" i="4"/>
  <c r="AD32" i="4" s="1"/>
  <c r="X33" i="4"/>
  <c r="AE31" i="4"/>
  <c r="CH35" i="4"/>
  <c r="CI35" i="4"/>
  <c r="CN34" i="4"/>
  <c r="CO34" i="4" s="1"/>
  <c r="AA32" i="4"/>
  <c r="CL34" i="4"/>
  <c r="AW32" i="4"/>
  <c r="BA32" i="4" s="1"/>
  <c r="DH32" i="4"/>
  <c r="BY36" i="4"/>
  <c r="CE35" i="4"/>
  <c r="CF35" i="4" s="1"/>
  <c r="BZ36" i="4"/>
  <c r="CC35" i="4"/>
  <c r="BG39" i="4"/>
  <c r="BM38" i="4"/>
  <c r="BN38" i="4" s="1"/>
  <c r="BH39" i="4"/>
  <c r="DC35" i="4"/>
  <c r="CZ36" i="4" s="1"/>
  <c r="CW36" i="4"/>
  <c r="CX36" i="4" s="1"/>
  <c r="CR37" i="4"/>
  <c r="CP37" i="4"/>
  <c r="CU37" i="4" s="1"/>
  <c r="BT42" i="4"/>
  <c r="BO43" i="4" s="1"/>
  <c r="BS43" i="4" s="1"/>
  <c r="M43" i="4"/>
  <c r="BV42" i="4"/>
  <c r="BW42" i="4" s="1"/>
  <c r="BQ43" i="4"/>
  <c r="AU37" i="4"/>
  <c r="AV37" i="4" s="1"/>
  <c r="AP38" i="4"/>
  <c r="CL35" i="4" l="1"/>
  <c r="AA33" i="4"/>
  <c r="BF39" i="4"/>
  <c r="BJ39" i="4" s="1"/>
  <c r="BM39" i="4" s="1"/>
  <c r="BN39" i="4" s="1"/>
  <c r="CG35" i="4"/>
  <c r="CK35" i="4" s="1"/>
  <c r="AJ31" i="4"/>
  <c r="AI31" i="4"/>
  <c r="W34" i="4"/>
  <c r="X34" i="4"/>
  <c r="V34" i="4" s="1"/>
  <c r="Z34" i="4" s="1"/>
  <c r="AC33" i="4"/>
  <c r="AD33" i="4" s="1"/>
  <c r="BG40" i="4"/>
  <c r="BH40" i="4"/>
  <c r="BX36" i="4"/>
  <c r="CB36" i="4" s="1"/>
  <c r="DL32" i="4"/>
  <c r="DM32" i="4"/>
  <c r="AX33" i="4"/>
  <c r="AY33" i="4"/>
  <c r="BD32" i="4"/>
  <c r="BE32" i="4" s="1"/>
  <c r="BB32" i="4"/>
  <c r="BK39" i="4"/>
  <c r="DF35" i="4"/>
  <c r="DG35" i="4" s="1"/>
  <c r="DA36" i="4"/>
  <c r="CT37" i="4"/>
  <c r="AN38" i="4"/>
  <c r="AS38" i="4" s="1"/>
  <c r="R43" i="4"/>
  <c r="Q43" i="4"/>
  <c r="BV43" i="4"/>
  <c r="BW43" i="4" s="1"/>
  <c r="BQ44" i="4"/>
  <c r="BT43" i="4"/>
  <c r="BO44" i="4" s="1"/>
  <c r="BS44" i="4" s="1"/>
  <c r="W35" i="4" l="1"/>
  <c r="V35" i="4" s="1"/>
  <c r="Z35" i="4" s="1"/>
  <c r="X35" i="4"/>
  <c r="AC34" i="4"/>
  <c r="AD34" i="4" s="1"/>
  <c r="AG32" i="4"/>
  <c r="AL31" i="4"/>
  <c r="AM31" i="4" s="1"/>
  <c r="AF32" i="4"/>
  <c r="AE32" i="4" s="1"/>
  <c r="AJ32" i="4" s="1"/>
  <c r="CH36" i="4"/>
  <c r="CN35" i="4"/>
  <c r="CO35" i="4" s="1"/>
  <c r="CI36" i="4"/>
  <c r="AA34" i="4"/>
  <c r="DI33" i="4"/>
  <c r="DH33" i="4" s="1"/>
  <c r="DL33" i="4" s="1"/>
  <c r="DO32" i="4"/>
  <c r="DP32" i="4" s="1"/>
  <c r="DJ33" i="4"/>
  <c r="BF40" i="4"/>
  <c r="BJ40" i="4" s="1"/>
  <c r="AR38" i="4"/>
  <c r="AU38" i="4" s="1"/>
  <c r="AV38" i="4" s="1"/>
  <c r="AW33" i="4"/>
  <c r="BA33" i="4" s="1"/>
  <c r="BY37" i="4"/>
  <c r="BZ37" i="4"/>
  <c r="CE36" i="4"/>
  <c r="CF36" i="4" s="1"/>
  <c r="CC36" i="4"/>
  <c r="CY36" i="4"/>
  <c r="CW37" i="4"/>
  <c r="CX37" i="4" s="1"/>
  <c r="CR38" i="4"/>
  <c r="CP38" i="4" s="1"/>
  <c r="CU38" i="4" s="1"/>
  <c r="O44" i="4"/>
  <c r="M44" i="4"/>
  <c r="T43" i="4"/>
  <c r="U43" i="4" s="1"/>
  <c r="BV44" i="4"/>
  <c r="BW44" i="4" s="1"/>
  <c r="BQ45" i="4"/>
  <c r="BT44" i="4"/>
  <c r="AA35" i="4" l="1"/>
  <c r="W36" i="4"/>
  <c r="V36" i="4" s="1"/>
  <c r="Z36" i="4" s="1"/>
  <c r="X36" i="4"/>
  <c r="AC35" i="4"/>
  <c r="AD35" i="4" s="1"/>
  <c r="AI32" i="4"/>
  <c r="AP39" i="4"/>
  <c r="CG36" i="4"/>
  <c r="DI34" i="4"/>
  <c r="DO33" i="4"/>
  <c r="DP33" i="4" s="1"/>
  <c r="DJ34" i="4"/>
  <c r="BK40" i="4"/>
  <c r="BX37" i="4"/>
  <c r="CB37" i="4" s="1"/>
  <c r="BG41" i="4"/>
  <c r="BH41" i="4"/>
  <c r="BM40" i="4"/>
  <c r="BN40" i="4" s="1"/>
  <c r="DM33" i="4"/>
  <c r="BO45" i="4"/>
  <c r="BS45" i="4" s="1"/>
  <c r="BQ46" i="4" s="1"/>
  <c r="AX34" i="4"/>
  <c r="AY34" i="4"/>
  <c r="BD33" i="4"/>
  <c r="BE33" i="4" s="1"/>
  <c r="BB33" i="4"/>
  <c r="DD36" i="4"/>
  <c r="DC36" i="4"/>
  <c r="CZ37" i="4" s="1"/>
  <c r="CT38" i="4"/>
  <c r="Q44" i="4"/>
  <c r="R44" i="4"/>
  <c r="AN39" i="4"/>
  <c r="AF33" i="4" l="1"/>
  <c r="AG33" i="4"/>
  <c r="AL32" i="4"/>
  <c r="AM32" i="4" s="1"/>
  <c r="CC37" i="4"/>
  <c r="CK36" i="4"/>
  <c r="CL36" i="4"/>
  <c r="BF41" i="4"/>
  <c r="BJ41" i="4" s="1"/>
  <c r="BM41" i="4" s="1"/>
  <c r="BN41" i="4" s="1"/>
  <c r="W37" i="4"/>
  <c r="V37" i="4" s="1"/>
  <c r="Z37" i="4" s="1"/>
  <c r="AC36" i="4"/>
  <c r="AD36" i="4" s="1"/>
  <c r="X37" i="4"/>
  <c r="AA36" i="4"/>
  <c r="BG42" i="4"/>
  <c r="BH42" i="4"/>
  <c r="BT45" i="4"/>
  <c r="BV45" i="4"/>
  <c r="BW45" i="4" s="1"/>
  <c r="BY38" i="4"/>
  <c r="CE37" i="4"/>
  <c r="CF37" i="4" s="1"/>
  <c r="BZ38" i="4"/>
  <c r="BK41" i="4"/>
  <c r="AW34" i="4"/>
  <c r="BA34" i="4" s="1"/>
  <c r="DH34" i="4"/>
  <c r="DA37" i="4"/>
  <c r="DF36" i="4"/>
  <c r="DG36" i="4" s="1"/>
  <c r="CR39" i="4"/>
  <c r="CP39" i="4" s="1"/>
  <c r="CW38" i="4"/>
  <c r="CX38" i="4" s="1"/>
  <c r="T44" i="4"/>
  <c r="U44" i="4" s="1"/>
  <c r="O45" i="4"/>
  <c r="M45" i="4" s="1"/>
  <c r="AS39" i="4"/>
  <c r="AR39" i="4"/>
  <c r="BO46" i="4"/>
  <c r="BS46" i="4" s="1"/>
  <c r="W38" i="4" l="1"/>
  <c r="AC37" i="4"/>
  <c r="AD37" i="4" s="1"/>
  <c r="X38" i="4"/>
  <c r="AA37" i="4"/>
  <c r="BX38" i="4"/>
  <c r="CB38" i="4" s="1"/>
  <c r="BY39" i="4" s="1"/>
  <c r="CH37" i="4"/>
  <c r="CG37" i="4" s="1"/>
  <c r="CK37" i="4" s="1"/>
  <c r="CI37" i="4"/>
  <c r="CN36" i="4"/>
  <c r="CO36" i="4" s="1"/>
  <c r="AE33" i="4"/>
  <c r="CU39" i="4"/>
  <c r="CT39" i="4"/>
  <c r="CR40" i="4" s="1"/>
  <c r="DM34" i="4"/>
  <c r="DL34" i="4"/>
  <c r="BF42" i="4"/>
  <c r="BJ42" i="4" s="1"/>
  <c r="AX35" i="4"/>
  <c r="BD34" i="4"/>
  <c r="BE34" i="4" s="1"/>
  <c r="AY35" i="4"/>
  <c r="BB34" i="4"/>
  <c r="CY37" i="4"/>
  <c r="BT46" i="4"/>
  <c r="Q45" i="4"/>
  <c r="R45" i="4"/>
  <c r="BV46" i="4"/>
  <c r="BW46" i="4" s="1"/>
  <c r="BQ47" i="4"/>
  <c r="BO47" i="4" s="1"/>
  <c r="BS47" i="4" s="1"/>
  <c r="AP40" i="4"/>
  <c r="AU39" i="4"/>
  <c r="AV39" i="4" s="1"/>
  <c r="AN40" i="4"/>
  <c r="AR40" i="4" s="1"/>
  <c r="AJ33" i="4" l="1"/>
  <c r="AI33" i="4"/>
  <c r="CH38" i="4"/>
  <c r="CI38" i="4"/>
  <c r="CN37" i="4"/>
  <c r="CO37" i="4" s="1"/>
  <c r="CP40" i="4"/>
  <c r="CU40" i="4" s="1"/>
  <c r="AW35" i="4"/>
  <c r="BA35" i="4" s="1"/>
  <c r="AX36" i="4" s="1"/>
  <c r="CE38" i="4"/>
  <c r="CF38" i="4" s="1"/>
  <c r="BZ39" i="4"/>
  <c r="BX39" i="4" s="1"/>
  <c r="CL37" i="4"/>
  <c r="CW39" i="4"/>
  <c r="CX39" i="4" s="1"/>
  <c r="CC38" i="4"/>
  <c r="V38" i="4"/>
  <c r="Z38" i="4" s="1"/>
  <c r="BG43" i="4"/>
  <c r="BM42" i="4"/>
  <c r="BN42" i="4" s="1"/>
  <c r="BH43" i="4"/>
  <c r="DI35" i="4"/>
  <c r="DO34" i="4"/>
  <c r="DP34" i="4" s="1"/>
  <c r="DJ35" i="4"/>
  <c r="BK42" i="4"/>
  <c r="BB35" i="4"/>
  <c r="DC37" i="4"/>
  <c r="CZ38" i="4" s="1"/>
  <c r="DD37" i="4"/>
  <c r="BT47" i="4"/>
  <c r="AS40" i="4"/>
  <c r="T45" i="4"/>
  <c r="U45" i="4" s="1"/>
  <c r="O46" i="4"/>
  <c r="M46" i="4"/>
  <c r="Q46" i="4" s="1"/>
  <c r="AU40" i="4"/>
  <c r="AV40" i="4" s="1"/>
  <c r="AP41" i="4"/>
  <c r="BV47" i="4"/>
  <c r="BW47" i="4" s="1"/>
  <c r="BQ48" i="4"/>
  <c r="BO48" i="4" s="1"/>
  <c r="BS48" i="4" s="1"/>
  <c r="CB39" i="4" l="1"/>
  <c r="BY40" i="4" s="1"/>
  <c r="CC39" i="4"/>
  <c r="W39" i="4"/>
  <c r="AC38" i="4"/>
  <c r="AD38" i="4" s="1"/>
  <c r="X39" i="4"/>
  <c r="AN41" i="4"/>
  <c r="AR41" i="4" s="1"/>
  <c r="AU41" i="4" s="1"/>
  <c r="AV41" i="4" s="1"/>
  <c r="BD35" i="4"/>
  <c r="BE35" i="4" s="1"/>
  <c r="AL33" i="4"/>
  <c r="AM33" i="4" s="1"/>
  <c r="AG34" i="4"/>
  <c r="AF34" i="4"/>
  <c r="AE34" i="4" s="1"/>
  <c r="AJ34" i="4" s="1"/>
  <c r="CT40" i="4"/>
  <c r="CR41" i="4" s="1"/>
  <c r="CP41" i="4" s="1"/>
  <c r="CG38" i="4"/>
  <c r="CK38" i="4" s="1"/>
  <c r="AY36" i="4"/>
  <c r="AA38" i="4"/>
  <c r="DH35" i="4"/>
  <c r="BF43" i="4"/>
  <c r="BJ43" i="4" s="1"/>
  <c r="AW36" i="4"/>
  <c r="BA36" i="4" s="1"/>
  <c r="DF37" i="4"/>
  <c r="DG37" i="4" s="1"/>
  <c r="DA38" i="4"/>
  <c r="BT48" i="4"/>
  <c r="AS41" i="4"/>
  <c r="T46" i="4"/>
  <c r="U46" i="4" s="1"/>
  <c r="O47" i="4"/>
  <c r="R46" i="4"/>
  <c r="BQ49" i="4"/>
  <c r="BO49" i="4" s="1"/>
  <c r="BS49" i="4" s="1"/>
  <c r="BV48" i="4"/>
  <c r="BW48" i="4" s="1"/>
  <c r="AP42" i="4"/>
  <c r="AI34" i="4" l="1"/>
  <c r="BZ40" i="4"/>
  <c r="BX40" i="4" s="1"/>
  <c r="CL38" i="4"/>
  <c r="CW40" i="4"/>
  <c r="CX40" i="4" s="1"/>
  <c r="CH39" i="4"/>
  <c r="CG39" i="4" s="1"/>
  <c r="CK39" i="4" s="1"/>
  <c r="CN38" i="4"/>
  <c r="CO38" i="4" s="1"/>
  <c r="CI39" i="4"/>
  <c r="CE39" i="4"/>
  <c r="CF39" i="4" s="1"/>
  <c r="V39" i="4"/>
  <c r="AX37" i="4"/>
  <c r="BD36" i="4"/>
  <c r="BE36" i="4" s="1"/>
  <c r="AY37" i="4"/>
  <c r="BB36" i="4"/>
  <c r="BG44" i="4"/>
  <c r="BM43" i="4"/>
  <c r="BN43" i="4" s="1"/>
  <c r="BH44" i="4"/>
  <c r="BK43" i="4"/>
  <c r="DM35" i="4"/>
  <c r="DL35" i="4"/>
  <c r="CY38" i="4"/>
  <c r="CU41" i="4"/>
  <c r="CT41" i="4"/>
  <c r="BT49" i="4"/>
  <c r="AN42" i="4"/>
  <c r="AS42" i="4" s="1"/>
  <c r="M47" i="4"/>
  <c r="Q47" i="4" s="1"/>
  <c r="BQ50" i="4"/>
  <c r="BO50" i="4" s="1"/>
  <c r="BS50" i="4" s="1"/>
  <c r="BV49" i="4"/>
  <c r="BW49" i="4" s="1"/>
  <c r="CH40" i="4" l="1"/>
  <c r="CG40" i="4" s="1"/>
  <c r="CK40" i="4" s="1"/>
  <c r="CH41" i="4" s="1"/>
  <c r="CI40" i="4"/>
  <c r="CN39" i="4"/>
  <c r="CO39" i="4" s="1"/>
  <c r="AA39" i="4"/>
  <c r="Z39" i="4"/>
  <c r="CL39" i="4"/>
  <c r="AL34" i="4"/>
  <c r="AM34" i="4" s="1"/>
  <c r="AG35" i="4"/>
  <c r="AF35" i="4"/>
  <c r="AE35" i="4" s="1"/>
  <c r="DI36" i="4"/>
  <c r="DJ36" i="4"/>
  <c r="DO35" i="4"/>
  <c r="DP35" i="4" s="1"/>
  <c r="CB40" i="4"/>
  <c r="CC40" i="4"/>
  <c r="BF44" i="4"/>
  <c r="BJ44" i="4" s="1"/>
  <c r="AW37" i="4"/>
  <c r="BA37" i="4" s="1"/>
  <c r="DD38" i="4"/>
  <c r="DC38" i="4"/>
  <c r="CZ39" i="4" s="1"/>
  <c r="CR42" i="4"/>
  <c r="CP42" i="4" s="1"/>
  <c r="CW41" i="4"/>
  <c r="CX41" i="4" s="1"/>
  <c r="AR42" i="4"/>
  <c r="AU42" i="4" s="1"/>
  <c r="AV42" i="4" s="1"/>
  <c r="R47" i="4"/>
  <c r="T47" i="4"/>
  <c r="U47" i="4" s="1"/>
  <c r="O48" i="4"/>
  <c r="M48" i="4" s="1"/>
  <c r="Q48" i="4" s="1"/>
  <c r="BV50" i="4"/>
  <c r="BW50" i="4" s="1"/>
  <c r="BQ51" i="4"/>
  <c r="BT50" i="4"/>
  <c r="CL40" i="4" l="1"/>
  <c r="CG41" i="4" s="1"/>
  <c r="CK41" i="4" s="1"/>
  <c r="CI41" i="4"/>
  <c r="CN40" i="4"/>
  <c r="CO40" i="4" s="1"/>
  <c r="W40" i="4"/>
  <c r="AC39" i="4"/>
  <c r="AD39" i="4" s="1"/>
  <c r="X40" i="4"/>
  <c r="AI35" i="4"/>
  <c r="AJ35" i="4"/>
  <c r="BK44" i="4"/>
  <c r="BO51" i="4"/>
  <c r="BS51" i="4" s="1"/>
  <c r="BV51" i="4" s="1"/>
  <c r="BW51" i="4" s="1"/>
  <c r="BY41" i="4"/>
  <c r="BX41" i="4" s="1"/>
  <c r="CB41" i="4" s="1"/>
  <c r="BY42" i="4" s="1"/>
  <c r="CE40" i="4"/>
  <c r="CF40" i="4" s="1"/>
  <c r="BZ41" i="4"/>
  <c r="BG45" i="4"/>
  <c r="BH45" i="4"/>
  <c r="BM44" i="4"/>
  <c r="BN44" i="4" s="1"/>
  <c r="DH36" i="4"/>
  <c r="AX38" i="4"/>
  <c r="BD37" i="4"/>
  <c r="BE37" i="4" s="1"/>
  <c r="AY38" i="4"/>
  <c r="BB37" i="4"/>
  <c r="DA39" i="4"/>
  <c r="CY39" i="4" s="1"/>
  <c r="DC39" i="4" s="1"/>
  <c r="CZ40" i="4" s="1"/>
  <c r="DF38" i="4"/>
  <c r="DG38" i="4" s="1"/>
  <c r="CU42" i="4"/>
  <c r="CT42" i="4"/>
  <c r="AP43" i="4"/>
  <c r="O49" i="4"/>
  <c r="T48" i="4"/>
  <c r="U48" i="4" s="1"/>
  <c r="R48" i="4"/>
  <c r="BQ52" i="4"/>
  <c r="AN43" i="4"/>
  <c r="CH42" i="4" l="1"/>
  <c r="CN41" i="4"/>
  <c r="CO41" i="4" s="1"/>
  <c r="CI42" i="4"/>
  <c r="AG36" i="4"/>
  <c r="AF36" i="4"/>
  <c r="AE36" i="4" s="1"/>
  <c r="AI36" i="4" s="1"/>
  <c r="AL35" i="4"/>
  <c r="AM35" i="4" s="1"/>
  <c r="AJ36" i="4"/>
  <c r="CL41" i="4"/>
  <c r="V40" i="4"/>
  <c r="BZ42" i="4"/>
  <c r="BX42" i="4" s="1"/>
  <c r="CB42" i="4" s="1"/>
  <c r="DM36" i="4"/>
  <c r="DL36" i="4"/>
  <c r="AW38" i="4"/>
  <c r="BA38" i="4" s="1"/>
  <c r="CE41" i="4"/>
  <c r="CF41" i="4" s="1"/>
  <c r="BT51" i="4"/>
  <c r="BO52" i="4" s="1"/>
  <c r="BS52" i="4" s="1"/>
  <c r="BV52" i="4" s="1"/>
  <c r="BW52" i="4" s="1"/>
  <c r="BF45" i="4"/>
  <c r="BJ45" i="4" s="1"/>
  <c r="M49" i="4"/>
  <c r="Q49" i="4" s="1"/>
  <c r="O50" i="4" s="1"/>
  <c r="CC41" i="4"/>
  <c r="DD39" i="4"/>
  <c r="DF39" i="4"/>
  <c r="DG39" i="4" s="1"/>
  <c r="DA40" i="4"/>
  <c r="CR43" i="4"/>
  <c r="CP43" i="4"/>
  <c r="CW42" i="4"/>
  <c r="CX42" i="4" s="1"/>
  <c r="BQ53" i="4"/>
  <c r="AS43" i="4"/>
  <c r="AR43" i="4"/>
  <c r="AF37" i="4" l="1"/>
  <c r="AL36" i="4"/>
  <c r="AM36" i="4" s="1"/>
  <c r="AG37" i="4"/>
  <c r="Z40" i="4"/>
  <c r="AA40" i="4"/>
  <c r="BB38" i="4"/>
  <c r="BT52" i="4"/>
  <c r="BO53" i="4" s="1"/>
  <c r="BT53" i="4" s="1"/>
  <c r="CG42" i="4"/>
  <c r="BY43" i="4"/>
  <c r="BX43" i="4" s="1"/>
  <c r="CB43" i="4" s="1"/>
  <c r="BY44" i="4" s="1"/>
  <c r="BZ43" i="4"/>
  <c r="CE42" i="4"/>
  <c r="CF42" i="4" s="1"/>
  <c r="R49" i="4"/>
  <c r="M50" i="4" s="1"/>
  <c r="Q50" i="4" s="1"/>
  <c r="O51" i="4" s="1"/>
  <c r="BK45" i="4"/>
  <c r="CC42" i="4"/>
  <c r="T49" i="4"/>
  <c r="U49" i="4" s="1"/>
  <c r="AX39" i="4"/>
  <c r="AY39" i="4"/>
  <c r="BD38" i="4"/>
  <c r="BE38" i="4" s="1"/>
  <c r="BG46" i="4"/>
  <c r="BH46" i="4"/>
  <c r="BM45" i="4"/>
  <c r="BN45" i="4" s="1"/>
  <c r="DI37" i="4"/>
  <c r="DO36" i="4"/>
  <c r="DP36" i="4" s="1"/>
  <c r="DJ37" i="4"/>
  <c r="CY40" i="4"/>
  <c r="CU43" i="4"/>
  <c r="CT43" i="4"/>
  <c r="AP44" i="4"/>
  <c r="AU43" i="4"/>
  <c r="AV43" i="4" s="1"/>
  <c r="AN44" i="4"/>
  <c r="AR44" i="4" s="1"/>
  <c r="BS53" i="4"/>
  <c r="M51" i="4" l="1"/>
  <c r="Q51" i="4" s="1"/>
  <c r="T51" i="4" s="1"/>
  <c r="U51" i="4" s="1"/>
  <c r="DH37" i="4"/>
  <c r="DM37" i="4" s="1"/>
  <c r="R50" i="4"/>
  <c r="W41" i="4"/>
  <c r="V41" i="4" s="1"/>
  <c r="Z41" i="4" s="1"/>
  <c r="X41" i="4"/>
  <c r="D5" i="8" s="1"/>
  <c r="AC40" i="4"/>
  <c r="AD40" i="4" s="1"/>
  <c r="AE37" i="4"/>
  <c r="CK42" i="4"/>
  <c r="CL42" i="4"/>
  <c r="AA41" i="4"/>
  <c r="CC43" i="4"/>
  <c r="BZ44" i="4"/>
  <c r="BX44" i="4" s="1"/>
  <c r="CB44" i="4" s="1"/>
  <c r="BY45" i="4" s="1"/>
  <c r="AW39" i="4"/>
  <c r="T50" i="4"/>
  <c r="U50" i="4" s="1"/>
  <c r="BF46" i="4"/>
  <c r="BJ46" i="4" s="1"/>
  <c r="BK46" i="4"/>
  <c r="CE43" i="4"/>
  <c r="CF43" i="4" s="1"/>
  <c r="DC40" i="4"/>
  <c r="CZ41" i="4" s="1"/>
  <c r="DD40" i="4"/>
  <c r="CR44" i="4"/>
  <c r="CP44" i="4"/>
  <c r="CW43" i="4"/>
  <c r="CX43" i="4" s="1"/>
  <c r="AP45" i="4"/>
  <c r="AU44" i="4"/>
  <c r="AV44" i="4" s="1"/>
  <c r="BV53" i="4"/>
  <c r="BW53" i="4" s="1"/>
  <c r="BQ54" i="4"/>
  <c r="BO54" i="4"/>
  <c r="BT54" i="4" s="1"/>
  <c r="AS44" i="4"/>
  <c r="O52" i="4" l="1"/>
  <c r="M52" i="4" s="1"/>
  <c r="Q52" i="4" s="1"/>
  <c r="CL43" i="4"/>
  <c r="AJ37" i="4"/>
  <c r="AI37" i="4"/>
  <c r="R51" i="4"/>
  <c r="W42" i="4"/>
  <c r="H8" i="2" a="1"/>
  <c r="H8" i="2" s="1"/>
  <c r="C5" i="8"/>
  <c r="E5" i="8" s="1"/>
  <c r="X42" i="4"/>
  <c r="V42" i="4" s="1"/>
  <c r="AA42" i="4" s="1"/>
  <c r="Z42" i="4"/>
  <c r="AC41" i="4"/>
  <c r="AD41" i="4" s="1"/>
  <c r="CH43" i="4"/>
  <c r="CI43" i="4"/>
  <c r="CG43" i="4" s="1"/>
  <c r="CK43" i="4" s="1"/>
  <c r="CN42" i="4"/>
  <c r="CO42" i="4" s="1"/>
  <c r="DL37" i="4"/>
  <c r="DJ38" i="4" s="1"/>
  <c r="BG47" i="4"/>
  <c r="BH47" i="4"/>
  <c r="BM46" i="4"/>
  <c r="BN46" i="4" s="1"/>
  <c r="BA39" i="4"/>
  <c r="BB39" i="4"/>
  <c r="DA41" i="4"/>
  <c r="DF40" i="4"/>
  <c r="DG40" i="4" s="1"/>
  <c r="CY41" i="4"/>
  <c r="DC41" i="4" s="1"/>
  <c r="CZ42" i="4" s="1"/>
  <c r="CU44" i="4"/>
  <c r="CT44" i="4"/>
  <c r="CE44" i="4"/>
  <c r="CF44" i="4" s="1"/>
  <c r="BZ45" i="4"/>
  <c r="CC44" i="4"/>
  <c r="BS54" i="4"/>
  <c r="AN45" i="4"/>
  <c r="AR45" i="4" s="1"/>
  <c r="W43" i="4" l="1"/>
  <c r="AC42" i="4"/>
  <c r="AD42" i="4" s="1"/>
  <c r="X43" i="4"/>
  <c r="DO37" i="4"/>
  <c r="DP37" i="4" s="1"/>
  <c r="DI38" i="4"/>
  <c r="DH38" i="4" s="1"/>
  <c r="CH44" i="4"/>
  <c r="CG44" i="4" s="1"/>
  <c r="CN43" i="4"/>
  <c r="CO43" i="4" s="1"/>
  <c r="CI44" i="4"/>
  <c r="AG38" i="4"/>
  <c r="AL37" i="4"/>
  <c r="AM37" i="4" s="1"/>
  <c r="AF38" i="4"/>
  <c r="AX40" i="4"/>
  <c r="BD39" i="4"/>
  <c r="BE39" i="4" s="1"/>
  <c r="AY40" i="4"/>
  <c r="BF47" i="4"/>
  <c r="I8" i="2" a="1"/>
  <c r="I8" i="2" s="1"/>
  <c r="DA42" i="4"/>
  <c r="DF41" i="4"/>
  <c r="DG41" i="4" s="1"/>
  <c r="DD41" i="4"/>
  <c r="CY42" i="4" s="1"/>
  <c r="DC42" i="4" s="1"/>
  <c r="CZ43" i="4" s="1"/>
  <c r="CR45" i="4"/>
  <c r="CP45" i="4" s="1"/>
  <c r="CW44" i="4"/>
  <c r="CX44" i="4" s="1"/>
  <c r="BX45" i="4"/>
  <c r="CB45" i="4" s="1"/>
  <c r="BY46" i="4" s="1"/>
  <c r="T52" i="4"/>
  <c r="U52" i="4" s="1"/>
  <c r="O53" i="4"/>
  <c r="R52" i="4"/>
  <c r="AP46" i="4"/>
  <c r="AU45" i="4"/>
  <c r="AV45" i="4" s="1"/>
  <c r="AS45" i="4"/>
  <c r="BV54" i="4"/>
  <c r="BW54" i="4" s="1"/>
  <c r="BQ55" i="4"/>
  <c r="BO55" i="4"/>
  <c r="BT55" i="4" s="1"/>
  <c r="CK44" i="4" l="1"/>
  <c r="CL44" i="4"/>
  <c r="DM38" i="4"/>
  <c r="DL38" i="4"/>
  <c r="V43" i="4"/>
  <c r="AE38" i="4"/>
  <c r="BJ47" i="4"/>
  <c r="BK47" i="4"/>
  <c r="DI39" i="4"/>
  <c r="DJ39" i="4"/>
  <c r="DO38" i="4"/>
  <c r="DP38" i="4" s="1"/>
  <c r="AW40" i="4"/>
  <c r="DD42" i="4"/>
  <c r="DA43" i="4"/>
  <c r="DF42" i="4"/>
  <c r="DG42" i="4" s="1"/>
  <c r="CY43" i="4"/>
  <c r="DC43" i="4" s="1"/>
  <c r="CZ44" i="4" s="1"/>
  <c r="CU45" i="4"/>
  <c r="CT45" i="4"/>
  <c r="BZ46" i="4"/>
  <c r="CE45" i="4"/>
  <c r="CF45" i="4" s="1"/>
  <c r="CC45" i="4"/>
  <c r="M53" i="4"/>
  <c r="BS55" i="4"/>
  <c r="AN46" i="4"/>
  <c r="AR46" i="4" s="1"/>
  <c r="DH39" i="4" l="1"/>
  <c r="CH45" i="4"/>
  <c r="CG45" i="4" s="1"/>
  <c r="CK45" i="4" s="1"/>
  <c r="CI45" i="4"/>
  <c r="CN44" i="4"/>
  <c r="CO44" i="4" s="1"/>
  <c r="AA43" i="4"/>
  <c r="Z43" i="4"/>
  <c r="AI38" i="4"/>
  <c r="AJ38" i="4"/>
  <c r="BA40" i="4"/>
  <c r="BB40" i="4"/>
  <c r="BG48" i="4"/>
  <c r="BF48" i="4" s="1"/>
  <c r="BJ48" i="4" s="1"/>
  <c r="BM47" i="4"/>
  <c r="BN47" i="4" s="1"/>
  <c r="BH48" i="4"/>
  <c r="DF43" i="4"/>
  <c r="DG43" i="4" s="1"/>
  <c r="DA44" i="4"/>
  <c r="DD43" i="4"/>
  <c r="CR46" i="4"/>
  <c r="CP46" i="4"/>
  <c r="CT46" i="4" s="1"/>
  <c r="CW45" i="4"/>
  <c r="CX45" i="4" s="1"/>
  <c r="BX46" i="4"/>
  <c r="R53" i="4"/>
  <c r="Q53" i="4"/>
  <c r="AP47" i="4"/>
  <c r="AU46" i="4"/>
  <c r="AV46" i="4" s="1"/>
  <c r="BQ56" i="4"/>
  <c r="BV55" i="4"/>
  <c r="BW55" i="4" s="1"/>
  <c r="AS46" i="4"/>
  <c r="CH46" i="4" l="1"/>
  <c r="CI46" i="4"/>
  <c r="CN45" i="4"/>
  <c r="CO45" i="4" s="1"/>
  <c r="DM39" i="4"/>
  <c r="DL39" i="4"/>
  <c r="CL45" i="4"/>
  <c r="AG39" i="4"/>
  <c r="AL38" i="4"/>
  <c r="AM38" i="4" s="1"/>
  <c r="AF39" i="4"/>
  <c r="AE39" i="4" s="1"/>
  <c r="AI39" i="4" s="1"/>
  <c r="W44" i="4"/>
  <c r="V44" i="4" s="1"/>
  <c r="AA44" i="4" s="1"/>
  <c r="AC43" i="4"/>
  <c r="AD43" i="4" s="1"/>
  <c r="X44" i="4"/>
  <c r="BG49" i="4"/>
  <c r="BH49" i="4"/>
  <c r="BM48" i="4"/>
  <c r="BN48" i="4" s="1"/>
  <c r="AX41" i="4"/>
  <c r="BD40" i="4"/>
  <c r="BE40" i="4" s="1"/>
  <c r="AY41" i="4"/>
  <c r="BK48" i="4"/>
  <c r="CY44" i="4"/>
  <c r="DC44" i="4" s="1"/>
  <c r="CZ45" i="4" s="1"/>
  <c r="CU46" i="4"/>
  <c r="CC46" i="4"/>
  <c r="CB46" i="4"/>
  <c r="BY47" i="4" s="1"/>
  <c r="AN47" i="4"/>
  <c r="AR47" i="4" s="1"/>
  <c r="AP48" i="4" s="1"/>
  <c r="T53" i="4"/>
  <c r="U53" i="4" s="1"/>
  <c r="O54" i="4"/>
  <c r="M54" i="4" s="1"/>
  <c r="Q54" i="4" s="1"/>
  <c r="BO56" i="4"/>
  <c r="CW46" i="4"/>
  <c r="CX46" i="4" s="1"/>
  <c r="CR47" i="4"/>
  <c r="Z44" i="4" l="1"/>
  <c r="AJ39" i="4"/>
  <c r="DJ40" i="4"/>
  <c r="DO39" i="4"/>
  <c r="DP39" i="4" s="1"/>
  <c r="DI40" i="4"/>
  <c r="DH40" i="4" s="1"/>
  <c r="AF40" i="4"/>
  <c r="AL39" i="4"/>
  <c r="AM39" i="4" s="1"/>
  <c r="AG40" i="4"/>
  <c r="CG46" i="4"/>
  <c r="CK46" i="4" s="1"/>
  <c r="AN48" i="4"/>
  <c r="AR48" i="4" s="1"/>
  <c r="AP49" i="4" s="1"/>
  <c r="AS47" i="4"/>
  <c r="AW41" i="4"/>
  <c r="BF49" i="4"/>
  <c r="BJ49" i="4" s="1"/>
  <c r="AU47" i="4"/>
  <c r="AV47" i="4" s="1"/>
  <c r="DF44" i="4"/>
  <c r="DG44" i="4" s="1"/>
  <c r="DA45" i="4"/>
  <c r="DD44" i="4"/>
  <c r="CP47" i="4"/>
  <c r="BZ47" i="4"/>
  <c r="BX47" i="4"/>
  <c r="CB47" i="4" s="1"/>
  <c r="BY48" i="4" s="1"/>
  <c r="CE46" i="4"/>
  <c r="CF46" i="4" s="1"/>
  <c r="R54" i="4"/>
  <c r="O55" i="4"/>
  <c r="T54" i="4"/>
  <c r="U54" i="4" s="1"/>
  <c r="BT56" i="4"/>
  <c r="BS56" i="4"/>
  <c r="M55" i="4" l="1"/>
  <c r="R55" i="4" s="1"/>
  <c r="W45" i="4"/>
  <c r="AC44" i="4"/>
  <c r="AD44" i="4" s="1"/>
  <c r="X45" i="4"/>
  <c r="DM40" i="4"/>
  <c r="DL40" i="4"/>
  <c r="CH47" i="4"/>
  <c r="CN46" i="4"/>
  <c r="CO46" i="4" s="1"/>
  <c r="CI47" i="4"/>
  <c r="AE40" i="4"/>
  <c r="AI40" i="4" s="1"/>
  <c r="CL46" i="4"/>
  <c r="AN49" i="4"/>
  <c r="AR49" i="4" s="1"/>
  <c r="AU49" i="4" s="1"/>
  <c r="AV49" i="4" s="1"/>
  <c r="CC47" i="4"/>
  <c r="BK49" i="4"/>
  <c r="AS48" i="4"/>
  <c r="BG50" i="4"/>
  <c r="BH50" i="4"/>
  <c r="BM49" i="4"/>
  <c r="BN49" i="4" s="1"/>
  <c r="AU48" i="4"/>
  <c r="AV48" i="4" s="1"/>
  <c r="BA41" i="4"/>
  <c r="BB41" i="4"/>
  <c r="CY45" i="4"/>
  <c r="DC45" i="4" s="1"/>
  <c r="CZ46" i="4" s="1"/>
  <c r="CT47" i="4"/>
  <c r="CU47" i="4"/>
  <c r="BZ48" i="4"/>
  <c r="CE47" i="4"/>
  <c r="CF47" i="4" s="1"/>
  <c r="BQ57" i="4"/>
  <c r="BV56" i="4"/>
  <c r="BW56" i="4" s="1"/>
  <c r="DL41" i="4" l="1"/>
  <c r="DJ42" i="4" s="1"/>
  <c r="AL40" i="4"/>
  <c r="AM40" i="4" s="1"/>
  <c r="AF41" i="4"/>
  <c r="AE41" i="4" s="1"/>
  <c r="AI41" i="4" s="1"/>
  <c r="AG41" i="4"/>
  <c r="AP50" i="4"/>
  <c r="CG47" i="4"/>
  <c r="CK47" i="4" s="1"/>
  <c r="CL47" i="4"/>
  <c r="AJ40" i="4"/>
  <c r="BF50" i="4"/>
  <c r="BJ50" i="4" s="1"/>
  <c r="BM50" i="4" s="1"/>
  <c r="BN50" i="4" s="1"/>
  <c r="DI41" i="4"/>
  <c r="DH41" i="4" s="1"/>
  <c r="DM41" i="4" s="1"/>
  <c r="DJ41" i="4"/>
  <c r="DO40" i="4"/>
  <c r="DP40" i="4" s="1"/>
  <c r="Q55" i="4"/>
  <c r="V45" i="4"/>
  <c r="AX42" i="4"/>
  <c r="AW42" i="4" s="1"/>
  <c r="BA42" i="4" s="1"/>
  <c r="AY42" i="4"/>
  <c r="BD41" i="4"/>
  <c r="BE41" i="4" s="1"/>
  <c r="AS49" i="4"/>
  <c r="AN50" i="4" s="1"/>
  <c r="AR50" i="4" s="1"/>
  <c r="AU50" i="4" s="1"/>
  <c r="AV50" i="4" s="1"/>
  <c r="DA46" i="4"/>
  <c r="DF45" i="4"/>
  <c r="DG45" i="4" s="1"/>
  <c r="DD45" i="4"/>
  <c r="CW47" i="4"/>
  <c r="CX47" i="4" s="1"/>
  <c r="CR48" i="4"/>
  <c r="BX48" i="4"/>
  <c r="BO57" i="4"/>
  <c r="BT57" i="4" s="1"/>
  <c r="DI42" i="4" l="1"/>
  <c r="DH42" i="4" s="1"/>
  <c r="AJ41" i="4"/>
  <c r="CH48" i="4"/>
  <c r="CG48" i="4" s="1"/>
  <c r="CK48" i="4" s="1"/>
  <c r="CI48" i="4"/>
  <c r="CN47" i="4"/>
  <c r="CO47" i="4" s="1"/>
  <c r="BB42" i="4"/>
  <c r="AA45" i="4"/>
  <c r="Z45" i="4"/>
  <c r="DO41" i="4"/>
  <c r="DP41" i="4" s="1"/>
  <c r="BG51" i="4"/>
  <c r="BF51" i="4" s="1"/>
  <c r="BJ51" i="4" s="1"/>
  <c r="O56" i="4"/>
  <c r="M56" i="4" s="1"/>
  <c r="R56" i="4" s="1"/>
  <c r="T55" i="4"/>
  <c r="U55" i="4" s="1"/>
  <c r="BK50" i="4"/>
  <c r="BK51" i="4" s="1"/>
  <c r="BH51" i="4"/>
  <c r="CL48" i="4"/>
  <c r="AF42" i="4"/>
  <c r="AE42" i="4" s="1"/>
  <c r="AI42" i="4" s="1"/>
  <c r="AL41" i="4"/>
  <c r="AM41" i="4" s="1"/>
  <c r="AG42" i="4"/>
  <c r="BS57" i="4"/>
  <c r="BV57" i="4" s="1"/>
  <c r="BW57" i="4" s="1"/>
  <c r="AX43" i="4"/>
  <c r="AW43" i="4" s="1"/>
  <c r="BA43" i="4" s="1"/>
  <c r="BD42" i="4"/>
  <c r="BE42" i="4" s="1"/>
  <c r="AY43" i="4"/>
  <c r="CY46" i="4"/>
  <c r="DC46" i="4" s="1"/>
  <c r="CZ47" i="4" s="1"/>
  <c r="CP48" i="4"/>
  <c r="CB48" i="4"/>
  <c r="BY49" i="4" s="1"/>
  <c r="CC48" i="4"/>
  <c r="AP51" i="4"/>
  <c r="AS50" i="4"/>
  <c r="BQ58" i="4"/>
  <c r="BO58" i="4"/>
  <c r="BT58" i="4" s="1"/>
  <c r="W46" i="4" l="1"/>
  <c r="X46" i="4"/>
  <c r="V46" i="4" s="1"/>
  <c r="AA46" i="4" s="1"/>
  <c r="AC45" i="4"/>
  <c r="AD45" i="4" s="1"/>
  <c r="BB43" i="4"/>
  <c r="CH49" i="4"/>
  <c r="CI49" i="4"/>
  <c r="CN48" i="4"/>
  <c r="CO48" i="4" s="1"/>
  <c r="AF43" i="4"/>
  <c r="AL42" i="4"/>
  <c r="AM42" i="4" s="1"/>
  <c r="AG43" i="4"/>
  <c r="AJ42" i="4"/>
  <c r="Q56" i="4"/>
  <c r="DM42" i="4"/>
  <c r="DL42" i="4"/>
  <c r="AN51" i="4"/>
  <c r="AR51" i="4" s="1"/>
  <c r="AP52" i="4" s="1"/>
  <c r="AX44" i="4"/>
  <c r="AW44" i="4" s="1"/>
  <c r="BB44" i="4" s="1"/>
  <c r="AY44" i="4"/>
  <c r="BD43" i="4"/>
  <c r="BE43" i="4" s="1"/>
  <c r="BA44" i="4"/>
  <c r="BG52" i="4"/>
  <c r="BH52" i="4"/>
  <c r="BM51" i="4"/>
  <c r="BN51" i="4" s="1"/>
  <c r="DF46" i="4"/>
  <c r="DG46" i="4" s="1"/>
  <c r="DA47" i="4"/>
  <c r="DD46" i="4"/>
  <c r="CU48" i="4"/>
  <c r="CT48" i="4"/>
  <c r="CE48" i="4"/>
  <c r="CF48" i="4" s="1"/>
  <c r="BZ49" i="4"/>
  <c r="BX49" i="4"/>
  <c r="CB49" i="4" s="1"/>
  <c r="BY50" i="4" s="1"/>
  <c r="AU51" i="4"/>
  <c r="AV51" i="4" s="1"/>
  <c r="AS51" i="4"/>
  <c r="AN52" i="4" s="1"/>
  <c r="AR52" i="4" s="1"/>
  <c r="AU52" i="4" s="1"/>
  <c r="AV52" i="4" s="1"/>
  <c r="BS58" i="4"/>
  <c r="Q57" i="4" l="1"/>
  <c r="BF52" i="4"/>
  <c r="BK52" i="4" s="1"/>
  <c r="O57" i="4"/>
  <c r="M57" i="4" s="1"/>
  <c r="R57" i="4" s="1"/>
  <c r="T56" i="4"/>
  <c r="U56" i="4" s="1"/>
  <c r="AE43" i="4"/>
  <c r="AI43" i="4" s="1"/>
  <c r="CG49" i="4"/>
  <c r="Z46" i="4"/>
  <c r="AX45" i="4"/>
  <c r="AY45" i="4"/>
  <c r="BD44" i="4"/>
  <c r="BE44" i="4" s="1"/>
  <c r="DI43" i="4"/>
  <c r="DO42" i="4"/>
  <c r="DP42" i="4" s="1"/>
  <c r="DJ43" i="4"/>
  <c r="BJ52" i="4"/>
  <c r="CY47" i="4"/>
  <c r="DC47" i="4" s="1"/>
  <c r="CZ48" i="4" s="1"/>
  <c r="CR49" i="4"/>
  <c r="CW48" i="4"/>
  <c r="CX48" i="4" s="1"/>
  <c r="CP49" i="4"/>
  <c r="CU49" i="4" s="1"/>
  <c r="CE49" i="4"/>
  <c r="CF49" i="4" s="1"/>
  <c r="BZ50" i="4"/>
  <c r="CC49" i="4"/>
  <c r="AP53" i="4"/>
  <c r="AS52" i="4"/>
  <c r="BQ59" i="4"/>
  <c r="BV58" i="4"/>
  <c r="BW58" i="4" s="1"/>
  <c r="BO59" i="4"/>
  <c r="BT59" i="4" s="1"/>
  <c r="W47" i="4" l="1"/>
  <c r="V47" i="4" s="1"/>
  <c r="AA47" i="4" s="1"/>
  <c r="AC46" i="4"/>
  <c r="AD46" i="4" s="1"/>
  <c r="X47" i="4"/>
  <c r="T57" i="4"/>
  <c r="U57" i="4" s="1"/>
  <c r="O58" i="4"/>
  <c r="M58" i="4" s="1"/>
  <c r="R58" i="4" s="1"/>
  <c r="CK49" i="4"/>
  <c r="CL49" i="4"/>
  <c r="AF44" i="4"/>
  <c r="AL43" i="4"/>
  <c r="AM43" i="4" s="1"/>
  <c r="AG44" i="4"/>
  <c r="AJ43" i="4"/>
  <c r="DH43" i="4"/>
  <c r="BG53" i="4"/>
  <c r="BM52" i="4"/>
  <c r="BN52" i="4" s="1"/>
  <c r="BH53" i="4"/>
  <c r="BF53" i="4" s="1"/>
  <c r="BK53" i="4" s="1"/>
  <c r="AW45" i="4"/>
  <c r="DA48" i="4"/>
  <c r="DF47" i="4"/>
  <c r="DG47" i="4" s="1"/>
  <c r="DD47" i="4"/>
  <c r="CT49" i="4"/>
  <c r="BX50" i="4"/>
  <c r="CB50" i="4" s="1"/>
  <c r="BY51" i="4" s="1"/>
  <c r="AN53" i="4"/>
  <c r="AR53" i="4" s="1"/>
  <c r="AU53" i="4"/>
  <c r="AV53" i="4" s="1"/>
  <c r="AP54" i="4"/>
  <c r="AS53" i="4"/>
  <c r="BS59" i="4"/>
  <c r="DL43" i="4" l="1"/>
  <c r="DM43" i="4"/>
  <c r="AE44" i="4"/>
  <c r="AI44" i="4" s="1"/>
  <c r="AN54" i="4"/>
  <c r="AR54" i="4" s="1"/>
  <c r="AP55" i="4" s="1"/>
  <c r="Q58" i="4"/>
  <c r="Z47" i="4"/>
  <c r="CH50" i="4"/>
  <c r="CI50" i="4"/>
  <c r="CN49" i="4"/>
  <c r="CO49" i="4" s="1"/>
  <c r="BJ53" i="4"/>
  <c r="BB45" i="4"/>
  <c r="BA45" i="4"/>
  <c r="CY48" i="4"/>
  <c r="CW49" i="4"/>
  <c r="CX49" i="4" s="1"/>
  <c r="CR50" i="4"/>
  <c r="CP50" i="4"/>
  <c r="CU50" i="4" s="1"/>
  <c r="BZ51" i="4"/>
  <c r="CE50" i="4"/>
  <c r="CF50" i="4" s="1"/>
  <c r="CC50" i="4"/>
  <c r="BQ60" i="4"/>
  <c r="BV59" i="4"/>
  <c r="BW59" i="4" s="1"/>
  <c r="BO60" i="4"/>
  <c r="BT60" i="4" s="1"/>
  <c r="CG50" i="4" l="1"/>
  <c r="T58" i="4"/>
  <c r="U58" i="4" s="1"/>
  <c r="O59" i="4"/>
  <c r="M59" i="4" s="1"/>
  <c r="R59" i="4" s="1"/>
  <c r="Q59" i="4"/>
  <c r="W48" i="4"/>
  <c r="AC47" i="4"/>
  <c r="AD47" i="4" s="1"/>
  <c r="X48" i="4"/>
  <c r="AL44" i="4"/>
  <c r="AM44" i="4" s="1"/>
  <c r="AG45" i="4"/>
  <c r="AF45" i="4"/>
  <c r="AE45" i="4" s="1"/>
  <c r="AI45" i="4" s="1"/>
  <c r="AF46" i="4" s="1"/>
  <c r="BX51" i="4"/>
  <c r="CB51" i="4" s="1"/>
  <c r="BY52" i="4" s="1"/>
  <c r="DJ44" i="4"/>
  <c r="DI44" i="4"/>
  <c r="DO43" i="4"/>
  <c r="DP43" i="4" s="1"/>
  <c r="AS54" i="4"/>
  <c r="AJ44" i="4"/>
  <c r="AU54" i="4"/>
  <c r="AV54" i="4" s="1"/>
  <c r="BG54" i="4"/>
  <c r="BF54" i="4" s="1"/>
  <c r="BK54" i="4" s="1"/>
  <c r="BH54" i="4"/>
  <c r="BM53" i="4"/>
  <c r="BN53" i="4" s="1"/>
  <c r="AX46" i="4"/>
  <c r="BD45" i="4"/>
  <c r="BE45" i="4" s="1"/>
  <c r="AY46" i="4"/>
  <c r="DD48" i="4"/>
  <c r="DC48" i="4"/>
  <c r="CZ49" i="4" s="1"/>
  <c r="CT50" i="4"/>
  <c r="AN55" i="4"/>
  <c r="AR55" i="4" s="1"/>
  <c r="BS60" i="4"/>
  <c r="DH44" i="4" l="1"/>
  <c r="AL45" i="4"/>
  <c r="AM45" i="4" s="1"/>
  <c r="BZ52" i="4"/>
  <c r="BX52" i="4" s="1"/>
  <c r="CB52" i="4" s="1"/>
  <c r="V48" i="4"/>
  <c r="AG46" i="4"/>
  <c r="AE46" i="4" s="1"/>
  <c r="CE51" i="4"/>
  <c r="CF51" i="4" s="1"/>
  <c r="AJ45" i="4"/>
  <c r="AW46" i="4"/>
  <c r="BB46" i="4" s="1"/>
  <c r="CC51" i="4"/>
  <c r="CC52" i="4" s="1"/>
  <c r="T59" i="4"/>
  <c r="U59" i="4" s="1"/>
  <c r="O60" i="4"/>
  <c r="M60" i="4" s="1"/>
  <c r="R60" i="4" s="1"/>
  <c r="Q60" i="4"/>
  <c r="CK50" i="4"/>
  <c r="CL50" i="4"/>
  <c r="BJ54" i="4"/>
  <c r="DA49" i="4"/>
  <c r="CY49" i="4" s="1"/>
  <c r="DD49" i="4" s="1"/>
  <c r="DF48" i="4"/>
  <c r="DG48" i="4" s="1"/>
  <c r="CR51" i="4"/>
  <c r="CP51" i="4"/>
  <c r="CU51" i="4" s="1"/>
  <c r="CW50" i="4"/>
  <c r="CX50" i="4" s="1"/>
  <c r="AP56" i="4"/>
  <c r="AU55" i="4"/>
  <c r="AV55" i="4" s="1"/>
  <c r="AS55" i="4"/>
  <c r="BV60" i="4"/>
  <c r="BW60" i="4" s="1"/>
  <c r="BQ61" i="4"/>
  <c r="BO61" i="4"/>
  <c r="BT61" i="4" s="1"/>
  <c r="BY53" i="4" l="1"/>
  <c r="CE52" i="4"/>
  <c r="CF52" i="4" s="1"/>
  <c r="BZ53" i="4"/>
  <c r="BX53" i="4" s="1"/>
  <c r="CB53" i="4" s="1"/>
  <c r="BY54" i="4" s="1"/>
  <c r="CH51" i="4"/>
  <c r="CG51" i="4" s="1"/>
  <c r="CL51" i="4" s="1"/>
  <c r="CN50" i="4"/>
  <c r="CO50" i="4" s="1"/>
  <c r="CI51" i="4"/>
  <c r="BA46" i="4"/>
  <c r="DL44" i="4"/>
  <c r="DM44" i="4"/>
  <c r="O61" i="4"/>
  <c r="M61" i="4" s="1"/>
  <c r="R61" i="4" s="1"/>
  <c r="T60" i="4"/>
  <c r="U60" i="4" s="1"/>
  <c r="AA48" i="4"/>
  <c r="Z48" i="4"/>
  <c r="BG55" i="4"/>
  <c r="BM54" i="4"/>
  <c r="BN54" i="4" s="1"/>
  <c r="BH55" i="4"/>
  <c r="AX47" i="4"/>
  <c r="BD46" i="4"/>
  <c r="BE46" i="4" s="1"/>
  <c r="AY47" i="4"/>
  <c r="AI46" i="4"/>
  <c r="AJ46" i="4"/>
  <c r="DC49" i="4"/>
  <c r="CZ50" i="4" s="1"/>
  <c r="CT51" i="4"/>
  <c r="AN56" i="4"/>
  <c r="AR56" i="4" s="1"/>
  <c r="BS61" i="4"/>
  <c r="DI45" i="4" l="1"/>
  <c r="DH45" i="4" s="1"/>
  <c r="DL45" i="4" s="1"/>
  <c r="DJ45" i="4"/>
  <c r="DO44" i="4"/>
  <c r="DP44" i="4" s="1"/>
  <c r="CK51" i="4"/>
  <c r="BF55" i="4"/>
  <c r="BK55" i="4" s="1"/>
  <c r="W49" i="4"/>
  <c r="AC48" i="4"/>
  <c r="AD48" i="4" s="1"/>
  <c r="X49" i="4"/>
  <c r="V49" i="4" s="1"/>
  <c r="Z49" i="4" s="1"/>
  <c r="Q61" i="4"/>
  <c r="AF47" i="4"/>
  <c r="AL46" i="4"/>
  <c r="AM46" i="4" s="1"/>
  <c r="AG47" i="4"/>
  <c r="AW47" i="4"/>
  <c r="DA50" i="4"/>
  <c r="CY50" i="4"/>
  <c r="DD50" i="4" s="1"/>
  <c r="DF49" i="4"/>
  <c r="DG49" i="4" s="1"/>
  <c r="CW51" i="4"/>
  <c r="CX51" i="4" s="1"/>
  <c r="CR52" i="4"/>
  <c r="CP52" i="4" s="1"/>
  <c r="CU52" i="4" s="1"/>
  <c r="CE53" i="4"/>
  <c r="CF53" i="4" s="1"/>
  <c r="BZ54" i="4"/>
  <c r="CC53" i="4"/>
  <c r="AU56" i="4"/>
  <c r="AV56" i="4" s="1"/>
  <c r="AP57" i="4"/>
  <c r="AS56" i="4"/>
  <c r="BV61" i="4"/>
  <c r="BW61" i="4" s="1"/>
  <c r="BQ62" i="4"/>
  <c r="BO62" i="4"/>
  <c r="BT62" i="4" s="1"/>
  <c r="W50" i="4" l="1"/>
  <c r="V50" i="4" s="1"/>
  <c r="Z50" i="4" s="1"/>
  <c r="AC49" i="4"/>
  <c r="AD49" i="4" s="1"/>
  <c r="X50" i="4"/>
  <c r="DI46" i="4"/>
  <c r="DJ46" i="4"/>
  <c r="DO45" i="4"/>
  <c r="DP45" i="4" s="1"/>
  <c r="T61" i="4"/>
  <c r="U61" i="4" s="1"/>
  <c r="O62" i="4"/>
  <c r="M62" i="4" s="1"/>
  <c r="DM45" i="4"/>
  <c r="AA49" i="4"/>
  <c r="CH52" i="4"/>
  <c r="CG52" i="4" s="1"/>
  <c r="CL52" i="4" s="1"/>
  <c r="CI52" i="4"/>
  <c r="CN51" i="4"/>
  <c r="CO51" i="4" s="1"/>
  <c r="BJ55" i="4"/>
  <c r="BG56" i="4"/>
  <c r="BF56" i="4" s="1"/>
  <c r="BK56" i="4" s="1"/>
  <c r="BM55" i="4"/>
  <c r="BN55" i="4" s="1"/>
  <c r="BH56" i="4"/>
  <c r="BB47" i="4"/>
  <c r="BA47" i="4"/>
  <c r="AE47" i="4"/>
  <c r="DC50" i="4"/>
  <c r="CZ51" i="4" s="1"/>
  <c r="CT52" i="4"/>
  <c r="BX54" i="4"/>
  <c r="CB54" i="4" s="1"/>
  <c r="BY55" i="4" s="1"/>
  <c r="AN57" i="4"/>
  <c r="AR57" i="4" s="1"/>
  <c r="BS62" i="4"/>
  <c r="W51" i="4" l="1"/>
  <c r="X51" i="4"/>
  <c r="AC50" i="4"/>
  <c r="AD50" i="4" s="1"/>
  <c r="AA50" i="4"/>
  <c r="R62" i="4"/>
  <c r="Q62" i="4"/>
  <c r="DH46" i="4"/>
  <c r="CK52" i="4"/>
  <c r="DF50" i="4"/>
  <c r="DG50" i="4" s="1"/>
  <c r="DA51" i="4"/>
  <c r="CY51" i="4" s="1"/>
  <c r="AX48" i="4"/>
  <c r="BD47" i="4"/>
  <c r="BE47" i="4" s="1"/>
  <c r="AY48" i="4"/>
  <c r="BJ56" i="4"/>
  <c r="AI47" i="4"/>
  <c r="AJ47" i="4"/>
  <c r="CW52" i="4"/>
  <c r="CX52" i="4" s="1"/>
  <c r="CR53" i="4"/>
  <c r="CP53" i="4" s="1"/>
  <c r="CE54" i="4"/>
  <c r="CF54" i="4" s="1"/>
  <c r="BZ55" i="4"/>
  <c r="CC54" i="4"/>
  <c r="AP58" i="4"/>
  <c r="AU57" i="4"/>
  <c r="AV57" i="4" s="1"/>
  <c r="AS57" i="4"/>
  <c r="BQ63" i="4"/>
  <c r="BV62" i="4"/>
  <c r="BW62" i="4" s="1"/>
  <c r="BO63" i="4"/>
  <c r="BT63" i="4" s="1"/>
  <c r="DD51" i="4" l="1"/>
  <c r="DC51" i="4"/>
  <c r="CZ52" i="4" s="1"/>
  <c r="CH53" i="4"/>
  <c r="CN52" i="4"/>
  <c r="CO52" i="4" s="1"/>
  <c r="CI53" i="4"/>
  <c r="CG53" i="4" s="1"/>
  <c r="CL53" i="4" s="1"/>
  <c r="BX55" i="4"/>
  <c r="CB55" i="4" s="1"/>
  <c r="BY56" i="4" s="1"/>
  <c r="DM46" i="4"/>
  <c r="DL46" i="4"/>
  <c r="O63" i="4"/>
  <c r="M63" i="4" s="1"/>
  <c r="T62" i="4"/>
  <c r="U62" i="4" s="1"/>
  <c r="V51" i="4"/>
  <c r="Z51" i="4" s="1"/>
  <c r="CU53" i="4"/>
  <c r="CP54" i="4" s="1"/>
  <c r="CT53" i="4"/>
  <c r="AF48" i="4"/>
  <c r="AL47" i="4"/>
  <c r="AM47" i="4" s="1"/>
  <c r="AG48" i="4"/>
  <c r="AW48" i="4"/>
  <c r="BG57" i="4"/>
  <c r="BH57" i="4"/>
  <c r="BM56" i="4"/>
  <c r="BN56" i="4" s="1"/>
  <c r="DF51" i="4"/>
  <c r="DG51" i="4" s="1"/>
  <c r="DA52" i="4"/>
  <c r="CY52" i="4"/>
  <c r="DD52" i="4" s="1"/>
  <c r="CR54" i="4"/>
  <c r="CW53" i="4"/>
  <c r="CX53" i="4" s="1"/>
  <c r="CE55" i="4"/>
  <c r="CF55" i="4" s="1"/>
  <c r="AN58" i="4"/>
  <c r="BS63" i="4"/>
  <c r="W52" i="4" l="1"/>
  <c r="X52" i="4"/>
  <c r="AC51" i="4"/>
  <c r="AD51" i="4" s="1"/>
  <c r="R63" i="4"/>
  <c r="Q63" i="4"/>
  <c r="AA51" i="4"/>
  <c r="DI47" i="4"/>
  <c r="DH47" i="4" s="1"/>
  <c r="DM47" i="4" s="1"/>
  <c r="DJ47" i="4"/>
  <c r="DO46" i="4"/>
  <c r="DP46" i="4" s="1"/>
  <c r="DL47" i="4"/>
  <c r="CK53" i="4"/>
  <c r="CC55" i="4"/>
  <c r="CC56" i="4" s="1"/>
  <c r="BZ56" i="4"/>
  <c r="BX56" i="4" s="1"/>
  <c r="CB56" i="4" s="1"/>
  <c r="BY57" i="4" s="1"/>
  <c r="AE48" i="4"/>
  <c r="AI48" i="4" s="1"/>
  <c r="AF49" i="4"/>
  <c r="AL48" i="4"/>
  <c r="AM48" i="4" s="1"/>
  <c r="AG49" i="4"/>
  <c r="BF57" i="4"/>
  <c r="AJ48" i="4"/>
  <c r="BB48" i="4"/>
  <c r="BA48" i="4"/>
  <c r="DC52" i="4"/>
  <c r="CZ53" i="4" s="1"/>
  <c r="CU54" i="4"/>
  <c r="CT54" i="4"/>
  <c r="AR58" i="4"/>
  <c r="AS58" i="4"/>
  <c r="BV63" i="4"/>
  <c r="BW63" i="4" s="1"/>
  <c r="BQ64" i="4"/>
  <c r="BO64" i="4"/>
  <c r="BT64" i="4" s="1"/>
  <c r="CH54" i="4" l="1"/>
  <c r="CI54" i="4"/>
  <c r="CN53" i="4"/>
  <c r="CO53" i="4" s="1"/>
  <c r="AE49" i="4"/>
  <c r="AI49" i="4" s="1"/>
  <c r="AF50" i="4" s="1"/>
  <c r="DI48" i="4"/>
  <c r="DH48" i="4" s="1"/>
  <c r="DM48" i="4" s="1"/>
  <c r="DO47" i="4"/>
  <c r="DP47" i="4" s="1"/>
  <c r="DJ48" i="4"/>
  <c r="V52" i="4"/>
  <c r="Z52" i="4" s="1"/>
  <c r="AA52" i="4"/>
  <c r="T63" i="4"/>
  <c r="U63" i="4" s="1"/>
  <c r="O64" i="4"/>
  <c r="M64" i="4" s="1"/>
  <c r="BZ57" i="4"/>
  <c r="BX57" i="4" s="1"/>
  <c r="CB57" i="4" s="1"/>
  <c r="BY58" i="4" s="1"/>
  <c r="CE56" i="4"/>
  <c r="CF56" i="4" s="1"/>
  <c r="AX49" i="4"/>
  <c r="AY49" i="4"/>
  <c r="BD48" i="4"/>
  <c r="BE48" i="4" s="1"/>
  <c r="AJ49" i="4"/>
  <c r="BK57" i="4"/>
  <c r="BJ57" i="4"/>
  <c r="DA53" i="4"/>
  <c r="CY53" i="4" s="1"/>
  <c r="DF52" i="4"/>
  <c r="DG52" i="4" s="1"/>
  <c r="CW54" i="4"/>
  <c r="CX54" i="4" s="1"/>
  <c r="CR55" i="4"/>
  <c r="CP55" i="4" s="1"/>
  <c r="AP59" i="4"/>
  <c r="AN59" i="4" s="1"/>
  <c r="AU58" i="4"/>
  <c r="AV58" i="4" s="1"/>
  <c r="BS64" i="4"/>
  <c r="R64" i="4" l="1"/>
  <c r="Q64" i="4"/>
  <c r="W53" i="4"/>
  <c r="AC52" i="4"/>
  <c r="AD52" i="4" s="1"/>
  <c r="X53" i="4"/>
  <c r="DL48" i="4"/>
  <c r="AG50" i="4"/>
  <c r="AE50" i="4" s="1"/>
  <c r="AL49" i="4"/>
  <c r="AM49" i="4" s="1"/>
  <c r="CG54" i="4"/>
  <c r="AW49" i="4"/>
  <c r="BG58" i="4"/>
  <c r="BM57" i="4"/>
  <c r="BN57" i="4" s="1"/>
  <c r="BH58" i="4"/>
  <c r="DC53" i="4"/>
  <c r="CZ54" i="4" s="1"/>
  <c r="DD53" i="4"/>
  <c r="CU55" i="4"/>
  <c r="CT55" i="4"/>
  <c r="CE57" i="4"/>
  <c r="CF57" i="4" s="1"/>
  <c r="BZ58" i="4"/>
  <c r="CC57" i="4"/>
  <c r="AR59" i="4"/>
  <c r="AS59" i="4"/>
  <c r="BV64" i="4"/>
  <c r="BW64" i="4" s="1"/>
  <c r="BQ65" i="4"/>
  <c r="BO65" i="4"/>
  <c r="BT65" i="4" s="1"/>
  <c r="AJ50" i="4" l="1"/>
  <c r="AI50" i="4"/>
  <c r="AL50" i="4" s="1"/>
  <c r="AM50" i="4" s="1"/>
  <c r="CL54" i="4"/>
  <c r="CK54" i="4"/>
  <c r="DJ49" i="4"/>
  <c r="DO48" i="4"/>
  <c r="DP48" i="4" s="1"/>
  <c r="DI49" i="4"/>
  <c r="DH49" i="4" s="1"/>
  <c r="DM49" i="4" s="1"/>
  <c r="V53" i="4"/>
  <c r="T64" i="4"/>
  <c r="U64" i="4" s="1"/>
  <c r="O65" i="4"/>
  <c r="M65" i="4" s="1"/>
  <c r="BF58" i="4"/>
  <c r="BK58" i="4" s="1"/>
  <c r="AF51" i="4"/>
  <c r="AG51" i="4"/>
  <c r="BB49" i="4"/>
  <c r="BA49" i="4"/>
  <c r="BX58" i="4"/>
  <c r="CB58" i="4" s="1"/>
  <c r="BY59" i="4" s="1"/>
  <c r="I9" i="2" a="1"/>
  <c r="I9" i="2" s="1"/>
  <c r="DF53" i="4"/>
  <c r="DG53" i="4" s="1"/>
  <c r="DA54" i="4"/>
  <c r="CW55" i="4"/>
  <c r="CX55" i="4" s="1"/>
  <c r="CR56" i="4"/>
  <c r="CP56" i="4" s="1"/>
  <c r="CT56" i="4" s="1"/>
  <c r="AP60" i="4"/>
  <c r="AN60" i="4" s="1"/>
  <c r="AU59" i="4"/>
  <c r="AV59" i="4" s="1"/>
  <c r="BS65" i="4"/>
  <c r="R65" i="4" l="1"/>
  <c r="Q65" i="4"/>
  <c r="DL49" i="4"/>
  <c r="BJ58" i="4"/>
  <c r="Z53" i="4"/>
  <c r="AA53" i="4"/>
  <c r="CH55" i="4"/>
  <c r="CI55" i="4"/>
  <c r="CN54" i="4"/>
  <c r="CO54" i="4" s="1"/>
  <c r="CC58" i="4"/>
  <c r="AX50" i="4"/>
  <c r="BD49" i="4"/>
  <c r="BE49" i="4" s="1"/>
  <c r="AY50" i="4"/>
  <c r="CE58" i="4"/>
  <c r="CF58" i="4" s="1"/>
  <c r="BZ59" i="4"/>
  <c r="BG59" i="4"/>
  <c r="BH59" i="4"/>
  <c r="BM58" i="4"/>
  <c r="BN58" i="4" s="1"/>
  <c r="AE51" i="4"/>
  <c r="CY54" i="4"/>
  <c r="CU56" i="4"/>
  <c r="CP57" i="4" s="1"/>
  <c r="CT57" i="4" s="1"/>
  <c r="AR60" i="4"/>
  <c r="AS60" i="4"/>
  <c r="BV65" i="4"/>
  <c r="BW65" i="4" s="1"/>
  <c r="BQ66" i="4"/>
  <c r="BO66" i="4"/>
  <c r="BT66" i="4" s="1"/>
  <c r="CR57" i="4"/>
  <c r="CW56" i="4"/>
  <c r="CX56" i="4" s="1"/>
  <c r="T65" i="4" l="1"/>
  <c r="U65" i="4" s="1"/>
  <c r="O66" i="4"/>
  <c r="M66" i="4" s="1"/>
  <c r="AW50" i="4"/>
  <c r="BB50" i="4" s="1"/>
  <c r="CG55" i="4"/>
  <c r="X54" i="4"/>
  <c r="W54" i="4"/>
  <c r="AC53" i="4"/>
  <c r="AD53" i="4" s="1"/>
  <c r="H9" i="2" a="1"/>
  <c r="H9" i="2" s="1"/>
  <c r="BX59" i="4"/>
  <c r="CB59" i="4" s="1"/>
  <c r="DI50" i="4"/>
  <c r="DO49" i="4"/>
  <c r="DP49" i="4" s="1"/>
  <c r="DJ50" i="4"/>
  <c r="BA50" i="4"/>
  <c r="AJ51" i="4"/>
  <c r="AI51" i="4"/>
  <c r="BF59" i="4"/>
  <c r="DC54" i="4"/>
  <c r="CZ55" i="4" s="1"/>
  <c r="DD54" i="4"/>
  <c r="AP61" i="4"/>
  <c r="AN61" i="4" s="1"/>
  <c r="AU60" i="4"/>
  <c r="AV60" i="4" s="1"/>
  <c r="CW57" i="4"/>
  <c r="CX57" i="4" s="1"/>
  <c r="CR58" i="4"/>
  <c r="BS66" i="4"/>
  <c r="CU57" i="4"/>
  <c r="CP58" i="4" s="1"/>
  <c r="CT58" i="4" s="1"/>
  <c r="DH50" i="4" l="1"/>
  <c r="V54" i="4"/>
  <c r="CL55" i="4"/>
  <c r="CK55" i="4"/>
  <c r="CC59" i="4"/>
  <c r="R66" i="4"/>
  <c r="Q66" i="4"/>
  <c r="BY60" i="4"/>
  <c r="CE59" i="4"/>
  <c r="CF59" i="4" s="1"/>
  <c r="BZ60" i="4"/>
  <c r="BJ59" i="4"/>
  <c r="BK59" i="4"/>
  <c r="AX51" i="4"/>
  <c r="AY51" i="4"/>
  <c r="BD50" i="4"/>
  <c r="BE50" i="4" s="1"/>
  <c r="AF52" i="4"/>
  <c r="AL51" i="4"/>
  <c r="AM51" i="4" s="1"/>
  <c r="AG52" i="4"/>
  <c r="DA55" i="4"/>
  <c r="DF54" i="4"/>
  <c r="DG54" i="4" s="1"/>
  <c r="CY55" i="4"/>
  <c r="DC55" i="4" s="1"/>
  <c r="CZ56" i="4" s="1"/>
  <c r="CU58" i="4"/>
  <c r="CP59" i="4" s="1"/>
  <c r="CT59" i="4" s="1"/>
  <c r="AR61" i="4"/>
  <c r="AS61" i="4"/>
  <c r="CR59" i="4"/>
  <c r="CW58" i="4"/>
  <c r="CX58" i="4" s="1"/>
  <c r="BV66" i="4"/>
  <c r="BW66" i="4" s="1"/>
  <c r="BQ67" i="4"/>
  <c r="BO67" i="4"/>
  <c r="BT67" i="4" s="1"/>
  <c r="BX60" i="4" l="1"/>
  <c r="CC60" i="4" s="1"/>
  <c r="O67" i="4"/>
  <c r="M67" i="4" s="1"/>
  <c r="R67" i="4" s="1"/>
  <c r="T66" i="4"/>
  <c r="U66" i="4" s="1"/>
  <c r="Q67" i="4"/>
  <c r="AE52" i="4"/>
  <c r="AI52" i="4" s="1"/>
  <c r="AF53" i="4" s="1"/>
  <c r="CH56" i="4"/>
  <c r="CI56" i="4"/>
  <c r="CN55" i="4"/>
  <c r="CO55" i="4" s="1"/>
  <c r="AW51" i="4"/>
  <c r="AA54" i="4"/>
  <c r="Z54" i="4"/>
  <c r="DM50" i="4"/>
  <c r="DL50" i="4"/>
  <c r="CB60" i="4"/>
  <c r="BY61" i="4" s="1"/>
  <c r="BG60" i="4"/>
  <c r="BH60" i="4"/>
  <c r="BM59" i="4"/>
  <c r="BN59" i="4" s="1"/>
  <c r="AJ52" i="4"/>
  <c r="DF55" i="4"/>
  <c r="DG55" i="4" s="1"/>
  <c r="DA56" i="4"/>
  <c r="DD55" i="4"/>
  <c r="CU59" i="4"/>
  <c r="BZ61" i="4"/>
  <c r="BX61" i="4"/>
  <c r="CC61" i="4" s="1"/>
  <c r="AP62" i="4"/>
  <c r="AN62" i="4" s="1"/>
  <c r="AR62" i="4" s="1"/>
  <c r="AU61" i="4"/>
  <c r="AV61" i="4" s="1"/>
  <c r="CR60" i="4"/>
  <c r="CW59" i="4"/>
  <c r="CX59" i="4" s="1"/>
  <c r="CP60" i="4"/>
  <c r="CT60" i="4" s="1"/>
  <c r="BS67" i="4"/>
  <c r="DO50" i="4" l="1"/>
  <c r="DP50" i="4" s="1"/>
  <c r="DJ51" i="4"/>
  <c r="DI51" i="4"/>
  <c r="DH51" i="4" s="1"/>
  <c r="DL51" i="4"/>
  <c r="DM51" i="4"/>
  <c r="CG56" i="4"/>
  <c r="T67" i="4"/>
  <c r="U67" i="4" s="1"/>
  <c r="O68" i="4"/>
  <c r="M68" i="4" s="1"/>
  <c r="R68" i="4" s="1"/>
  <c r="W55" i="4"/>
  <c r="X55" i="4"/>
  <c r="V55" i="4" s="1"/>
  <c r="AA55" i="4" s="1"/>
  <c r="AC54" i="4"/>
  <c r="AD54" i="4" s="1"/>
  <c r="BB51" i="4"/>
  <c r="BA51" i="4"/>
  <c r="CE60" i="4"/>
  <c r="CF60" i="4" s="1"/>
  <c r="AL52" i="4"/>
  <c r="AM52" i="4" s="1"/>
  <c r="AG53" i="4"/>
  <c r="AE53" i="4" s="1"/>
  <c r="CB61" i="4"/>
  <c r="BY62" i="4" s="1"/>
  <c r="BF60" i="4"/>
  <c r="CY56" i="4"/>
  <c r="DC56" i="4" s="1"/>
  <c r="CZ57" i="4" s="1"/>
  <c r="CU60" i="4"/>
  <c r="AU62" i="4"/>
  <c r="AV62" i="4" s="1"/>
  <c r="AP63" i="4"/>
  <c r="AS62" i="4"/>
  <c r="CR61" i="4"/>
  <c r="CP61" i="4" s="1"/>
  <c r="CT61" i="4" s="1"/>
  <c r="CW60" i="4"/>
  <c r="CX60" i="4" s="1"/>
  <c r="BQ68" i="4"/>
  <c r="BV67" i="4"/>
  <c r="BW67" i="4" s="1"/>
  <c r="BO68" i="4"/>
  <c r="BT68" i="4" s="1"/>
  <c r="AI53" i="4" l="1"/>
  <c r="AJ53" i="4"/>
  <c r="Z55" i="4"/>
  <c r="BZ62" i="4"/>
  <c r="CL56" i="4"/>
  <c r="CK56" i="4"/>
  <c r="CE61" i="4"/>
  <c r="CF61" i="4" s="1"/>
  <c r="Q68" i="4"/>
  <c r="DI52" i="4"/>
  <c r="DO51" i="4"/>
  <c r="DP51" i="4" s="1"/>
  <c r="DJ52" i="4"/>
  <c r="AX52" i="4"/>
  <c r="AW52" i="4" s="1"/>
  <c r="BD51" i="4"/>
  <c r="BE51" i="4" s="1"/>
  <c r="AY52" i="4"/>
  <c r="BJ60" i="4"/>
  <c r="BK60" i="4"/>
  <c r="DA57" i="4"/>
  <c r="DF56" i="4"/>
  <c r="DG56" i="4" s="1"/>
  <c r="DD56" i="4"/>
  <c r="BX62" i="4"/>
  <c r="AN63" i="4"/>
  <c r="AR63" i="4" s="1"/>
  <c r="CW61" i="4"/>
  <c r="CX61" i="4" s="1"/>
  <c r="CR62" i="4"/>
  <c r="BS68" i="4"/>
  <c r="CU61" i="4"/>
  <c r="BB52" i="4" l="1"/>
  <c r="BA52" i="4"/>
  <c r="DH52" i="4"/>
  <c r="O69" i="4"/>
  <c r="M69" i="4" s="1"/>
  <c r="T68" i="4"/>
  <c r="U68" i="4" s="1"/>
  <c r="CH57" i="4"/>
  <c r="CN56" i="4"/>
  <c r="CO56" i="4" s="1"/>
  <c r="CI57" i="4"/>
  <c r="CG57" i="4" s="1"/>
  <c r="CL57" i="4" s="1"/>
  <c r="CK57" i="4"/>
  <c r="W56" i="4"/>
  <c r="AC55" i="4"/>
  <c r="AD55" i="4" s="1"/>
  <c r="X56" i="4"/>
  <c r="AF54" i="4"/>
  <c r="AE54" i="4" s="1"/>
  <c r="AJ54" i="4" s="1"/>
  <c r="AL53" i="4"/>
  <c r="AM53" i="4" s="1"/>
  <c r="AG54" i="4"/>
  <c r="BG61" i="4"/>
  <c r="BH61" i="4"/>
  <c r="BM60" i="4"/>
  <c r="BN60" i="4" s="1"/>
  <c r="CY57" i="4"/>
  <c r="DC57" i="4" s="1"/>
  <c r="CZ58" i="4" s="1"/>
  <c r="CP62" i="4"/>
  <c r="CT62" i="4" s="1"/>
  <c r="CR63" i="4" s="1"/>
  <c r="CC62" i="4"/>
  <c r="CB62" i="4"/>
  <c r="BY63" i="4" s="1"/>
  <c r="AP64" i="4"/>
  <c r="AU63" i="4"/>
  <c r="AV63" i="4" s="1"/>
  <c r="AS63" i="4"/>
  <c r="BQ69" i="4"/>
  <c r="BO69" i="4" s="1"/>
  <c r="BT69" i="4" s="1"/>
  <c r="BV68" i="4"/>
  <c r="BW68" i="4" s="1"/>
  <c r="CL58" i="4" l="1"/>
  <c r="AI54" i="4"/>
  <c r="AL54" i="4" s="1"/>
  <c r="AM54" i="4" s="1"/>
  <c r="V56" i="4"/>
  <c r="CH58" i="4"/>
  <c r="CI58" i="4"/>
  <c r="CG58" i="4" s="1"/>
  <c r="CN57" i="4"/>
  <c r="CO57" i="4" s="1"/>
  <c r="CK58" i="4"/>
  <c r="R69" i="4"/>
  <c r="Q69" i="4"/>
  <c r="BF61" i="4"/>
  <c r="BK61" i="4" s="1"/>
  <c r="DM52" i="4"/>
  <c r="DL52" i="4"/>
  <c r="AX53" i="4"/>
  <c r="AW53" i="4" s="1"/>
  <c r="AY53" i="4"/>
  <c r="BD52" i="4"/>
  <c r="BE52" i="4" s="1"/>
  <c r="CW62" i="4"/>
  <c r="CX62" i="4" s="1"/>
  <c r="BJ61" i="4"/>
  <c r="DF57" i="4"/>
  <c r="DG57" i="4" s="1"/>
  <c r="DA58" i="4"/>
  <c r="DD57" i="4"/>
  <c r="CU62" i="4"/>
  <c r="BZ63" i="4"/>
  <c r="CE62" i="4"/>
  <c r="CF62" i="4" s="1"/>
  <c r="BX63" i="4"/>
  <c r="CB63" i="4" s="1"/>
  <c r="BY64" i="4" s="1"/>
  <c r="AN64" i="4"/>
  <c r="AR64" i="4" s="1"/>
  <c r="BS69" i="4"/>
  <c r="BB53" i="4" l="1"/>
  <c r="BA53" i="4"/>
  <c r="AG55" i="4"/>
  <c r="AF55" i="4"/>
  <c r="AE55" i="4" s="1"/>
  <c r="DI53" i="4"/>
  <c r="DH53" i="4" s="1"/>
  <c r="DM53" i="4" s="1"/>
  <c r="DJ53" i="4"/>
  <c r="DO52" i="4"/>
  <c r="DP52" i="4" s="1"/>
  <c r="T69" i="4"/>
  <c r="U69" i="4" s="1"/>
  <c r="O70" i="4"/>
  <c r="M70" i="4" s="1"/>
  <c r="CH59" i="4"/>
  <c r="CG59" i="4" s="1"/>
  <c r="CL59" i="4" s="1"/>
  <c r="CI59" i="4"/>
  <c r="CN58" i="4"/>
  <c r="CO58" i="4" s="1"/>
  <c r="CK59" i="4"/>
  <c r="AA56" i="4"/>
  <c r="Z56" i="4"/>
  <c r="BG62" i="4"/>
  <c r="BM61" i="4"/>
  <c r="BN61" i="4" s="1"/>
  <c r="BH62" i="4"/>
  <c r="CY58" i="4"/>
  <c r="CP63" i="4"/>
  <c r="CT63" i="4" s="1"/>
  <c r="CC63" i="4"/>
  <c r="CE63" i="4"/>
  <c r="CF63" i="4" s="1"/>
  <c r="BZ64" i="4"/>
  <c r="BX64" i="4"/>
  <c r="CC64" i="4" s="1"/>
  <c r="AU64" i="4"/>
  <c r="AV64" i="4" s="1"/>
  <c r="AP65" i="4"/>
  <c r="AN65" i="4" s="1"/>
  <c r="AR65" i="4" s="1"/>
  <c r="AS64" i="4"/>
  <c r="BV69" i="4"/>
  <c r="BW69" i="4" s="1"/>
  <c r="BQ70" i="4"/>
  <c r="BO70" i="4"/>
  <c r="BT70" i="4" s="1"/>
  <c r="CH60" i="4" l="1"/>
  <c r="CG60" i="4" s="1"/>
  <c r="CL60" i="4" s="1"/>
  <c r="CN59" i="4"/>
  <c r="CO59" i="4" s="1"/>
  <c r="CI60" i="4"/>
  <c r="CK60" i="4"/>
  <c r="R70" i="4"/>
  <c r="Q70" i="4"/>
  <c r="DL53" i="4"/>
  <c r="BF62" i="4"/>
  <c r="W57" i="4"/>
  <c r="X57" i="4"/>
  <c r="AC56" i="4"/>
  <c r="AD56" i="4" s="1"/>
  <c r="AX54" i="4"/>
  <c r="AY54" i="4"/>
  <c r="AW54" i="4" s="1"/>
  <c r="BB54" i="4" s="1"/>
  <c r="BD53" i="4"/>
  <c r="BE53" i="4" s="1"/>
  <c r="AJ55" i="4"/>
  <c r="AI55" i="4"/>
  <c r="DD58" i="4"/>
  <c r="DC58" i="4"/>
  <c r="CZ59" i="4" s="1"/>
  <c r="CR64" i="4"/>
  <c r="CW63" i="4"/>
  <c r="CX63" i="4" s="1"/>
  <c r="CU63" i="4"/>
  <c r="CB64" i="4"/>
  <c r="BY65" i="4" s="1"/>
  <c r="CE64" i="4"/>
  <c r="CF64" i="4" s="1"/>
  <c r="BZ65" i="4"/>
  <c r="BX65" i="4" s="1"/>
  <c r="CC65" i="4" s="1"/>
  <c r="AU65" i="4"/>
  <c r="AV65" i="4" s="1"/>
  <c r="AP66" i="4"/>
  <c r="AS65" i="4"/>
  <c r="BS70" i="4"/>
  <c r="V57" i="4" l="1"/>
  <c r="BK62" i="4"/>
  <c r="BJ62" i="4"/>
  <c r="DI54" i="4"/>
  <c r="DJ54" i="4"/>
  <c r="DO53" i="4"/>
  <c r="DP53" i="4" s="1"/>
  <c r="O71" i="4"/>
  <c r="M71" i="4" s="1"/>
  <c r="T70" i="4"/>
  <c r="U70" i="4" s="1"/>
  <c r="CH61" i="4"/>
  <c r="CG61" i="4" s="1"/>
  <c r="CL61" i="4" s="1"/>
  <c r="CI61" i="4"/>
  <c r="CN60" i="4"/>
  <c r="CO60" i="4" s="1"/>
  <c r="BA54" i="4"/>
  <c r="AF56" i="4"/>
  <c r="AE56" i="4" s="1"/>
  <c r="AJ56" i="4" s="1"/>
  <c r="AG56" i="4"/>
  <c r="AL55" i="4"/>
  <c r="AM55" i="4" s="1"/>
  <c r="DF58" i="4"/>
  <c r="DG58" i="4" s="1"/>
  <c r="DA59" i="4"/>
  <c r="CY59" i="4"/>
  <c r="DD59" i="4" s="1"/>
  <c r="CP64" i="4"/>
  <c r="CT64" i="4" s="1"/>
  <c r="CB65" i="4"/>
  <c r="BY66" i="4" s="1"/>
  <c r="AN66" i="4"/>
  <c r="AR66" i="4" s="1"/>
  <c r="BQ71" i="4"/>
  <c r="BV70" i="4"/>
  <c r="BW70" i="4" s="1"/>
  <c r="BO71" i="4"/>
  <c r="BT71" i="4" s="1"/>
  <c r="CK61" i="4" l="1"/>
  <c r="AA57" i="4"/>
  <c r="Z57" i="4"/>
  <c r="R71" i="4"/>
  <c r="Q71" i="4"/>
  <c r="AI56" i="4"/>
  <c r="DH54" i="4"/>
  <c r="AX55" i="4"/>
  <c r="AW55" i="4" s="1"/>
  <c r="BB55" i="4" s="1"/>
  <c r="AY55" i="4"/>
  <c r="BD54" i="4"/>
  <c r="BE54" i="4" s="1"/>
  <c r="BA55" i="4"/>
  <c r="BG63" i="4"/>
  <c r="BH63" i="4"/>
  <c r="BM62" i="4"/>
  <c r="BN62" i="4" s="1"/>
  <c r="AF57" i="4"/>
  <c r="AE57" i="4" s="1"/>
  <c r="AJ57" i="4" s="1"/>
  <c r="AG57" i="4"/>
  <c r="AL56" i="4"/>
  <c r="AM56" i="4" s="1"/>
  <c r="DC59" i="4"/>
  <c r="CZ60" i="4" s="1"/>
  <c r="CW64" i="4"/>
  <c r="CX64" i="4" s="1"/>
  <c r="CR65" i="4"/>
  <c r="CU64" i="4"/>
  <c r="CE65" i="4"/>
  <c r="CF65" i="4" s="1"/>
  <c r="BZ66" i="4"/>
  <c r="AU66" i="4"/>
  <c r="AV66" i="4" s="1"/>
  <c r="AP67" i="4"/>
  <c r="AS66" i="4"/>
  <c r="BS71" i="4"/>
  <c r="AX56" i="4" l="1"/>
  <c r="AY56" i="4"/>
  <c r="BD55" i="4"/>
  <c r="BE55" i="4" s="1"/>
  <c r="T71" i="4"/>
  <c r="U71" i="4" s="1"/>
  <c r="O72" i="4"/>
  <c r="M72" i="4" s="1"/>
  <c r="BF63" i="4"/>
  <c r="DM54" i="4"/>
  <c r="DL54" i="4"/>
  <c r="W58" i="4"/>
  <c r="AC57" i="4"/>
  <c r="AD57" i="4" s="1"/>
  <c r="X58" i="4"/>
  <c r="CH62" i="4"/>
  <c r="CG62" i="4" s="1"/>
  <c r="CN61" i="4"/>
  <c r="CO61" i="4" s="1"/>
  <c r="CI62" i="4"/>
  <c r="AI57" i="4"/>
  <c r="DF59" i="4"/>
  <c r="DG59" i="4" s="1"/>
  <c r="DA60" i="4"/>
  <c r="CY60" i="4" s="1"/>
  <c r="DD60" i="4" s="1"/>
  <c r="CP65" i="4"/>
  <c r="CT65" i="4" s="1"/>
  <c r="BX66" i="4"/>
  <c r="AN67" i="4"/>
  <c r="AR67" i="4" s="1"/>
  <c r="BV71" i="4"/>
  <c r="BW71" i="4" s="1"/>
  <c r="BQ72" i="4"/>
  <c r="BO72" i="4" s="1"/>
  <c r="BT72" i="4" s="1"/>
  <c r="R72" i="4" l="1"/>
  <c r="Q72" i="4"/>
  <c r="BK63" i="4"/>
  <c r="BJ63" i="4"/>
  <c r="CK62" i="4"/>
  <c r="CL62" i="4"/>
  <c r="DJ55" i="4"/>
  <c r="DI55" i="4"/>
  <c r="DH55" i="4" s="1"/>
  <c r="DM55" i="4" s="1"/>
  <c r="DO54" i="4"/>
  <c r="DP54" i="4" s="1"/>
  <c r="DL55" i="4"/>
  <c r="V58" i="4"/>
  <c r="AW56" i="4"/>
  <c r="AF58" i="4"/>
  <c r="AG58" i="4"/>
  <c r="AL57" i="4"/>
  <c r="AM57" i="4" s="1"/>
  <c r="DC60" i="4"/>
  <c r="CZ61" i="4" s="1"/>
  <c r="CR66" i="4"/>
  <c r="CW65" i="4"/>
  <c r="CX65" i="4" s="1"/>
  <c r="CU65" i="4"/>
  <c r="CC66" i="4"/>
  <c r="CB66" i="4"/>
  <c r="BY67" i="4" s="1"/>
  <c r="AU67" i="4"/>
  <c r="AV67" i="4" s="1"/>
  <c r="AP68" i="4"/>
  <c r="AS67" i="4"/>
  <c r="BS72" i="4"/>
  <c r="BB56" i="4" l="1"/>
  <c r="BA56" i="4"/>
  <c r="AA58" i="4"/>
  <c r="Z58" i="4"/>
  <c r="DO55" i="4"/>
  <c r="DP55" i="4" s="1"/>
  <c r="DI56" i="4"/>
  <c r="DH56" i="4" s="1"/>
  <c r="DM56" i="4" s="1"/>
  <c r="DJ56" i="4"/>
  <c r="CH63" i="4"/>
  <c r="CN62" i="4"/>
  <c r="CO62" i="4" s="1"/>
  <c r="CI63" i="4"/>
  <c r="BG64" i="4"/>
  <c r="BF64" i="4" s="1"/>
  <c r="BJ64" i="4" s="1"/>
  <c r="BH64" i="4"/>
  <c r="BM63" i="4"/>
  <c r="BN63" i="4" s="1"/>
  <c r="AE58" i="4"/>
  <c r="AJ58" i="4" s="1"/>
  <c r="T72" i="4"/>
  <c r="U72" i="4" s="1"/>
  <c r="O73" i="4"/>
  <c r="M73" i="4" s="1"/>
  <c r="AI58" i="4"/>
  <c r="DA61" i="4"/>
  <c r="DF60" i="4"/>
  <c r="DG60" i="4" s="1"/>
  <c r="CP66" i="4"/>
  <c r="BZ67" i="4"/>
  <c r="CE66" i="4"/>
  <c r="CF66" i="4" s="1"/>
  <c r="BX67" i="4"/>
  <c r="CC67" i="4" s="1"/>
  <c r="AN68" i="4"/>
  <c r="AR68" i="4" s="1"/>
  <c r="BQ73" i="4"/>
  <c r="BV72" i="4"/>
  <c r="BW72" i="4" s="1"/>
  <c r="BO73" i="4"/>
  <c r="BT73" i="4" s="1"/>
  <c r="BH65" i="4" l="1"/>
  <c r="BM64" i="4"/>
  <c r="BN64" i="4" s="1"/>
  <c r="BG65" i="4"/>
  <c r="CG63" i="4"/>
  <c r="R73" i="4"/>
  <c r="Q73" i="4"/>
  <c r="DL56" i="4"/>
  <c r="W59" i="4"/>
  <c r="AC58" i="4"/>
  <c r="AD58" i="4" s="1"/>
  <c r="X59" i="4"/>
  <c r="BK64" i="4"/>
  <c r="AX57" i="4"/>
  <c r="AW57" i="4" s="1"/>
  <c r="BB57" i="4" s="1"/>
  <c r="BD56" i="4"/>
  <c r="BE56" i="4" s="1"/>
  <c r="AY57" i="4"/>
  <c r="AF59" i="4"/>
  <c r="AG59" i="4"/>
  <c r="AL58" i="4"/>
  <c r="AM58" i="4" s="1"/>
  <c r="CY61" i="4"/>
  <c r="CU66" i="4"/>
  <c r="CT66" i="4"/>
  <c r="CB67" i="4"/>
  <c r="BY68" i="4" s="1"/>
  <c r="AP69" i="4"/>
  <c r="AU68" i="4"/>
  <c r="AV68" i="4" s="1"/>
  <c r="AS68" i="4"/>
  <c r="BS73" i="4"/>
  <c r="BA57" i="4" l="1"/>
  <c r="V59" i="4"/>
  <c r="O74" i="4"/>
  <c r="M74" i="4" s="1"/>
  <c r="T73" i="4"/>
  <c r="U73" i="4" s="1"/>
  <c r="AE59" i="4"/>
  <c r="CK63" i="4"/>
  <c r="CL63" i="4"/>
  <c r="DO56" i="4"/>
  <c r="DP56" i="4" s="1"/>
  <c r="DJ57" i="4"/>
  <c r="DI57" i="4"/>
  <c r="DH57" i="4" s="1"/>
  <c r="DM57" i="4" s="1"/>
  <c r="BF65" i="4"/>
  <c r="AX58" i="4"/>
  <c r="AW58" i="4" s="1"/>
  <c r="BB58" i="4" s="1"/>
  <c r="AY58" i="4"/>
  <c r="BD57" i="4"/>
  <c r="BE57" i="4" s="1"/>
  <c r="DD61" i="4"/>
  <c r="DC61" i="4"/>
  <c r="CZ62" i="4" s="1"/>
  <c r="CR67" i="4"/>
  <c r="CP67" i="4" s="1"/>
  <c r="CU67" i="4" s="1"/>
  <c r="CW66" i="4"/>
  <c r="CX66" i="4" s="1"/>
  <c r="CE67" i="4"/>
  <c r="CF67" i="4" s="1"/>
  <c r="BZ68" i="4"/>
  <c r="BX68" i="4"/>
  <c r="CC68" i="4" s="1"/>
  <c r="AN69" i="4"/>
  <c r="AR69" i="4" s="1"/>
  <c r="BV73" i="4"/>
  <c r="BW73" i="4" s="1"/>
  <c r="BQ74" i="4"/>
  <c r="BO74" i="4"/>
  <c r="BT74" i="4" s="1"/>
  <c r="CH64" i="4" l="1"/>
  <c r="CG64" i="4" s="1"/>
  <c r="CL64" i="4" s="1"/>
  <c r="CI64" i="4"/>
  <c r="CN63" i="4"/>
  <c r="CO63" i="4" s="1"/>
  <c r="AJ59" i="4"/>
  <c r="AI59" i="4"/>
  <c r="R74" i="4"/>
  <c r="Q74" i="4"/>
  <c r="BK65" i="4"/>
  <c r="BJ65" i="4"/>
  <c r="DL57" i="4"/>
  <c r="AA59" i="4"/>
  <c r="Z59" i="4"/>
  <c r="CT67" i="4"/>
  <c r="CW67" i="4" s="1"/>
  <c r="CX67" i="4" s="1"/>
  <c r="BA58" i="4"/>
  <c r="DF61" i="4"/>
  <c r="DG61" i="4" s="1"/>
  <c r="DA62" i="4"/>
  <c r="CY62" i="4" s="1"/>
  <c r="DD62" i="4" s="1"/>
  <c r="CR68" i="4"/>
  <c r="CP68" i="4" s="1"/>
  <c r="CT68" i="4"/>
  <c r="CU68" i="4"/>
  <c r="CB68" i="4"/>
  <c r="BY69" i="4" s="1"/>
  <c r="AU69" i="4"/>
  <c r="AV69" i="4" s="1"/>
  <c r="AP70" i="4"/>
  <c r="AS69" i="4"/>
  <c r="BS74" i="4"/>
  <c r="BG66" i="4" l="1"/>
  <c r="BM65" i="4"/>
  <c r="BN65" i="4" s="1"/>
  <c r="BH66" i="4"/>
  <c r="BF66" i="4" s="1"/>
  <c r="BK66" i="4" s="1"/>
  <c r="BJ66" i="4"/>
  <c r="T74" i="4"/>
  <c r="U74" i="4" s="1"/>
  <c r="O75" i="4"/>
  <c r="M75" i="4" s="1"/>
  <c r="AL59" i="4"/>
  <c r="AM59" i="4" s="1"/>
  <c r="AG60" i="4"/>
  <c r="AF60" i="4"/>
  <c r="AE60" i="4" s="1"/>
  <c r="AJ60" i="4" s="1"/>
  <c r="DJ58" i="4"/>
  <c r="DI58" i="4"/>
  <c r="DH58" i="4" s="1"/>
  <c r="DM58" i="4" s="1"/>
  <c r="DO57" i="4"/>
  <c r="DP57" i="4" s="1"/>
  <c r="CK64" i="4"/>
  <c r="W60" i="4"/>
  <c r="X60" i="4"/>
  <c r="AC59" i="4"/>
  <c r="AD59" i="4" s="1"/>
  <c r="AX59" i="4"/>
  <c r="BD58" i="4"/>
  <c r="BE58" i="4" s="1"/>
  <c r="AY59" i="4"/>
  <c r="AW59" i="4" s="1"/>
  <c r="BB59" i="4" s="1"/>
  <c r="DC62" i="4"/>
  <c r="CZ63" i="4" s="1"/>
  <c r="CW68" i="4"/>
  <c r="CX68" i="4" s="1"/>
  <c r="CR69" i="4"/>
  <c r="CP69" i="4" s="1"/>
  <c r="CT69" i="4" s="1"/>
  <c r="CE68" i="4"/>
  <c r="CF68" i="4" s="1"/>
  <c r="BZ69" i="4"/>
  <c r="BX69" i="4"/>
  <c r="CC69" i="4" s="1"/>
  <c r="AN70" i="4"/>
  <c r="AR70" i="4" s="1"/>
  <c r="BQ75" i="4"/>
  <c r="BO75" i="4" s="1"/>
  <c r="BT75" i="4" s="1"/>
  <c r="BV74" i="4"/>
  <c r="BW74" i="4" s="1"/>
  <c r="AI60" i="4" l="1"/>
  <c r="DL58" i="4"/>
  <c r="BM66" i="4"/>
  <c r="BN66" i="4" s="1"/>
  <c r="BH67" i="4"/>
  <c r="BG67" i="4"/>
  <c r="BF67" i="4" s="1"/>
  <c r="BJ67" i="4" s="1"/>
  <c r="R75" i="4"/>
  <c r="Q75" i="4"/>
  <c r="V60" i="4"/>
  <c r="CH65" i="4"/>
  <c r="CN64" i="4"/>
  <c r="CO64" i="4" s="1"/>
  <c r="CI65" i="4"/>
  <c r="CG65" i="4" s="1"/>
  <c r="CL65" i="4" s="1"/>
  <c r="BK67" i="4"/>
  <c r="BA59" i="4"/>
  <c r="CU69" i="4"/>
  <c r="DF62" i="4"/>
  <c r="DG62" i="4" s="1"/>
  <c r="DA63" i="4"/>
  <c r="CY63" i="4"/>
  <c r="DD63" i="4" s="1"/>
  <c r="CB69" i="4"/>
  <c r="BY70" i="4" s="1"/>
  <c r="AP71" i="4"/>
  <c r="AU70" i="4"/>
  <c r="AV70" i="4" s="1"/>
  <c r="AS70" i="4"/>
  <c r="CW69" i="4"/>
  <c r="CX69" i="4" s="1"/>
  <c r="CR70" i="4"/>
  <c r="CP70" i="4" s="1"/>
  <c r="CT70" i="4" s="1"/>
  <c r="BS75" i="4"/>
  <c r="AA60" i="4" l="1"/>
  <c r="Z60" i="4"/>
  <c r="T75" i="4"/>
  <c r="U75" i="4" s="1"/>
  <c r="O76" i="4"/>
  <c r="M76" i="4" s="1"/>
  <c r="R76" i="4" s="1"/>
  <c r="CK65" i="4"/>
  <c r="Q76" i="4"/>
  <c r="AF61" i="4"/>
  <c r="AL60" i="4"/>
  <c r="AM60" i="4" s="1"/>
  <c r="AG61" i="4"/>
  <c r="DI59" i="4"/>
  <c r="DJ59" i="4"/>
  <c r="DO58" i="4"/>
  <c r="DP58" i="4" s="1"/>
  <c r="AX60" i="4"/>
  <c r="AW60" i="4" s="1"/>
  <c r="BB60" i="4" s="1"/>
  <c r="AY60" i="4"/>
  <c r="BD59" i="4"/>
  <c r="BE59" i="4" s="1"/>
  <c r="BG68" i="4"/>
  <c r="BF68" i="4" s="1"/>
  <c r="BJ68" i="4" s="1"/>
  <c r="BM67" i="4"/>
  <c r="BN67" i="4" s="1"/>
  <c r="BH68" i="4"/>
  <c r="DC63" i="4"/>
  <c r="CZ64" i="4" s="1"/>
  <c r="DA64" i="4"/>
  <c r="CE69" i="4"/>
  <c r="CF69" i="4" s="1"/>
  <c r="BZ70" i="4"/>
  <c r="AN71" i="4"/>
  <c r="AR71" i="4" s="1"/>
  <c r="CW70" i="4"/>
  <c r="CX70" i="4" s="1"/>
  <c r="CR71" i="4"/>
  <c r="CU70" i="4"/>
  <c r="CP71" i="4" s="1"/>
  <c r="CT71" i="4" s="1"/>
  <c r="O77" i="4"/>
  <c r="T76" i="4"/>
  <c r="U76" i="4" s="1"/>
  <c r="M77" i="4"/>
  <c r="R77" i="4" s="1"/>
  <c r="BQ76" i="4"/>
  <c r="BO76" i="4" s="1"/>
  <c r="BT76" i="4" s="1"/>
  <c r="BV75" i="4"/>
  <c r="BW75" i="4" s="1"/>
  <c r="CY64" i="4" l="1"/>
  <c r="DD64" i="4" s="1"/>
  <c r="AE61" i="4"/>
  <c r="CH66" i="4"/>
  <c r="CG66" i="4" s="1"/>
  <c r="CL66" i="4" s="1"/>
  <c r="CI66" i="4"/>
  <c r="CN65" i="4"/>
  <c r="CO65" i="4" s="1"/>
  <c r="CK66" i="4"/>
  <c r="W61" i="4"/>
  <c r="AC60" i="4"/>
  <c r="AD60" i="4" s="1"/>
  <c r="X61" i="4"/>
  <c r="DH59" i="4"/>
  <c r="BK68" i="4"/>
  <c r="BA60" i="4"/>
  <c r="BG69" i="4"/>
  <c r="BH69" i="4"/>
  <c r="BM68" i="4"/>
  <c r="BN68" i="4" s="1"/>
  <c r="DF63" i="4"/>
  <c r="DG63" i="4" s="1"/>
  <c r="DC64" i="4"/>
  <c r="CZ65" i="4" s="1"/>
  <c r="CY65" i="4" s="1"/>
  <c r="DC65" i="4" s="1"/>
  <c r="CZ66" i="4" s="1"/>
  <c r="DA65" i="4"/>
  <c r="BX70" i="4"/>
  <c r="AP72" i="4"/>
  <c r="AU71" i="4"/>
  <c r="AV71" i="4" s="1"/>
  <c r="AS71" i="4"/>
  <c r="CW71" i="4"/>
  <c r="CX71" i="4" s="1"/>
  <c r="CR72" i="4"/>
  <c r="CU71" i="4"/>
  <c r="CP72" i="4" s="1"/>
  <c r="CT72" i="4" s="1"/>
  <c r="Q77" i="4"/>
  <c r="BS76" i="4"/>
  <c r="DM59" i="4" l="1"/>
  <c r="DL59" i="4"/>
  <c r="V61" i="4"/>
  <c r="CH67" i="4"/>
  <c r="CN66" i="4"/>
  <c r="CO66" i="4" s="1"/>
  <c r="CI67" i="4"/>
  <c r="AI61" i="4"/>
  <c r="AJ61" i="4"/>
  <c r="DF64" i="4"/>
  <c r="DG64" i="4" s="1"/>
  <c r="BF69" i="4"/>
  <c r="BJ69" i="4" s="1"/>
  <c r="AX61" i="4"/>
  <c r="BD60" i="4"/>
  <c r="BE60" i="4" s="1"/>
  <c r="AY61" i="4"/>
  <c r="BK69" i="4"/>
  <c r="I10" i="2" a="1"/>
  <c r="I10" i="2" s="1"/>
  <c r="DA66" i="4"/>
  <c r="DF65" i="4"/>
  <c r="DG65" i="4" s="1"/>
  <c r="DD65" i="4"/>
  <c r="CC70" i="4"/>
  <c r="CB70" i="4"/>
  <c r="BY71" i="4" s="1"/>
  <c r="AN72" i="4"/>
  <c r="AR72" i="4" s="1"/>
  <c r="CR73" i="4"/>
  <c r="CW72" i="4"/>
  <c r="CX72" i="4" s="1"/>
  <c r="BQ77" i="4"/>
  <c r="BV76" i="4"/>
  <c r="BW76" i="4" s="1"/>
  <c r="CU72" i="4"/>
  <c r="O78" i="4"/>
  <c r="T77" i="4"/>
  <c r="U77" i="4" s="1"/>
  <c r="AA61" i="4" l="1"/>
  <c r="Z61" i="4"/>
  <c r="DI60" i="4"/>
  <c r="DH60" i="4" s="1"/>
  <c r="DM60" i="4" s="1"/>
  <c r="DO59" i="4"/>
  <c r="DP59" i="4" s="1"/>
  <c r="DJ60" i="4"/>
  <c r="CP73" i="4"/>
  <c r="CT73" i="4" s="1"/>
  <c r="CR74" i="4" s="1"/>
  <c r="AL61" i="4"/>
  <c r="AM61" i="4" s="1"/>
  <c r="AG62" i="4"/>
  <c r="AF62" i="4"/>
  <c r="AW61" i="4"/>
  <c r="BB61" i="4" s="1"/>
  <c r="CG67" i="4"/>
  <c r="BG70" i="4"/>
  <c r="BM69" i="4"/>
  <c r="BN69" i="4" s="1"/>
  <c r="BH70" i="4"/>
  <c r="CY66" i="4"/>
  <c r="CE70" i="4"/>
  <c r="CF70" i="4" s="1"/>
  <c r="BZ71" i="4"/>
  <c r="AU72" i="4"/>
  <c r="AV72" i="4" s="1"/>
  <c r="AP73" i="4"/>
  <c r="AS72" i="4"/>
  <c r="M78" i="4"/>
  <c r="R78" i="4" s="1"/>
  <c r="CW73" i="4"/>
  <c r="CX73" i="4" s="1"/>
  <c r="BO77" i="4"/>
  <c r="CU73" i="4" l="1"/>
  <c r="BA61" i="4"/>
  <c r="BD61" i="4" s="1"/>
  <c r="BE61" i="4" s="1"/>
  <c r="CL67" i="4"/>
  <c r="CK67" i="4"/>
  <c r="AE62" i="4"/>
  <c r="BF70" i="4"/>
  <c r="DL60" i="4"/>
  <c r="W62" i="4"/>
  <c r="V62" i="4" s="1"/>
  <c r="AA62" i="4" s="1"/>
  <c r="X62" i="4"/>
  <c r="AC61" i="4"/>
  <c r="AD61" i="4" s="1"/>
  <c r="BK70" i="4"/>
  <c r="BJ70" i="4"/>
  <c r="AX62" i="4"/>
  <c r="AY62" i="4"/>
  <c r="CP74" i="4"/>
  <c r="CT74" i="4" s="1"/>
  <c r="CW74" i="4" s="1"/>
  <c r="CX74" i="4" s="1"/>
  <c r="Q78" i="4"/>
  <c r="T78" i="4" s="1"/>
  <c r="U78" i="4" s="1"/>
  <c r="DD66" i="4"/>
  <c r="DC66" i="4"/>
  <c r="CZ67" i="4" s="1"/>
  <c r="BX71" i="4"/>
  <c r="AN73" i="4"/>
  <c r="AR73" i="4" s="1"/>
  <c r="O79" i="4"/>
  <c r="BT77" i="4"/>
  <c r="BS77" i="4"/>
  <c r="AJ62" i="4" l="1"/>
  <c r="AI62" i="4"/>
  <c r="Z62" i="4"/>
  <c r="DI61" i="4"/>
  <c r="DH61" i="4" s="1"/>
  <c r="DM61" i="4" s="1"/>
  <c r="DJ61" i="4"/>
  <c r="DO60" i="4"/>
  <c r="DP60" i="4" s="1"/>
  <c r="DL61" i="4"/>
  <c r="CH68" i="4"/>
  <c r="CI68" i="4"/>
  <c r="CN67" i="4"/>
  <c r="CO67" i="4" s="1"/>
  <c r="CR75" i="4"/>
  <c r="CU74" i="4"/>
  <c r="CP75" i="4" s="1"/>
  <c r="CT75" i="4" s="1"/>
  <c r="CR76" i="4" s="1"/>
  <c r="AW62" i="4"/>
  <c r="BG71" i="4"/>
  <c r="BF71" i="4" s="1"/>
  <c r="BJ71" i="4" s="1"/>
  <c r="BM70" i="4"/>
  <c r="BN70" i="4" s="1"/>
  <c r="BH71" i="4"/>
  <c r="DA67" i="4"/>
  <c r="DF66" i="4"/>
  <c r="DG66" i="4" s="1"/>
  <c r="CC71" i="4"/>
  <c r="CB71" i="4"/>
  <c r="BY72" i="4" s="1"/>
  <c r="AU73" i="4"/>
  <c r="AV73" i="4" s="1"/>
  <c r="AP74" i="4"/>
  <c r="AS73" i="4"/>
  <c r="M79" i="4"/>
  <c r="R79" i="4" s="1"/>
  <c r="BQ78" i="4"/>
  <c r="BV77" i="4"/>
  <c r="BW77" i="4" s="1"/>
  <c r="DI62" i="4" l="1"/>
  <c r="DJ62" i="4"/>
  <c r="DO61" i="4"/>
  <c r="DP61" i="4" s="1"/>
  <c r="CG68" i="4"/>
  <c r="AF63" i="4"/>
  <c r="AG63" i="4"/>
  <c r="AL62" i="4"/>
  <c r="AM62" i="4" s="1"/>
  <c r="CU75" i="4"/>
  <c r="CP76" i="4" s="1"/>
  <c r="W63" i="4"/>
  <c r="AC62" i="4"/>
  <c r="AD62" i="4" s="1"/>
  <c r="X63" i="4"/>
  <c r="BG72" i="4"/>
  <c r="BH72" i="4"/>
  <c r="BM71" i="4"/>
  <c r="BN71" i="4" s="1"/>
  <c r="BB62" i="4"/>
  <c r="BA62" i="4"/>
  <c r="CW75" i="4"/>
  <c r="CX75" i="4" s="1"/>
  <c r="BK71" i="4"/>
  <c r="Q79" i="4"/>
  <c r="O80" i="4" s="1"/>
  <c r="M80" i="4" s="1"/>
  <c r="R80" i="4" s="1"/>
  <c r="CY67" i="4"/>
  <c r="BZ72" i="4"/>
  <c r="BX72" i="4"/>
  <c r="CC72" i="4" s="1"/>
  <c r="CE71" i="4"/>
  <c r="CF71" i="4" s="1"/>
  <c r="CB72" i="4"/>
  <c r="BY73" i="4" s="1"/>
  <c r="BO78" i="4"/>
  <c r="AN74" i="4"/>
  <c r="T79" i="4"/>
  <c r="U79" i="4" s="1"/>
  <c r="CT76" i="4" l="1"/>
  <c r="CU76" i="4"/>
  <c r="DH62" i="4"/>
  <c r="AE63" i="4"/>
  <c r="CL68" i="4"/>
  <c r="CK68" i="4"/>
  <c r="V63" i="4"/>
  <c r="AX63" i="4"/>
  <c r="AY63" i="4"/>
  <c r="BD62" i="4"/>
  <c r="BE62" i="4" s="1"/>
  <c r="BF72" i="4"/>
  <c r="BJ72" i="4" s="1"/>
  <c r="DD67" i="4"/>
  <c r="DC67" i="4"/>
  <c r="CZ68" i="4" s="1"/>
  <c r="CE72" i="4"/>
  <c r="CF72" i="4" s="1"/>
  <c r="BZ73" i="4"/>
  <c r="BS78" i="4"/>
  <c r="BT78" i="4"/>
  <c r="AS74" i="4"/>
  <c r="AR74" i="4"/>
  <c r="Q80" i="4"/>
  <c r="CH69" i="4" l="1"/>
  <c r="CN68" i="4"/>
  <c r="CO68" i="4" s="1"/>
  <c r="CI69" i="4"/>
  <c r="DM62" i="4"/>
  <c r="DL62" i="4"/>
  <c r="AW63" i="4"/>
  <c r="BB63" i="4" s="1"/>
  <c r="AA63" i="4"/>
  <c r="Z63" i="4"/>
  <c r="AJ63" i="4"/>
  <c r="AI63" i="4"/>
  <c r="CW76" i="4"/>
  <c r="CX76" i="4" s="1"/>
  <c r="CR77" i="4"/>
  <c r="CP77" i="4" s="1"/>
  <c r="CT77" i="4" s="1"/>
  <c r="BG73" i="4"/>
  <c r="BF73" i="4" s="1"/>
  <c r="BK73" i="4" s="1"/>
  <c r="BH73" i="4"/>
  <c r="BM72" i="4"/>
  <c r="BN72" i="4" s="1"/>
  <c r="BK72" i="4"/>
  <c r="BA63" i="4"/>
  <c r="DF67" i="4"/>
  <c r="DG67" i="4" s="1"/>
  <c r="DA68" i="4"/>
  <c r="CY68" i="4" s="1"/>
  <c r="BX73" i="4"/>
  <c r="BQ79" i="4"/>
  <c r="BV78" i="4"/>
  <c r="BW78" i="4" s="1"/>
  <c r="AP75" i="4"/>
  <c r="AN75" i="4" s="1"/>
  <c r="AS75" i="4" s="1"/>
  <c r="AU74" i="4"/>
  <c r="AV74" i="4" s="1"/>
  <c r="T80" i="4"/>
  <c r="U80" i="4" s="1"/>
  <c r="O81" i="4"/>
  <c r="M81" i="4" s="1"/>
  <c r="R81" i="4" s="1"/>
  <c r="CR78" i="4" l="1"/>
  <c r="CP78" i="4" s="1"/>
  <c r="CU78" i="4" s="1"/>
  <c r="CW77" i="4"/>
  <c r="CX77" i="4" s="1"/>
  <c r="CU77" i="4"/>
  <c r="AF64" i="4"/>
  <c r="AE64" i="4" s="1"/>
  <c r="AG64" i="4"/>
  <c r="AL63" i="4"/>
  <c r="AM63" i="4" s="1"/>
  <c r="AI64" i="4"/>
  <c r="AJ64" i="4"/>
  <c r="W64" i="4"/>
  <c r="V64" i="4" s="1"/>
  <c r="AA64" i="4" s="1"/>
  <c r="X64" i="4"/>
  <c r="AC63" i="4"/>
  <c r="AD63" i="4" s="1"/>
  <c r="DI63" i="4"/>
  <c r="DO62" i="4"/>
  <c r="DP62" i="4" s="1"/>
  <c r="DJ63" i="4"/>
  <c r="CG69" i="4"/>
  <c r="DD68" i="4"/>
  <c r="DC68" i="4"/>
  <c r="CZ69" i="4" s="1"/>
  <c r="AX64" i="4"/>
  <c r="BD63" i="4"/>
  <c r="BE63" i="4" s="1"/>
  <c r="AY64" i="4"/>
  <c r="AR75" i="4"/>
  <c r="AP76" i="4" s="1"/>
  <c r="AN76" i="4" s="1"/>
  <c r="AS76" i="4" s="1"/>
  <c r="BJ73" i="4"/>
  <c r="DF68" i="4"/>
  <c r="DG68" i="4" s="1"/>
  <c r="DA69" i="4"/>
  <c r="CC73" i="4"/>
  <c r="CB73" i="4"/>
  <c r="BY74" i="4" s="1"/>
  <c r="BO79" i="4"/>
  <c r="Q81" i="4"/>
  <c r="AF65" i="4" l="1"/>
  <c r="AE65" i="4" s="1"/>
  <c r="AJ65" i="4" s="1"/>
  <c r="AG65" i="4"/>
  <c r="AL64" i="4"/>
  <c r="AM64" i="4" s="1"/>
  <c r="AU75" i="4"/>
  <c r="AV75" i="4" s="1"/>
  <c r="DH63" i="4"/>
  <c r="Z64" i="4"/>
  <c r="CT78" i="4"/>
  <c r="CR79" i="4" s="1"/>
  <c r="CL69" i="4"/>
  <c r="CK69" i="4"/>
  <c r="AW64" i="4"/>
  <c r="BG74" i="4"/>
  <c r="BF74" i="4" s="1"/>
  <c r="BK74" i="4" s="1"/>
  <c r="BH74" i="4"/>
  <c r="BM73" i="4"/>
  <c r="BN73" i="4" s="1"/>
  <c r="CY69" i="4"/>
  <c r="BZ74" i="4"/>
  <c r="BX74" i="4"/>
  <c r="CC74" i="4" s="1"/>
  <c r="CE73" i="4"/>
  <c r="CF73" i="4" s="1"/>
  <c r="BS79" i="4"/>
  <c r="BT79" i="4"/>
  <c r="AR76" i="4"/>
  <c r="T81" i="4"/>
  <c r="U81" i="4" s="1"/>
  <c r="O82" i="4"/>
  <c r="CH70" i="4" l="1"/>
  <c r="CI70" i="4"/>
  <c r="CN69" i="4"/>
  <c r="CO69" i="4" s="1"/>
  <c r="W65" i="4"/>
  <c r="V65" i="4" s="1"/>
  <c r="AA65" i="4" s="1"/>
  <c r="X65" i="4"/>
  <c r="AC64" i="4"/>
  <c r="AD64" i="4" s="1"/>
  <c r="Z65" i="4"/>
  <c r="CW78" i="4"/>
  <c r="CX78" i="4" s="1"/>
  <c r="DM63" i="4"/>
  <c r="DL63" i="4"/>
  <c r="AI65" i="4"/>
  <c r="BJ74" i="4"/>
  <c r="BB64" i="4"/>
  <c r="BA64" i="4"/>
  <c r="DD69" i="4"/>
  <c r="DC69" i="4"/>
  <c r="CZ70" i="4" s="1"/>
  <c r="CB74" i="4"/>
  <c r="BY75" i="4" s="1"/>
  <c r="BV79" i="4"/>
  <c r="BW79" i="4" s="1"/>
  <c r="BQ80" i="4"/>
  <c r="AP77" i="4"/>
  <c r="AN77" i="4" s="1"/>
  <c r="AS77" i="4" s="1"/>
  <c r="AU76" i="4"/>
  <c r="AV76" i="4" s="1"/>
  <c r="CP79" i="4"/>
  <c r="M82" i="4"/>
  <c r="DJ64" i="4" l="1"/>
  <c r="DO63" i="4"/>
  <c r="DP63" i="4" s="1"/>
  <c r="DI64" i="4"/>
  <c r="DH64" i="4" s="1"/>
  <c r="DM64" i="4" s="1"/>
  <c r="AL65" i="4"/>
  <c r="AM65" i="4" s="1"/>
  <c r="AF66" i="4"/>
  <c r="AG66" i="4"/>
  <c r="H10" i="2" a="1"/>
  <c r="H10" i="2" s="1"/>
  <c r="W66" i="4"/>
  <c r="X66" i="4"/>
  <c r="AC65" i="4"/>
  <c r="AD65" i="4" s="1"/>
  <c r="AR77" i="4"/>
  <c r="AU77" i="4" s="1"/>
  <c r="AV77" i="4" s="1"/>
  <c r="CG70" i="4"/>
  <c r="AX65" i="4"/>
  <c r="AY65" i="4"/>
  <c r="BD64" i="4"/>
  <c r="BE64" i="4" s="1"/>
  <c r="BG75" i="4"/>
  <c r="BH75" i="4"/>
  <c r="BM74" i="4"/>
  <c r="BN74" i="4" s="1"/>
  <c r="DF69" i="4"/>
  <c r="DG69" i="4" s="1"/>
  <c r="DA70" i="4"/>
  <c r="CY70" i="4"/>
  <c r="DD70" i="4" s="1"/>
  <c r="DC70" i="4"/>
  <c r="CZ71" i="4" s="1"/>
  <c r="BZ75" i="4"/>
  <c r="CE74" i="4"/>
  <c r="CF74" i="4" s="1"/>
  <c r="BO80" i="4"/>
  <c r="CT79" i="4"/>
  <c r="CU79" i="4"/>
  <c r="R82" i="4"/>
  <c r="Q82" i="4"/>
  <c r="AP78" i="4" l="1"/>
  <c r="AN78" i="4" s="1"/>
  <c r="AS78" i="4" s="1"/>
  <c r="CL70" i="4"/>
  <c r="CK70" i="4"/>
  <c r="V66" i="4"/>
  <c r="AW65" i="4"/>
  <c r="BA65" i="4" s="1"/>
  <c r="AE66" i="4"/>
  <c r="DL64" i="4"/>
  <c r="AX66" i="4"/>
  <c r="BD65" i="4"/>
  <c r="BE65" i="4" s="1"/>
  <c r="AY66" i="4"/>
  <c r="AR78" i="4"/>
  <c r="AU78" i="4" s="1"/>
  <c r="AV78" i="4" s="1"/>
  <c r="BF75" i="4"/>
  <c r="DA71" i="4"/>
  <c r="CY71" i="4" s="1"/>
  <c r="DD71" i="4" s="1"/>
  <c r="DF70" i="4"/>
  <c r="DG70" i="4" s="1"/>
  <c r="BX75" i="4"/>
  <c r="BT80" i="4"/>
  <c r="BS80" i="4"/>
  <c r="AP79" i="4"/>
  <c r="AN79" i="4" s="1"/>
  <c r="AS79" i="4" s="1"/>
  <c r="CR80" i="4"/>
  <c r="CP80" i="4" s="1"/>
  <c r="CT80" i="4" s="1"/>
  <c r="CW79" i="4"/>
  <c r="CX79" i="4" s="1"/>
  <c r="T82" i="4"/>
  <c r="U82" i="4" s="1"/>
  <c r="O83" i="4"/>
  <c r="M83" i="4"/>
  <c r="Q83" i="4" s="1"/>
  <c r="DO64" i="4" l="1"/>
  <c r="DP64" i="4" s="1"/>
  <c r="DI65" i="4"/>
  <c r="DH65" i="4" s="1"/>
  <c r="DM65" i="4" s="1"/>
  <c r="DJ65" i="4"/>
  <c r="CH71" i="4"/>
  <c r="CN70" i="4"/>
  <c r="CO70" i="4" s="1"/>
  <c r="CI71" i="4"/>
  <c r="CG71" i="4" s="1"/>
  <c r="CL71" i="4" s="1"/>
  <c r="CK71" i="4"/>
  <c r="BB65" i="4"/>
  <c r="AW66" i="4" s="1"/>
  <c r="BA66" i="4" s="1"/>
  <c r="AJ66" i="4"/>
  <c r="AI66" i="4"/>
  <c r="Z66" i="4"/>
  <c r="AA66" i="4"/>
  <c r="AR79" i="4"/>
  <c r="BK75" i="4"/>
  <c r="BJ75" i="4"/>
  <c r="DC71" i="4"/>
  <c r="CZ72" i="4" s="1"/>
  <c r="CC75" i="4"/>
  <c r="CB75" i="4"/>
  <c r="BY76" i="4" s="1"/>
  <c r="BQ81" i="4"/>
  <c r="BV80" i="4"/>
  <c r="BW80" i="4" s="1"/>
  <c r="AU79" i="4"/>
  <c r="AV79" i="4" s="1"/>
  <c r="AP80" i="4"/>
  <c r="AN80" i="4" s="1"/>
  <c r="AS80" i="4" s="1"/>
  <c r="O84" i="4"/>
  <c r="T83" i="4"/>
  <c r="U83" i="4" s="1"/>
  <c r="CW80" i="4"/>
  <c r="CX80" i="4" s="1"/>
  <c r="CR81" i="4"/>
  <c r="R83" i="4"/>
  <c r="CU80" i="4"/>
  <c r="CP81" i="4" s="1"/>
  <c r="CT81" i="4" s="1"/>
  <c r="W67" i="4" l="1"/>
  <c r="V67" i="4" s="1"/>
  <c r="Z67" i="4" s="1"/>
  <c r="X67" i="4"/>
  <c r="AC66" i="4"/>
  <c r="AD66" i="4" s="1"/>
  <c r="AA67" i="4"/>
  <c r="AF67" i="4"/>
  <c r="AE67" i="4" s="1"/>
  <c r="AI67" i="4" s="1"/>
  <c r="AG67" i="4"/>
  <c r="AL66" i="4"/>
  <c r="AM66" i="4" s="1"/>
  <c r="CH72" i="4"/>
  <c r="CN71" i="4"/>
  <c r="CO71" i="4" s="1"/>
  <c r="CI72" i="4"/>
  <c r="AJ67" i="4"/>
  <c r="DL65" i="4"/>
  <c r="AX67" i="4"/>
  <c r="AY67" i="4"/>
  <c r="BD66" i="4"/>
  <c r="BE66" i="4" s="1"/>
  <c r="BG76" i="4"/>
  <c r="BM75" i="4"/>
  <c r="BN75" i="4" s="1"/>
  <c r="BH76" i="4"/>
  <c r="BB66" i="4"/>
  <c r="DA72" i="4"/>
  <c r="CY72" i="4" s="1"/>
  <c r="DD72" i="4" s="1"/>
  <c r="DF71" i="4"/>
  <c r="DG71" i="4" s="1"/>
  <c r="CE75" i="4"/>
  <c r="CF75" i="4" s="1"/>
  <c r="BZ76" i="4"/>
  <c r="BX76" i="4"/>
  <c r="CB76" i="4" s="1"/>
  <c r="BY77" i="4" s="1"/>
  <c r="BO81" i="4"/>
  <c r="AR80" i="4"/>
  <c r="CR82" i="4"/>
  <c r="CW81" i="4"/>
  <c r="CX81" i="4" s="1"/>
  <c r="CU81" i="4"/>
  <c r="M84" i="4"/>
  <c r="Q84" i="4" s="1"/>
  <c r="AG68" i="4" l="1"/>
  <c r="AL67" i="4"/>
  <c r="AM67" i="4" s="1"/>
  <c r="AF68" i="4"/>
  <c r="AE68" i="4" s="1"/>
  <c r="AJ68" i="4" s="1"/>
  <c r="DI66" i="4"/>
  <c r="DJ66" i="4"/>
  <c r="DO65" i="4"/>
  <c r="DP65" i="4" s="1"/>
  <c r="CG72" i="4"/>
  <c r="R84" i="4"/>
  <c r="W68" i="4"/>
  <c r="V68" i="4" s="1"/>
  <c r="Z68" i="4" s="1"/>
  <c r="AC67" i="4"/>
  <c r="AD67" i="4" s="1"/>
  <c r="X68" i="4"/>
  <c r="BF76" i="4"/>
  <c r="AW67" i="4"/>
  <c r="BA67" i="4" s="1"/>
  <c r="DC72" i="4"/>
  <c r="CZ73" i="4" s="1"/>
  <c r="CP82" i="4"/>
  <c r="CT82" i="4" s="1"/>
  <c r="CW82" i="4" s="1"/>
  <c r="CX82" i="4" s="1"/>
  <c r="CC76" i="4"/>
  <c r="BZ77" i="4"/>
  <c r="BX77" i="4" s="1"/>
  <c r="CB77" i="4" s="1"/>
  <c r="BY78" i="4" s="1"/>
  <c r="CE76" i="4"/>
  <c r="CF76" i="4" s="1"/>
  <c r="BT81" i="4"/>
  <c r="BS81" i="4"/>
  <c r="AU80" i="4"/>
  <c r="AV80" i="4" s="1"/>
  <c r="AP81" i="4"/>
  <c r="AN81" i="4" s="1"/>
  <c r="AS81" i="4" s="1"/>
  <c r="O85" i="4"/>
  <c r="T84" i="4"/>
  <c r="U84" i="4" s="1"/>
  <c r="CL72" i="4" l="1"/>
  <c r="CK72" i="4"/>
  <c r="M85" i="4"/>
  <c r="R85" i="4" s="1"/>
  <c r="AA68" i="4"/>
  <c r="DH66" i="4"/>
  <c r="W69" i="4"/>
  <c r="V69" i="4" s="1"/>
  <c r="Z69" i="4" s="1"/>
  <c r="X69" i="4"/>
  <c r="AC68" i="4"/>
  <c r="AD68" i="4" s="1"/>
  <c r="AI68" i="4"/>
  <c r="BJ76" i="4"/>
  <c r="BK76" i="4"/>
  <c r="AX68" i="4"/>
  <c r="BD67" i="4"/>
  <c r="BE67" i="4" s="1"/>
  <c r="AY68" i="4"/>
  <c r="CR83" i="4"/>
  <c r="BB67" i="4"/>
  <c r="DF72" i="4"/>
  <c r="DG72" i="4" s="1"/>
  <c r="DA73" i="4"/>
  <c r="CY73" i="4" s="1"/>
  <c r="DD73" i="4" s="1"/>
  <c r="CU82" i="4"/>
  <c r="CE77" i="4"/>
  <c r="CF77" i="4" s="1"/>
  <c r="BZ78" i="4"/>
  <c r="CC77" i="4"/>
  <c r="BX78" i="4" s="1"/>
  <c r="CB78" i="4" s="1"/>
  <c r="BY79" i="4" s="1"/>
  <c r="BV81" i="4"/>
  <c r="BW81" i="4" s="1"/>
  <c r="BQ82" i="4"/>
  <c r="BO82" i="4" s="1"/>
  <c r="BT82" i="4" s="1"/>
  <c r="AR81" i="4"/>
  <c r="Q85" i="4"/>
  <c r="O86" i="4"/>
  <c r="T85" i="4"/>
  <c r="U85" i="4" s="1"/>
  <c r="DM66" i="4" l="1"/>
  <c r="DL66" i="4"/>
  <c r="AA69" i="4"/>
  <c r="W70" i="4"/>
  <c r="X70" i="4"/>
  <c r="AC69" i="4"/>
  <c r="AD69" i="4" s="1"/>
  <c r="AF69" i="4"/>
  <c r="AL68" i="4"/>
  <c r="AM68" i="4" s="1"/>
  <c r="AG69" i="4"/>
  <c r="CH73" i="4"/>
  <c r="CN72" i="4"/>
  <c r="CO72" i="4" s="1"/>
  <c r="CI73" i="4"/>
  <c r="AW68" i="4"/>
  <c r="BA68" i="4" s="1"/>
  <c r="BG77" i="4"/>
  <c r="BM76" i="4"/>
  <c r="BN76" i="4" s="1"/>
  <c r="BH77" i="4"/>
  <c r="DC73" i="4"/>
  <c r="CZ74" i="4" s="1"/>
  <c r="CP83" i="4"/>
  <c r="CT83" i="4" s="1"/>
  <c r="BZ79" i="4"/>
  <c r="CE78" i="4"/>
  <c r="CF78" i="4" s="1"/>
  <c r="CC78" i="4"/>
  <c r="BS82" i="4"/>
  <c r="AU81" i="4"/>
  <c r="AV81" i="4" s="1"/>
  <c r="AP82" i="4"/>
  <c r="AN82" i="4" s="1"/>
  <c r="AS82" i="4" s="1"/>
  <c r="M86" i="4"/>
  <c r="DI67" i="4" l="1"/>
  <c r="DH67" i="4" s="1"/>
  <c r="DM67" i="4" s="1"/>
  <c r="DJ67" i="4"/>
  <c r="DO66" i="4"/>
  <c r="DP66" i="4" s="1"/>
  <c r="CG73" i="4"/>
  <c r="BF77" i="4"/>
  <c r="BK77" i="4" s="1"/>
  <c r="AE69" i="4"/>
  <c r="AR82" i="4"/>
  <c r="AP83" i="4" s="1"/>
  <c r="AN83" i="4" s="1"/>
  <c r="AS83" i="4" s="1"/>
  <c r="V70" i="4"/>
  <c r="Z70" i="4" s="1"/>
  <c r="AX69" i="4"/>
  <c r="BD68" i="4"/>
  <c r="BE68" i="4" s="1"/>
  <c r="AY69" i="4"/>
  <c r="BB68" i="4"/>
  <c r="DF73" i="4"/>
  <c r="DG73" i="4" s="1"/>
  <c r="DA74" i="4"/>
  <c r="CY74" i="4"/>
  <c r="DD74" i="4" s="1"/>
  <c r="CR84" i="4"/>
  <c r="CW83" i="4"/>
  <c r="CX83" i="4" s="1"/>
  <c r="CU83" i="4"/>
  <c r="BX79" i="4"/>
  <c r="CB79" i="4" s="1"/>
  <c r="BY80" i="4" s="1"/>
  <c r="BV82" i="4"/>
  <c r="BW82" i="4" s="1"/>
  <c r="BQ83" i="4"/>
  <c r="R86" i="4"/>
  <c r="Q86" i="4"/>
  <c r="AA70" i="4" l="1"/>
  <c r="AJ69" i="4"/>
  <c r="AI69" i="4"/>
  <c r="AU82" i="4"/>
  <c r="AV82" i="4" s="1"/>
  <c r="CL73" i="4"/>
  <c r="CK73" i="4"/>
  <c r="W71" i="4"/>
  <c r="X71" i="4"/>
  <c r="AC70" i="4"/>
  <c r="AD70" i="4" s="1"/>
  <c r="BJ77" i="4"/>
  <c r="BH78" i="4" s="1"/>
  <c r="DL67" i="4"/>
  <c r="BG78" i="4"/>
  <c r="BM77" i="4"/>
  <c r="BN77" i="4" s="1"/>
  <c r="AR83" i="4"/>
  <c r="AW69" i="4"/>
  <c r="BA69" i="4" s="1"/>
  <c r="DC74" i="4"/>
  <c r="CZ75" i="4" s="1"/>
  <c r="CP84" i="4"/>
  <c r="CE79" i="4"/>
  <c r="CF79" i="4" s="1"/>
  <c r="BZ80" i="4"/>
  <c r="CC79" i="4"/>
  <c r="BO83" i="4"/>
  <c r="AU83" i="4"/>
  <c r="AV83" i="4" s="1"/>
  <c r="AP84" i="4"/>
  <c r="AN84" i="4" s="1"/>
  <c r="AS84" i="4" s="1"/>
  <c r="T86" i="4"/>
  <c r="U86" i="4" s="1"/>
  <c r="O87" i="4"/>
  <c r="M87" i="4" s="1"/>
  <c r="Q87" i="4" s="1"/>
  <c r="BF78" i="4" l="1"/>
  <c r="BK78" i="4" s="1"/>
  <c r="V71" i="4"/>
  <c r="Z71" i="4" s="1"/>
  <c r="CH74" i="4"/>
  <c r="CG74" i="4" s="1"/>
  <c r="CL74" i="4" s="1"/>
  <c r="CI74" i="4"/>
  <c r="CN73" i="4"/>
  <c r="CO73" i="4" s="1"/>
  <c r="DI68" i="4"/>
  <c r="DO67" i="4"/>
  <c r="DP67" i="4" s="1"/>
  <c r="DJ68" i="4"/>
  <c r="AF70" i="4"/>
  <c r="AE70" i="4" s="1"/>
  <c r="AJ70" i="4" s="1"/>
  <c r="AG70" i="4"/>
  <c r="AL69" i="4"/>
  <c r="AM69" i="4" s="1"/>
  <c r="AI70" i="4"/>
  <c r="AA71" i="4"/>
  <c r="AR84" i="4"/>
  <c r="AU84" i="4" s="1"/>
  <c r="AV84" i="4" s="1"/>
  <c r="AX70" i="4"/>
  <c r="AY70" i="4"/>
  <c r="BD69" i="4"/>
  <c r="BE69" i="4" s="1"/>
  <c r="BB69" i="4"/>
  <c r="DF74" i="4"/>
  <c r="DG74" i="4" s="1"/>
  <c r="DA75" i="4"/>
  <c r="CY75" i="4" s="1"/>
  <c r="DD75" i="4" s="1"/>
  <c r="CU84" i="4"/>
  <c r="CT84" i="4"/>
  <c r="BX80" i="4"/>
  <c r="CB80" i="4" s="1"/>
  <c r="BY81" i="4" s="1"/>
  <c r="BT83" i="4"/>
  <c r="BS83" i="4"/>
  <c r="O88" i="4"/>
  <c r="T87" i="4"/>
  <c r="U87" i="4" s="1"/>
  <c r="R87" i="4"/>
  <c r="M88" i="4" s="1"/>
  <c r="Q88" i="4" s="1"/>
  <c r="BJ78" i="4" l="1"/>
  <c r="AP85" i="4"/>
  <c r="AN85" i="4" s="1"/>
  <c r="AS85" i="4" s="1"/>
  <c r="CK74" i="4"/>
  <c r="AF71" i="4"/>
  <c r="AG71" i="4"/>
  <c r="AL70" i="4"/>
  <c r="AM70" i="4" s="1"/>
  <c r="DH68" i="4"/>
  <c r="AW70" i="4"/>
  <c r="BA70" i="4" s="1"/>
  <c r="BD70" i="4" s="1"/>
  <c r="BE70" i="4" s="1"/>
  <c r="W72" i="4"/>
  <c r="AC71" i="4"/>
  <c r="AD71" i="4" s="1"/>
  <c r="X72" i="4"/>
  <c r="V72" i="4" s="1"/>
  <c r="Z72" i="4" s="1"/>
  <c r="BG79" i="4"/>
  <c r="BF79" i="4" s="1"/>
  <c r="BH79" i="4"/>
  <c r="BM78" i="4"/>
  <c r="BN78" i="4" s="1"/>
  <c r="AR85" i="4"/>
  <c r="AP86" i="4" s="1"/>
  <c r="AN86" i="4" s="1"/>
  <c r="DC75" i="4"/>
  <c r="CZ76" i="4" s="1"/>
  <c r="CW84" i="4"/>
  <c r="CX84" i="4" s="1"/>
  <c r="CR85" i="4"/>
  <c r="CP85" i="4" s="1"/>
  <c r="CU85" i="4" s="1"/>
  <c r="CE80" i="4"/>
  <c r="CF80" i="4" s="1"/>
  <c r="BZ81" i="4"/>
  <c r="CC80" i="4"/>
  <c r="BV83" i="4"/>
  <c r="BW83" i="4" s="1"/>
  <c r="BQ84" i="4"/>
  <c r="R88" i="4"/>
  <c r="T88" i="4"/>
  <c r="U88" i="4" s="1"/>
  <c r="O89" i="4"/>
  <c r="M89" i="4"/>
  <c r="R89" i="4" s="1"/>
  <c r="DL68" i="4" l="1"/>
  <c r="DM68" i="4"/>
  <c r="AE71" i="4"/>
  <c r="AY71" i="4"/>
  <c r="AX71" i="4"/>
  <c r="CH75" i="4"/>
  <c r="CN74" i="4"/>
  <c r="CO74" i="4" s="1"/>
  <c r="CI75" i="4"/>
  <c r="W73" i="4"/>
  <c r="AC72" i="4"/>
  <c r="AD72" i="4" s="1"/>
  <c r="X73" i="4"/>
  <c r="AA72" i="4"/>
  <c r="BB70" i="4"/>
  <c r="BJ79" i="4"/>
  <c r="BK79" i="4"/>
  <c r="CT85" i="4"/>
  <c r="CW85" i="4" s="1"/>
  <c r="CX85" i="4" s="1"/>
  <c r="AU85" i="4"/>
  <c r="AV85" i="4" s="1"/>
  <c r="DF75" i="4"/>
  <c r="DG75" i="4" s="1"/>
  <c r="DA76" i="4"/>
  <c r="BX81" i="4"/>
  <c r="CB81" i="4" s="1"/>
  <c r="BY82" i="4" s="1"/>
  <c r="BO84" i="4"/>
  <c r="AS86" i="4"/>
  <c r="AR86" i="4"/>
  <c r="Q89" i="4"/>
  <c r="O90" i="4"/>
  <c r="M90" i="4" s="1"/>
  <c r="Q90" i="4" s="1"/>
  <c r="T89" i="4"/>
  <c r="U89" i="4" s="1"/>
  <c r="BB71" i="4" l="1"/>
  <c r="V73" i="4"/>
  <c r="Z73" i="4" s="1"/>
  <c r="CG75" i="4"/>
  <c r="AW71" i="4"/>
  <c r="BA71" i="4" s="1"/>
  <c r="AJ71" i="4"/>
  <c r="AI71" i="4"/>
  <c r="DJ69" i="4"/>
  <c r="DO68" i="4"/>
  <c r="DP68" i="4" s="1"/>
  <c r="DI69" i="4"/>
  <c r="DH69" i="4" s="1"/>
  <c r="DM69" i="4" s="1"/>
  <c r="CR86" i="4"/>
  <c r="CP86" i="4" s="1"/>
  <c r="CU86" i="4" s="1"/>
  <c r="BG80" i="4"/>
  <c r="BH80" i="4"/>
  <c r="BM79" i="4"/>
  <c r="BN79" i="4" s="1"/>
  <c r="CY76" i="4"/>
  <c r="BZ82" i="4"/>
  <c r="CE81" i="4"/>
  <c r="CF81" i="4" s="1"/>
  <c r="CC81" i="4"/>
  <c r="BX82" i="4" s="1"/>
  <c r="CB82" i="4" s="1"/>
  <c r="BY83" i="4" s="1"/>
  <c r="BT84" i="4"/>
  <c r="BS84" i="4"/>
  <c r="AP87" i="4"/>
  <c r="AN87" i="4" s="1"/>
  <c r="AS87" i="4" s="1"/>
  <c r="AU86" i="4"/>
  <c r="AV86" i="4" s="1"/>
  <c r="R90" i="4"/>
  <c r="T90" i="4"/>
  <c r="U90" i="4" s="1"/>
  <c r="O91" i="4"/>
  <c r="M91" i="4"/>
  <c r="Q91" i="4" s="1"/>
  <c r="AA73" i="4" l="1"/>
  <c r="AL71" i="4"/>
  <c r="AM71" i="4" s="1"/>
  <c r="AG72" i="4"/>
  <c r="AF72" i="4"/>
  <c r="AE72" i="4" s="1"/>
  <c r="AI72" i="4" s="1"/>
  <c r="DL69" i="4"/>
  <c r="CT86" i="4"/>
  <c r="AJ72" i="4"/>
  <c r="AX72" i="4"/>
  <c r="BD71" i="4"/>
  <c r="BE71" i="4" s="1"/>
  <c r="AY72" i="4"/>
  <c r="W74" i="4"/>
  <c r="AC73" i="4"/>
  <c r="AD73" i="4" s="1"/>
  <c r="X74" i="4"/>
  <c r="BF80" i="4"/>
  <c r="BJ80" i="4" s="1"/>
  <c r="CL75" i="4"/>
  <c r="CK75" i="4"/>
  <c r="BK80" i="4"/>
  <c r="BG81" i="4"/>
  <c r="BM80" i="4"/>
  <c r="BN80" i="4" s="1"/>
  <c r="BH81" i="4"/>
  <c r="DD76" i="4"/>
  <c r="DC76" i="4"/>
  <c r="CZ77" i="4" s="1"/>
  <c r="CW86" i="4"/>
  <c r="CX86" i="4" s="1"/>
  <c r="CR87" i="4"/>
  <c r="CP87" i="4" s="1"/>
  <c r="CC82" i="4"/>
  <c r="BZ83" i="4"/>
  <c r="CE82" i="4"/>
  <c r="CF82" i="4" s="1"/>
  <c r="BX83" i="4"/>
  <c r="CB83" i="4" s="1"/>
  <c r="BY84" i="4" s="1"/>
  <c r="BV84" i="4"/>
  <c r="BW84" i="4" s="1"/>
  <c r="BQ85" i="4"/>
  <c r="AR87" i="4"/>
  <c r="R91" i="4"/>
  <c r="M92" i="4" s="1"/>
  <c r="Q92" i="4" s="1"/>
  <c r="T91" i="4"/>
  <c r="U91" i="4" s="1"/>
  <c r="O92" i="4"/>
  <c r="CU87" i="4"/>
  <c r="CT87" i="4"/>
  <c r="DJ70" i="4" l="1"/>
  <c r="DO69" i="4"/>
  <c r="DP69" i="4" s="1"/>
  <c r="DI70" i="4"/>
  <c r="AG73" i="4"/>
  <c r="AL72" i="4"/>
  <c r="AM72" i="4" s="1"/>
  <c r="AF73" i="4"/>
  <c r="AE73" i="4" s="1"/>
  <c r="AW72" i="4"/>
  <c r="CH76" i="4"/>
  <c r="CI76" i="4"/>
  <c r="CN75" i="4"/>
  <c r="CO75" i="4" s="1"/>
  <c r="V74" i="4"/>
  <c r="Z74" i="4" s="1"/>
  <c r="BF81" i="4"/>
  <c r="BJ81" i="4" s="1"/>
  <c r="DF76" i="4"/>
  <c r="DG76" i="4" s="1"/>
  <c r="DA77" i="4"/>
  <c r="BZ84" i="4"/>
  <c r="CE83" i="4"/>
  <c r="CF83" i="4" s="1"/>
  <c r="CC83" i="4"/>
  <c r="BX84" i="4" s="1"/>
  <c r="CB84" i="4" s="1"/>
  <c r="BY85" i="4" s="1"/>
  <c r="BO85" i="4"/>
  <c r="AU87" i="4"/>
  <c r="AV87" i="4" s="1"/>
  <c r="AP88" i="4"/>
  <c r="R92" i="4"/>
  <c r="T92" i="4"/>
  <c r="U92" i="4" s="1"/>
  <c r="O93" i="4"/>
  <c r="CW87" i="4"/>
  <c r="CX87" i="4" s="1"/>
  <c r="CR88" i="4"/>
  <c r="CP88" i="4"/>
  <c r="CT88" i="4" s="1"/>
  <c r="CG76" i="4" l="1"/>
  <c r="W75" i="4"/>
  <c r="AC74" i="4"/>
  <c r="AD74" i="4" s="1"/>
  <c r="X75" i="4"/>
  <c r="BA72" i="4"/>
  <c r="BB72" i="4"/>
  <c r="AA74" i="4"/>
  <c r="AI73" i="4"/>
  <c r="AJ73" i="4"/>
  <c r="DH70" i="4"/>
  <c r="BG82" i="4"/>
  <c r="BH82" i="4"/>
  <c r="BM81" i="4"/>
  <c r="BN81" i="4" s="1"/>
  <c r="BK81" i="4"/>
  <c r="CY77" i="4"/>
  <c r="CU88" i="4"/>
  <c r="CE84" i="4"/>
  <c r="CF84" i="4" s="1"/>
  <c r="BZ85" i="4"/>
  <c r="BX85" i="4"/>
  <c r="CB85" i="4" s="1"/>
  <c r="BY86" i="4" s="1"/>
  <c r="CC84" i="4"/>
  <c r="BT85" i="4"/>
  <c r="BS85" i="4"/>
  <c r="AN88" i="4"/>
  <c r="CW88" i="4"/>
  <c r="CX88" i="4" s="1"/>
  <c r="CR89" i="4"/>
  <c r="M93" i="4"/>
  <c r="CK76" i="4" l="1"/>
  <c r="CL76" i="4"/>
  <c r="DM70" i="4"/>
  <c r="DL70" i="4"/>
  <c r="AF74" i="4"/>
  <c r="AE74" i="4" s="1"/>
  <c r="AG74" i="4"/>
  <c r="AL73" i="4"/>
  <c r="AM73" i="4" s="1"/>
  <c r="AX73" i="4"/>
  <c r="BD72" i="4"/>
  <c r="BE72" i="4" s="1"/>
  <c r="AY73" i="4"/>
  <c r="BF82" i="4"/>
  <c r="BJ82" i="4" s="1"/>
  <c r="BM82" i="4" s="1"/>
  <c r="BN82" i="4" s="1"/>
  <c r="V75" i="4"/>
  <c r="BG83" i="4"/>
  <c r="DC77" i="4"/>
  <c r="CZ78" i="4" s="1"/>
  <c r="DD77" i="4"/>
  <c r="CC85" i="4"/>
  <c r="CE85" i="4"/>
  <c r="CF85" i="4" s="1"/>
  <c r="BZ86" i="4"/>
  <c r="BV85" i="4"/>
  <c r="BW85" i="4" s="1"/>
  <c r="BQ86" i="4"/>
  <c r="AS88" i="4"/>
  <c r="AR88" i="4"/>
  <c r="R93" i="4"/>
  <c r="Q93" i="4"/>
  <c r="CP89" i="4"/>
  <c r="AI74" i="4" l="1"/>
  <c r="AJ74" i="4"/>
  <c r="AA75" i="4"/>
  <c r="Z75" i="4"/>
  <c r="AW73" i="4"/>
  <c r="BX86" i="4"/>
  <c r="CB86" i="4" s="1"/>
  <c r="BY87" i="4" s="1"/>
  <c r="BH83" i="4"/>
  <c r="BF83" i="4" s="1"/>
  <c r="CL77" i="4"/>
  <c r="DI71" i="4"/>
  <c r="DO70" i="4"/>
  <c r="DP70" i="4" s="1"/>
  <c r="DJ71" i="4"/>
  <c r="BK82" i="4"/>
  <c r="CH77" i="4"/>
  <c r="CN76" i="4"/>
  <c r="CO76" i="4" s="1"/>
  <c r="CI77" i="4"/>
  <c r="CG77" i="4" s="1"/>
  <c r="CK77" i="4"/>
  <c r="I11" i="2" a="1"/>
  <c r="I11" i="2" s="1"/>
  <c r="DA78" i="4"/>
  <c r="CY78" i="4" s="1"/>
  <c r="DC78" i="4" s="1"/>
  <c r="CZ79" i="4" s="1"/>
  <c r="DF77" i="4"/>
  <c r="DG77" i="4" s="1"/>
  <c r="CC86" i="4"/>
  <c r="BO86" i="4"/>
  <c r="AP89" i="4"/>
  <c r="AU88" i="4"/>
  <c r="AV88" i="4" s="1"/>
  <c r="O94" i="4"/>
  <c r="M94" i="4" s="1"/>
  <c r="Q94" i="4" s="1"/>
  <c r="T93" i="4"/>
  <c r="U93" i="4" s="1"/>
  <c r="CT89" i="4"/>
  <c r="CU89" i="4"/>
  <c r="BJ83" i="4" l="1"/>
  <c r="BK83" i="4"/>
  <c r="DH71" i="4"/>
  <c r="CE86" i="4"/>
  <c r="CF86" i="4" s="1"/>
  <c r="BZ87" i="4"/>
  <c r="BA73" i="4"/>
  <c r="BB73" i="4"/>
  <c r="CH78" i="4"/>
  <c r="CG78" i="4" s="1"/>
  <c r="CL78" i="4" s="1"/>
  <c r="CI78" i="4"/>
  <c r="CN77" i="4"/>
  <c r="CO77" i="4" s="1"/>
  <c r="CK78" i="4"/>
  <c r="W76" i="4"/>
  <c r="V76" i="4" s="1"/>
  <c r="X76" i="4"/>
  <c r="AC75" i="4"/>
  <c r="AD75" i="4" s="1"/>
  <c r="Z76" i="4"/>
  <c r="AA76" i="4"/>
  <c r="AF75" i="4"/>
  <c r="AG75" i="4"/>
  <c r="AL74" i="4"/>
  <c r="AM74" i="4" s="1"/>
  <c r="DF78" i="4"/>
  <c r="DG78" i="4" s="1"/>
  <c r="DA79" i="4"/>
  <c r="DD78" i="4"/>
  <c r="BX87" i="4"/>
  <c r="CB87" i="4" s="1"/>
  <c r="BY88" i="4" s="1"/>
  <c r="BS86" i="4"/>
  <c r="BT86" i="4"/>
  <c r="AN89" i="4"/>
  <c r="O95" i="4"/>
  <c r="T94" i="4"/>
  <c r="U94" i="4" s="1"/>
  <c r="R94" i="4"/>
  <c r="CR90" i="4"/>
  <c r="CW89" i="4"/>
  <c r="CX89" i="4" s="1"/>
  <c r="W77" i="4" l="1"/>
  <c r="X77" i="4"/>
  <c r="AC76" i="4"/>
  <c r="AD76" i="4" s="1"/>
  <c r="BG84" i="4"/>
  <c r="BM83" i="4"/>
  <c r="BN83" i="4" s="1"/>
  <c r="BH84" i="4"/>
  <c r="DM71" i="4"/>
  <c r="DL71" i="4"/>
  <c r="BD73" i="4"/>
  <c r="BE73" i="4" s="1"/>
  <c r="AY74" i="4"/>
  <c r="AX74" i="4"/>
  <c r="AW74" i="4" s="1"/>
  <c r="BA74" i="4" s="1"/>
  <c r="CH79" i="4"/>
  <c r="CI79" i="4"/>
  <c r="CN78" i="4"/>
  <c r="CO78" i="4" s="1"/>
  <c r="AE75" i="4"/>
  <c r="CY79" i="4"/>
  <c r="DC79" i="4" s="1"/>
  <c r="CZ80" i="4" s="1"/>
  <c r="CE87" i="4"/>
  <c r="CF87" i="4" s="1"/>
  <c r="BZ88" i="4"/>
  <c r="CC87" i="4"/>
  <c r="BX88" i="4" s="1"/>
  <c r="CB88" i="4" s="1"/>
  <c r="BY89" i="4" s="1"/>
  <c r="BQ87" i="4"/>
  <c r="BO87" i="4"/>
  <c r="BS87" i="4" s="1"/>
  <c r="BV86" i="4"/>
  <c r="BW86" i="4" s="1"/>
  <c r="AS89" i="4"/>
  <c r="AR89" i="4"/>
  <c r="M95" i="4"/>
  <c r="Q95" i="4" s="1"/>
  <c r="CP90" i="4"/>
  <c r="CG79" i="4" l="1"/>
  <c r="AX75" i="4"/>
  <c r="AY75" i="4"/>
  <c r="BD74" i="4"/>
  <c r="BE74" i="4" s="1"/>
  <c r="BB74" i="4"/>
  <c r="AI75" i="4"/>
  <c r="AJ75" i="4"/>
  <c r="BF84" i="4"/>
  <c r="V77" i="4"/>
  <c r="DJ72" i="4"/>
  <c r="DI72" i="4"/>
  <c r="DH72" i="4" s="1"/>
  <c r="DM72" i="4" s="1"/>
  <c r="DO71" i="4"/>
  <c r="DP71" i="4" s="1"/>
  <c r="R95" i="4"/>
  <c r="DA80" i="4"/>
  <c r="DF79" i="4"/>
  <c r="DG79" i="4" s="1"/>
  <c r="DD79" i="4"/>
  <c r="CY80" i="4" s="1"/>
  <c r="DC80" i="4" s="1"/>
  <c r="CZ81" i="4" s="1"/>
  <c r="CC88" i="4"/>
  <c r="BZ89" i="4"/>
  <c r="BX89" i="4" s="1"/>
  <c r="CB89" i="4" s="1"/>
  <c r="BY90" i="4" s="1"/>
  <c r="CE88" i="4"/>
  <c r="CF88" i="4" s="1"/>
  <c r="BV87" i="4"/>
  <c r="BW87" i="4" s="1"/>
  <c r="BQ88" i="4"/>
  <c r="BT87" i="4"/>
  <c r="AU89" i="4"/>
  <c r="AV89" i="4" s="1"/>
  <c r="AP90" i="4"/>
  <c r="CU90" i="4"/>
  <c r="CT90" i="4"/>
  <c r="O96" i="4"/>
  <c r="T95" i="4"/>
  <c r="U95" i="4" s="1"/>
  <c r="BJ84" i="4" l="1"/>
  <c r="BK84" i="4"/>
  <c r="BB75" i="4"/>
  <c r="CL79" i="4"/>
  <c r="CK79" i="4"/>
  <c r="DL72" i="4"/>
  <c r="Z77" i="4"/>
  <c r="AA77" i="4"/>
  <c r="AL75" i="4"/>
  <c r="AM75" i="4" s="1"/>
  <c r="AG76" i="4"/>
  <c r="AF76" i="4"/>
  <c r="AE76" i="4" s="1"/>
  <c r="AJ76" i="4" s="1"/>
  <c r="AW75" i="4"/>
  <c r="BA75" i="4" s="1"/>
  <c r="DA81" i="4"/>
  <c r="DF80" i="4"/>
  <c r="DG80" i="4" s="1"/>
  <c r="DD80" i="4"/>
  <c r="CE89" i="4"/>
  <c r="CF89" i="4" s="1"/>
  <c r="BZ90" i="4"/>
  <c r="CC89" i="4"/>
  <c r="BO88" i="4"/>
  <c r="BS88" i="4" s="1"/>
  <c r="AN90" i="4"/>
  <c r="M96" i="4"/>
  <c r="CR91" i="4"/>
  <c r="CW90" i="4"/>
  <c r="CX90" i="4" s="1"/>
  <c r="CP91" i="4"/>
  <c r="CT91" i="4" s="1"/>
  <c r="AI76" i="4" l="1"/>
  <c r="CY81" i="4"/>
  <c r="DC81" i="4" s="1"/>
  <c r="CZ82" i="4" s="1"/>
  <c r="AY76" i="4"/>
  <c r="BD75" i="4"/>
  <c r="BE75" i="4" s="1"/>
  <c r="AX76" i="4"/>
  <c r="AW76" i="4" s="1"/>
  <c r="BA76" i="4" s="1"/>
  <c r="DI73" i="4"/>
  <c r="DO72" i="4"/>
  <c r="DP72" i="4" s="1"/>
  <c r="DJ73" i="4"/>
  <c r="CH80" i="4"/>
  <c r="CG80" i="4" s="1"/>
  <c r="CL80" i="4" s="1"/>
  <c r="CI80" i="4"/>
  <c r="CN79" i="4"/>
  <c r="CO79" i="4" s="1"/>
  <c r="CK80" i="4"/>
  <c r="BH85" i="4"/>
  <c r="BM84" i="4"/>
  <c r="BN84" i="4" s="1"/>
  <c r="BG85" i="4"/>
  <c r="H11" i="2" a="1"/>
  <c r="H11" i="2" s="1"/>
  <c r="AC77" i="4"/>
  <c r="AD77" i="4" s="1"/>
  <c r="W78" i="4"/>
  <c r="V78" i="4" s="1"/>
  <c r="AA78" i="4" s="1"/>
  <c r="X78" i="4"/>
  <c r="Z78" i="4"/>
  <c r="DF81" i="4"/>
  <c r="DG81" i="4" s="1"/>
  <c r="DD81" i="4"/>
  <c r="BX90" i="4"/>
  <c r="CB90" i="4" s="1"/>
  <c r="BY91" i="4" s="1"/>
  <c r="BQ89" i="4"/>
  <c r="BV88" i="4"/>
  <c r="BW88" i="4" s="1"/>
  <c r="BT88" i="4"/>
  <c r="AS90" i="4"/>
  <c r="AR90" i="4"/>
  <c r="Q96" i="4"/>
  <c r="R96" i="4"/>
  <c r="CR92" i="4"/>
  <c r="CW91" i="4"/>
  <c r="CX91" i="4" s="1"/>
  <c r="CU91" i="4"/>
  <c r="CH81" i="4" l="1"/>
  <c r="CN80" i="4"/>
  <c r="CO80" i="4" s="1"/>
  <c r="CI81" i="4"/>
  <c r="W79" i="4"/>
  <c r="X79" i="4"/>
  <c r="AC78" i="4"/>
  <c r="AD78" i="4" s="1"/>
  <c r="DH73" i="4"/>
  <c r="DA82" i="4"/>
  <c r="AX77" i="4"/>
  <c r="BD76" i="4"/>
  <c r="BE76" i="4" s="1"/>
  <c r="AY77" i="4"/>
  <c r="BO89" i="4"/>
  <c r="BS89" i="4" s="1"/>
  <c r="BQ90" i="4" s="1"/>
  <c r="BF85" i="4"/>
  <c r="AL76" i="4"/>
  <c r="AM76" i="4" s="1"/>
  <c r="AG77" i="4"/>
  <c r="AF77" i="4"/>
  <c r="BB76" i="4"/>
  <c r="CY82" i="4"/>
  <c r="DC82" i="4" s="1"/>
  <c r="CZ83" i="4" s="1"/>
  <c r="CP92" i="4"/>
  <c r="CT92" i="4" s="1"/>
  <c r="CW92" i="4" s="1"/>
  <c r="CX92" i="4" s="1"/>
  <c r="CE90" i="4"/>
  <c r="CF90" i="4" s="1"/>
  <c r="BZ91" i="4"/>
  <c r="BX91" i="4" s="1"/>
  <c r="CC91" i="4" s="1"/>
  <c r="CC90" i="4"/>
  <c r="AP91" i="4"/>
  <c r="AU90" i="4"/>
  <c r="AV90" i="4" s="1"/>
  <c r="O97" i="4"/>
  <c r="T96" i="4"/>
  <c r="U96" i="4" s="1"/>
  <c r="CG81" i="4" l="1"/>
  <c r="BT89" i="4"/>
  <c r="BO90" i="4" s="1"/>
  <c r="BT90" i="4" s="1"/>
  <c r="BV89" i="4"/>
  <c r="BW89" i="4" s="1"/>
  <c r="V79" i="4"/>
  <c r="BK85" i="4"/>
  <c r="BJ85" i="4"/>
  <c r="AW77" i="4"/>
  <c r="BA77" i="4" s="1"/>
  <c r="DM73" i="4"/>
  <c r="DL73" i="4"/>
  <c r="BB77" i="4"/>
  <c r="AE77" i="4"/>
  <c r="CR93" i="4"/>
  <c r="DF82" i="4"/>
  <c r="DG82" i="4" s="1"/>
  <c r="DA83" i="4"/>
  <c r="DD82" i="4"/>
  <c r="CU92" i="4"/>
  <c r="CB91" i="4"/>
  <c r="BY92" i="4" s="1"/>
  <c r="AN91" i="4"/>
  <c r="M97" i="4"/>
  <c r="BS90" i="4" l="1"/>
  <c r="CL81" i="4"/>
  <c r="CK81" i="4"/>
  <c r="AJ77" i="4"/>
  <c r="AI77" i="4"/>
  <c r="DI74" i="4"/>
  <c r="DO73" i="4"/>
  <c r="DP73" i="4" s="1"/>
  <c r="DJ74" i="4"/>
  <c r="AY78" i="4"/>
  <c r="AX78" i="4"/>
  <c r="AW78" i="4" s="1"/>
  <c r="BA78" i="4" s="1"/>
  <c r="BD77" i="4"/>
  <c r="BE77" i="4" s="1"/>
  <c r="BG86" i="4"/>
  <c r="BM85" i="4"/>
  <c r="BN85" i="4" s="1"/>
  <c r="BH86" i="4"/>
  <c r="AA79" i="4"/>
  <c r="Z79" i="4"/>
  <c r="CP93" i="4"/>
  <c r="CT93" i="4" s="1"/>
  <c r="CY83" i="4"/>
  <c r="BZ92" i="4"/>
  <c r="BX92" i="4" s="1"/>
  <c r="CE91" i="4"/>
  <c r="CF91" i="4" s="1"/>
  <c r="BQ91" i="4"/>
  <c r="BO91" i="4"/>
  <c r="BT91" i="4" s="1"/>
  <c r="BV90" i="4"/>
  <c r="BW90" i="4" s="1"/>
  <c r="BS91" i="4"/>
  <c r="AS91" i="4"/>
  <c r="AR91" i="4"/>
  <c r="Q97" i="4"/>
  <c r="R97" i="4"/>
  <c r="AY79" i="4" l="1"/>
  <c r="BD78" i="4"/>
  <c r="BE78" i="4" s="1"/>
  <c r="AX79" i="4"/>
  <c r="AW79" i="4" s="1"/>
  <c r="BA79" i="4" s="1"/>
  <c r="DH74" i="4"/>
  <c r="BB78" i="4"/>
  <c r="W80" i="4"/>
  <c r="V80" i="4" s="1"/>
  <c r="AA80" i="4" s="1"/>
  <c r="X80" i="4"/>
  <c r="AC79" i="4"/>
  <c r="AD79" i="4" s="1"/>
  <c r="AG78" i="4"/>
  <c r="AF78" i="4"/>
  <c r="AE78" i="4" s="1"/>
  <c r="AJ78" i="4" s="1"/>
  <c r="AL77" i="4"/>
  <c r="AM77" i="4" s="1"/>
  <c r="CU93" i="4"/>
  <c r="CH82" i="4"/>
  <c r="CI82" i="4"/>
  <c r="CN81" i="4"/>
  <c r="CO81" i="4" s="1"/>
  <c r="BF86" i="4"/>
  <c r="DD83" i="4"/>
  <c r="DC83" i="4"/>
  <c r="CZ84" i="4" s="1"/>
  <c r="CR94" i="4"/>
  <c r="CW93" i="4"/>
  <c r="CX93" i="4" s="1"/>
  <c r="CC92" i="4"/>
  <c r="CB92" i="4"/>
  <c r="BY93" i="4" s="1"/>
  <c r="BX93" i="4" s="1"/>
  <c r="BZ93" i="4"/>
  <c r="CE92" i="4"/>
  <c r="CF92" i="4" s="1"/>
  <c r="BV91" i="4"/>
  <c r="BW91" i="4" s="1"/>
  <c r="BQ92" i="4"/>
  <c r="BO92" i="4"/>
  <c r="BT92" i="4" s="1"/>
  <c r="AU91" i="4"/>
  <c r="AV91" i="4" s="1"/>
  <c r="AP92" i="4"/>
  <c r="T97" i="4"/>
  <c r="U97" i="4" s="1"/>
  <c r="O98" i="4"/>
  <c r="M98" i="4" s="1"/>
  <c r="Q98" i="4" s="1"/>
  <c r="AX80" i="4" l="1"/>
  <c r="AW80" i="4" s="1"/>
  <c r="BA80" i="4" s="1"/>
  <c r="AY80" i="4"/>
  <c r="BD79" i="4"/>
  <c r="BE79" i="4" s="1"/>
  <c r="CG82" i="4"/>
  <c r="AI78" i="4"/>
  <c r="CP94" i="4"/>
  <c r="BK86" i="4"/>
  <c r="BJ86" i="4"/>
  <c r="BB79" i="4"/>
  <c r="Z80" i="4"/>
  <c r="DM74" i="4"/>
  <c r="DL74" i="4"/>
  <c r="DF83" i="4"/>
  <c r="DG83" i="4" s="1"/>
  <c r="DA84" i="4"/>
  <c r="CY84" i="4" s="1"/>
  <c r="DD84" i="4" s="1"/>
  <c r="CT94" i="4"/>
  <c r="CU94" i="4"/>
  <c r="CC93" i="4"/>
  <c r="CB93" i="4"/>
  <c r="BY94" i="4" s="1"/>
  <c r="BZ94" i="4"/>
  <c r="BS92" i="4"/>
  <c r="AN92" i="4"/>
  <c r="T98" i="4"/>
  <c r="U98" i="4" s="1"/>
  <c r="O99" i="4"/>
  <c r="R98" i="4"/>
  <c r="BD80" i="4" l="1"/>
  <c r="BE80" i="4" s="1"/>
  <c r="AX81" i="4"/>
  <c r="AY81" i="4"/>
  <c r="DJ75" i="4"/>
  <c r="DI75" i="4"/>
  <c r="DH75" i="4" s="1"/>
  <c r="DM75" i="4" s="1"/>
  <c r="DO74" i="4"/>
  <c r="DP74" i="4" s="1"/>
  <c r="DL75" i="4"/>
  <c r="BB80" i="4"/>
  <c r="AL78" i="4"/>
  <c r="AM78" i="4" s="1"/>
  <c r="AG79" i="4"/>
  <c r="AF79" i="4"/>
  <c r="AE79" i="4" s="1"/>
  <c r="W81" i="4"/>
  <c r="V81" i="4" s="1"/>
  <c r="AA81" i="4" s="1"/>
  <c r="X81" i="4"/>
  <c r="AC80" i="4"/>
  <c r="AD80" i="4" s="1"/>
  <c r="Z81" i="4"/>
  <c r="BH87" i="4"/>
  <c r="BM86" i="4"/>
  <c r="BN86" i="4" s="1"/>
  <c r="BG87" i="4"/>
  <c r="CL82" i="4"/>
  <c r="CK82" i="4"/>
  <c r="CE93" i="4"/>
  <c r="CF93" i="4" s="1"/>
  <c r="DC84" i="4"/>
  <c r="CZ85" i="4" s="1"/>
  <c r="CW94" i="4"/>
  <c r="CX94" i="4" s="1"/>
  <c r="CR95" i="4"/>
  <c r="CP95" i="4" s="1"/>
  <c r="CT95" i="4" s="1"/>
  <c r="BX94" i="4"/>
  <c r="BQ93" i="4"/>
  <c r="BO93" i="4"/>
  <c r="BT93" i="4" s="1"/>
  <c r="BV92" i="4"/>
  <c r="BW92" i="4" s="1"/>
  <c r="BS93" i="4"/>
  <c r="AS92" i="4"/>
  <c r="AR92" i="4"/>
  <c r="M99" i="4"/>
  <c r="Q99" i="4" s="1"/>
  <c r="W82" i="4" l="1"/>
  <c r="X82" i="4"/>
  <c r="AC81" i="4"/>
  <c r="AD81" i="4" s="1"/>
  <c r="AI79" i="4"/>
  <c r="AJ79" i="4"/>
  <c r="CH83" i="4"/>
  <c r="CN82" i="4"/>
  <c r="CO82" i="4" s="1"/>
  <c r="CI83" i="4"/>
  <c r="BB81" i="4"/>
  <c r="DJ76" i="4"/>
  <c r="DO75" i="4"/>
  <c r="DP75" i="4" s="1"/>
  <c r="DI76" i="4"/>
  <c r="DH76" i="4" s="1"/>
  <c r="DM76" i="4" s="1"/>
  <c r="DL76" i="4"/>
  <c r="BF87" i="4"/>
  <c r="AW81" i="4"/>
  <c r="BA81" i="4" s="1"/>
  <c r="DA85" i="4"/>
  <c r="DF84" i="4"/>
  <c r="DG84" i="4" s="1"/>
  <c r="CR96" i="4"/>
  <c r="CW95" i="4"/>
  <c r="CX95" i="4" s="1"/>
  <c r="CU95" i="4"/>
  <c r="CC94" i="4"/>
  <c r="CB94" i="4"/>
  <c r="BY95" i="4" s="1"/>
  <c r="BV93" i="4"/>
  <c r="BW93" i="4" s="1"/>
  <c r="BQ94" i="4"/>
  <c r="BO94" i="4" s="1"/>
  <c r="BT94" i="4" s="1"/>
  <c r="AP93" i="4"/>
  <c r="AN93" i="4" s="1"/>
  <c r="AS93" i="4" s="1"/>
  <c r="AU92" i="4"/>
  <c r="AV92" i="4" s="1"/>
  <c r="T99" i="4"/>
  <c r="U99" i="4" s="1"/>
  <c r="O100" i="4"/>
  <c r="R99" i="4"/>
  <c r="BK87" i="4" l="1"/>
  <c r="BJ87" i="4"/>
  <c r="DI77" i="4"/>
  <c r="DH77" i="4" s="1"/>
  <c r="DM77" i="4" s="1"/>
  <c r="DJ77" i="4"/>
  <c r="DO76" i="4"/>
  <c r="DP76" i="4" s="1"/>
  <c r="V82" i="4"/>
  <c r="CG83" i="4"/>
  <c r="AG80" i="4"/>
  <c r="AL79" i="4"/>
  <c r="AM79" i="4" s="1"/>
  <c r="AF80" i="4"/>
  <c r="AE80" i="4" s="1"/>
  <c r="AJ80" i="4" s="1"/>
  <c r="AY82" i="4"/>
  <c r="AX82" i="4"/>
  <c r="BD81" i="4"/>
  <c r="BE81" i="4" s="1"/>
  <c r="CY85" i="4"/>
  <c r="CP96" i="4"/>
  <c r="CT96" i="4" s="1"/>
  <c r="BZ95" i="4"/>
  <c r="BX95" i="4" s="1"/>
  <c r="CC95" i="4" s="1"/>
  <c r="CE94" i="4"/>
  <c r="CF94" i="4" s="1"/>
  <c r="BS94" i="4"/>
  <c r="AR93" i="4"/>
  <c r="M100" i="4"/>
  <c r="Q100" i="4" s="1"/>
  <c r="AI80" i="4" l="1"/>
  <c r="Z82" i="4"/>
  <c r="AA82" i="4"/>
  <c r="DL77" i="4"/>
  <c r="CL83" i="4"/>
  <c r="CK83" i="4"/>
  <c r="AW82" i="4"/>
  <c r="BH88" i="4"/>
  <c r="BG88" i="4"/>
  <c r="BF88" i="4" s="1"/>
  <c r="BK88" i="4" s="1"/>
  <c r="BM87" i="4"/>
  <c r="BN87" i="4" s="1"/>
  <c r="DD85" i="4"/>
  <c r="DC85" i="4"/>
  <c r="CZ86" i="4" s="1"/>
  <c r="CR97" i="4"/>
  <c r="CW96" i="4"/>
  <c r="CX96" i="4" s="1"/>
  <c r="CU96" i="4"/>
  <c r="CB95" i="4"/>
  <c r="BY96" i="4" s="1"/>
  <c r="BQ95" i="4"/>
  <c r="BV94" i="4"/>
  <c r="BW94" i="4" s="1"/>
  <c r="AU93" i="4"/>
  <c r="AV93" i="4" s="1"/>
  <c r="AP94" i="4"/>
  <c r="AN94" i="4" s="1"/>
  <c r="AS94" i="4" s="1"/>
  <c r="R100" i="4"/>
  <c r="T100" i="4"/>
  <c r="U100" i="4" s="1"/>
  <c r="O101" i="4"/>
  <c r="M101" i="4"/>
  <c r="Q101" i="4" s="1"/>
  <c r="BJ88" i="4" l="1"/>
  <c r="CH84" i="4"/>
  <c r="CG84" i="4" s="1"/>
  <c r="CK84" i="4" s="1"/>
  <c r="CI84" i="4"/>
  <c r="CN83" i="4"/>
  <c r="CO83" i="4" s="1"/>
  <c r="BA82" i="4"/>
  <c r="BB82" i="4"/>
  <c r="DI78" i="4"/>
  <c r="DH78" i="4" s="1"/>
  <c r="DM78" i="4" s="1"/>
  <c r="DJ78" i="4"/>
  <c r="DO77" i="4"/>
  <c r="DP77" i="4" s="1"/>
  <c r="DL78" i="4"/>
  <c r="W83" i="4"/>
  <c r="X83" i="4"/>
  <c r="AC82" i="4"/>
  <c r="AD82" i="4" s="1"/>
  <c r="AF81" i="4"/>
  <c r="AE81" i="4" s="1"/>
  <c r="AJ81" i="4" s="1"/>
  <c r="AG81" i="4"/>
  <c r="AL80" i="4"/>
  <c r="AM80" i="4" s="1"/>
  <c r="AI81" i="4"/>
  <c r="DA86" i="4"/>
  <c r="DF85" i="4"/>
  <c r="DG85" i="4" s="1"/>
  <c r="CY86" i="4"/>
  <c r="DD86" i="4" s="1"/>
  <c r="CP97" i="4"/>
  <c r="CT97" i="4" s="1"/>
  <c r="CE95" i="4"/>
  <c r="CF95" i="4" s="1"/>
  <c r="BZ96" i="4"/>
  <c r="BX96" i="4" s="1"/>
  <c r="CC96" i="4" s="1"/>
  <c r="BO95" i="4"/>
  <c r="AR94" i="4"/>
  <c r="T101" i="4"/>
  <c r="U101" i="4" s="1"/>
  <c r="O102" i="4"/>
  <c r="R101" i="4"/>
  <c r="M102" i="4" s="1"/>
  <c r="R102" i="4" s="1"/>
  <c r="CH85" i="4" l="1"/>
  <c r="CI85" i="4"/>
  <c r="CN84" i="4"/>
  <c r="CO84" i="4" s="1"/>
  <c r="BG89" i="4"/>
  <c r="BH89" i="4"/>
  <c r="BM88" i="4"/>
  <c r="BN88" i="4" s="1"/>
  <c r="DI79" i="4"/>
  <c r="DO78" i="4"/>
  <c r="DP78" i="4" s="1"/>
  <c r="DJ79" i="4"/>
  <c r="DH79" i="4" s="1"/>
  <c r="DM79" i="4" s="1"/>
  <c r="DL79" i="4"/>
  <c r="BD82" i="4"/>
  <c r="BE82" i="4" s="1"/>
  <c r="AX83" i="4"/>
  <c r="AY83" i="4"/>
  <c r="AF82" i="4"/>
  <c r="AL81" i="4"/>
  <c r="AM81" i="4" s="1"/>
  <c r="AG82" i="4"/>
  <c r="CL84" i="4"/>
  <c r="V83" i="4"/>
  <c r="DC86" i="4"/>
  <c r="CZ87" i="4" s="1"/>
  <c r="CR98" i="4"/>
  <c r="CW97" i="4"/>
  <c r="CX97" i="4" s="1"/>
  <c r="CU97" i="4"/>
  <c r="CB96" i="4"/>
  <c r="BY97" i="4" s="1"/>
  <c r="BT95" i="4"/>
  <c r="BS95" i="4"/>
  <c r="AU94" i="4"/>
  <c r="AV94" i="4" s="1"/>
  <c r="AP95" i="4"/>
  <c r="AN95" i="4" s="1"/>
  <c r="AS95" i="4" s="1"/>
  <c r="Q102" i="4"/>
  <c r="AA83" i="4" l="1"/>
  <c r="Z83" i="4"/>
  <c r="BF89" i="4"/>
  <c r="AE82" i="4"/>
  <c r="DJ80" i="4"/>
  <c r="DI80" i="4"/>
  <c r="DH80" i="4" s="1"/>
  <c r="DM80" i="4" s="1"/>
  <c r="DO79" i="4"/>
  <c r="DP79" i="4" s="1"/>
  <c r="AW83" i="4"/>
  <c r="CG85" i="4"/>
  <c r="DA87" i="4"/>
  <c r="CY87" i="4" s="1"/>
  <c r="DD87" i="4" s="1"/>
  <c r="DF86" i="4"/>
  <c r="DG86" i="4" s="1"/>
  <c r="CP98" i="4"/>
  <c r="CT98" i="4" s="1"/>
  <c r="CE96" i="4"/>
  <c r="CF96" i="4" s="1"/>
  <c r="BZ97" i="4"/>
  <c r="BV95" i="4"/>
  <c r="BW95" i="4" s="1"/>
  <c r="BQ96" i="4"/>
  <c r="BO96" i="4" s="1"/>
  <c r="BS96" i="4" s="1"/>
  <c r="AR95" i="4"/>
  <c r="O103" i="4"/>
  <c r="T102" i="4"/>
  <c r="U102" i="4" s="1"/>
  <c r="W84" i="4" l="1"/>
  <c r="X84" i="4"/>
  <c r="AC83" i="4"/>
  <c r="AD83" i="4" s="1"/>
  <c r="CL85" i="4"/>
  <c r="CK85" i="4"/>
  <c r="AJ82" i="4"/>
  <c r="AI82" i="4"/>
  <c r="BA83" i="4"/>
  <c r="BB83" i="4"/>
  <c r="DL80" i="4"/>
  <c r="BK89" i="4"/>
  <c r="BJ89" i="4"/>
  <c r="DC87" i="4"/>
  <c r="CZ88" i="4" s="1"/>
  <c r="CR99" i="4"/>
  <c r="CW98" i="4"/>
  <c r="CX98" i="4" s="1"/>
  <c r="CU98" i="4"/>
  <c r="BX97" i="4"/>
  <c r="BT96" i="4"/>
  <c r="BV96" i="4"/>
  <c r="BW96" i="4" s="1"/>
  <c r="BQ97" i="4"/>
  <c r="AU95" i="4"/>
  <c r="AV95" i="4" s="1"/>
  <c r="AP96" i="4"/>
  <c r="AN96" i="4" s="1"/>
  <c r="AS96" i="4" s="1"/>
  <c r="M103" i="4"/>
  <c r="BM89" i="4" l="1"/>
  <c r="BN89" i="4" s="1"/>
  <c r="BH90" i="4"/>
  <c r="BG90" i="4"/>
  <c r="DJ81" i="4"/>
  <c r="DI81" i="4"/>
  <c r="DH81" i="4" s="1"/>
  <c r="DM81" i="4" s="1"/>
  <c r="DO80" i="4"/>
  <c r="DP80" i="4" s="1"/>
  <c r="AX84" i="4"/>
  <c r="AY84" i="4"/>
  <c r="BD83" i="4"/>
  <c r="BE83" i="4" s="1"/>
  <c r="AF83" i="4"/>
  <c r="AE83" i="4" s="1"/>
  <c r="AI83" i="4" s="1"/>
  <c r="AG83" i="4"/>
  <c r="AL82" i="4"/>
  <c r="AM82" i="4" s="1"/>
  <c r="CH86" i="4"/>
  <c r="CI86" i="4"/>
  <c r="CG86" i="4" s="1"/>
  <c r="CL86" i="4" s="1"/>
  <c r="CN85" i="4"/>
  <c r="CO85" i="4" s="1"/>
  <c r="CK86" i="4"/>
  <c r="V84" i="4"/>
  <c r="DF87" i="4"/>
  <c r="DG87" i="4" s="1"/>
  <c r="DA88" i="4"/>
  <c r="CY88" i="4"/>
  <c r="DD88" i="4" s="1"/>
  <c r="CP99" i="4"/>
  <c r="CT99" i="4" s="1"/>
  <c r="CB97" i="4"/>
  <c r="BY98" i="4" s="1"/>
  <c r="CC97" i="4"/>
  <c r="BO97" i="4"/>
  <c r="BS97" i="4" s="1"/>
  <c r="AR96" i="4"/>
  <c r="R103" i="4"/>
  <c r="Q103" i="4"/>
  <c r="AL83" i="4" l="1"/>
  <c r="AM83" i="4" s="1"/>
  <c r="AG84" i="4"/>
  <c r="AF84" i="4"/>
  <c r="DL81" i="4"/>
  <c r="CH87" i="4"/>
  <c r="CN86" i="4"/>
  <c r="CO86" i="4" s="1"/>
  <c r="CI87" i="4"/>
  <c r="CG87" i="4" s="1"/>
  <c r="CL87" i="4" s="1"/>
  <c r="AW84" i="4"/>
  <c r="AA84" i="4"/>
  <c r="Z84" i="4"/>
  <c r="AJ83" i="4"/>
  <c r="BF90" i="4"/>
  <c r="BT97" i="4"/>
  <c r="BO98" i="4" s="1"/>
  <c r="BS98" i="4" s="1"/>
  <c r="DC88" i="4"/>
  <c r="CZ89" i="4" s="1"/>
  <c r="CR100" i="4"/>
  <c r="CW99" i="4"/>
  <c r="CX99" i="4" s="1"/>
  <c r="CU99" i="4"/>
  <c r="BZ98" i="4"/>
  <c r="BX98" i="4" s="1"/>
  <c r="CB98" i="4" s="1"/>
  <c r="BY99" i="4" s="1"/>
  <c r="CE97" i="4"/>
  <c r="CF97" i="4" s="1"/>
  <c r="BQ98" i="4"/>
  <c r="BV97" i="4"/>
  <c r="BW97" i="4" s="1"/>
  <c r="AU96" i="4"/>
  <c r="AV96" i="4" s="1"/>
  <c r="AP97" i="4"/>
  <c r="AN97" i="4"/>
  <c r="AS97" i="4" s="1"/>
  <c r="T103" i="4"/>
  <c r="U103" i="4" s="1"/>
  <c r="O104" i="4"/>
  <c r="M104" i="4" s="1"/>
  <c r="R104" i="4" s="1"/>
  <c r="BB84" i="4" l="1"/>
  <c r="BA84" i="4"/>
  <c r="CK87" i="4"/>
  <c r="W85" i="4"/>
  <c r="V85" i="4" s="1"/>
  <c r="X85" i="4"/>
  <c r="AC84" i="4"/>
  <c r="AD84" i="4" s="1"/>
  <c r="Z85" i="4"/>
  <c r="AA85" i="4"/>
  <c r="DJ82" i="4"/>
  <c r="DO81" i="4"/>
  <c r="DP81" i="4" s="1"/>
  <c r="DI82" i="4"/>
  <c r="DH82" i="4" s="1"/>
  <c r="DM82" i="4" s="1"/>
  <c r="AE84" i="4"/>
  <c r="BK90" i="4"/>
  <c r="BJ90" i="4"/>
  <c r="DA89" i="4"/>
  <c r="CY89" i="4" s="1"/>
  <c r="DF88" i="4"/>
  <c r="DG88" i="4" s="1"/>
  <c r="CP100" i="4"/>
  <c r="CT100" i="4" s="1"/>
  <c r="CE98" i="4"/>
  <c r="CF98" i="4" s="1"/>
  <c r="BZ99" i="4"/>
  <c r="CC98" i="4"/>
  <c r="BQ99" i="4"/>
  <c r="BV98" i="4"/>
  <c r="BW98" i="4" s="1"/>
  <c r="BT98" i="4"/>
  <c r="BO99" i="4" s="1"/>
  <c r="BS99" i="4" s="1"/>
  <c r="AR97" i="4"/>
  <c r="Q104" i="4"/>
  <c r="T104" i="4" s="1"/>
  <c r="U104" i="4" s="1"/>
  <c r="O105" i="4"/>
  <c r="M105" i="4" s="1"/>
  <c r="AJ84" i="4" l="1"/>
  <c r="AI84" i="4"/>
  <c r="DL82" i="4"/>
  <c r="W86" i="4"/>
  <c r="AC85" i="4"/>
  <c r="AD85" i="4" s="1"/>
  <c r="X86" i="4"/>
  <c r="V86" i="4" s="1"/>
  <c r="Z86" i="4" s="1"/>
  <c r="CH88" i="4"/>
  <c r="CN87" i="4"/>
  <c r="CO87" i="4" s="1"/>
  <c r="CI88" i="4"/>
  <c r="BH91" i="4"/>
  <c r="BG91" i="4"/>
  <c r="BM90" i="4"/>
  <c r="BN90" i="4" s="1"/>
  <c r="AY85" i="4"/>
  <c r="BD84" i="4"/>
  <c r="BE84" i="4" s="1"/>
  <c r="AX85" i="4"/>
  <c r="AW85" i="4" s="1"/>
  <c r="BA85" i="4" s="1"/>
  <c r="DD89" i="4"/>
  <c r="DC89" i="4"/>
  <c r="CZ90" i="4" s="1"/>
  <c r="CR101" i="4"/>
  <c r="CW100" i="4"/>
  <c r="CX100" i="4" s="1"/>
  <c r="CU100" i="4"/>
  <c r="BX99" i="4"/>
  <c r="CB99" i="4" s="1"/>
  <c r="BY100" i="4" s="1"/>
  <c r="BT99" i="4"/>
  <c r="BO100" i="4" s="1"/>
  <c r="BS100" i="4" s="1"/>
  <c r="BQ100" i="4"/>
  <c r="BV99" i="4"/>
  <c r="BW99" i="4" s="1"/>
  <c r="AU97" i="4"/>
  <c r="AV97" i="4" s="1"/>
  <c r="AP98" i="4"/>
  <c r="AN98" i="4" s="1"/>
  <c r="AS98" i="4" s="1"/>
  <c r="Q105" i="4"/>
  <c r="R105" i="4"/>
  <c r="T105" i="4"/>
  <c r="U105" i="4" s="1"/>
  <c r="O106" i="4"/>
  <c r="DF89" i="4" l="1"/>
  <c r="DG89" i="4" s="1"/>
  <c r="W87" i="4"/>
  <c r="AC86" i="4"/>
  <c r="AD86" i="4" s="1"/>
  <c r="X87" i="4"/>
  <c r="I12" i="2" a="1"/>
  <c r="I12" i="2" s="1"/>
  <c r="BF91" i="4"/>
  <c r="CG88" i="4"/>
  <c r="AX86" i="4"/>
  <c r="AW86" i="4" s="1"/>
  <c r="BA86" i="4" s="1"/>
  <c r="AY86" i="4"/>
  <c r="BD85" i="4"/>
  <c r="BE85" i="4" s="1"/>
  <c r="DI83" i="4"/>
  <c r="DH83" i="4" s="1"/>
  <c r="DM83" i="4" s="1"/>
  <c r="DO82" i="4"/>
  <c r="DP82" i="4" s="1"/>
  <c r="DJ83" i="4"/>
  <c r="DA90" i="4"/>
  <c r="CY90" i="4" s="1"/>
  <c r="AA86" i="4"/>
  <c r="AF85" i="4"/>
  <c r="AL84" i="4"/>
  <c r="AM84" i="4" s="1"/>
  <c r="AG85" i="4"/>
  <c r="BB85" i="4"/>
  <c r="CP101" i="4"/>
  <c r="CT101" i="4" s="1"/>
  <c r="CE99" i="4"/>
  <c r="CF99" i="4" s="1"/>
  <c r="BZ100" i="4"/>
  <c r="CC99" i="4"/>
  <c r="BQ101" i="4"/>
  <c r="BV100" i="4"/>
  <c r="BW100" i="4" s="1"/>
  <c r="BT100" i="4"/>
  <c r="BO101" i="4" s="1"/>
  <c r="BS101" i="4" s="1"/>
  <c r="AR98" i="4"/>
  <c r="M106" i="4"/>
  <c r="DD90" i="4" l="1"/>
  <c r="DC90" i="4"/>
  <c r="CZ91" i="4" s="1"/>
  <c r="DL83" i="4"/>
  <c r="AX87" i="4"/>
  <c r="AY87" i="4"/>
  <c r="BD86" i="4"/>
  <c r="BE86" i="4" s="1"/>
  <c r="CL88" i="4"/>
  <c r="CK88" i="4"/>
  <c r="BK91" i="4"/>
  <c r="BJ91" i="4"/>
  <c r="V87" i="4"/>
  <c r="Z87" i="4" s="1"/>
  <c r="BB86" i="4"/>
  <c r="AE85" i="4"/>
  <c r="BX100" i="4"/>
  <c r="CB100" i="4" s="1"/>
  <c r="BY101" i="4" s="1"/>
  <c r="DF90" i="4"/>
  <c r="DG90" i="4" s="1"/>
  <c r="DA91" i="4"/>
  <c r="CY91" i="4"/>
  <c r="DD91" i="4" s="1"/>
  <c r="CW101" i="4"/>
  <c r="CX101" i="4" s="1"/>
  <c r="CR102" i="4"/>
  <c r="CU101" i="4"/>
  <c r="BQ102" i="4"/>
  <c r="BV101" i="4"/>
  <c r="BW101" i="4" s="1"/>
  <c r="BT101" i="4"/>
  <c r="BO102" i="4" s="1"/>
  <c r="BS102" i="4" s="1"/>
  <c r="AU98" i="4"/>
  <c r="AV98" i="4" s="1"/>
  <c r="AP99" i="4"/>
  <c r="R106" i="4"/>
  <c r="Q106" i="4"/>
  <c r="BG92" i="4" l="1"/>
  <c r="BF92" i="4" s="1"/>
  <c r="BJ92" i="4" s="1"/>
  <c r="BH92" i="4"/>
  <c r="BM91" i="4"/>
  <c r="BN91" i="4" s="1"/>
  <c r="AW87" i="4"/>
  <c r="BA87" i="4" s="1"/>
  <c r="W88" i="4"/>
  <c r="X88" i="4"/>
  <c r="AC87" i="4"/>
  <c r="AD87" i="4" s="1"/>
  <c r="BK92" i="4"/>
  <c r="CH89" i="4"/>
  <c r="CG89" i="4" s="1"/>
  <c r="CK89" i="4" s="1"/>
  <c r="CN88" i="4"/>
  <c r="CO88" i="4" s="1"/>
  <c r="CI89" i="4"/>
  <c r="CC100" i="4"/>
  <c r="DJ84" i="4"/>
  <c r="DO83" i="4"/>
  <c r="DP83" i="4" s="1"/>
  <c r="DI84" i="4"/>
  <c r="DH84" i="4" s="1"/>
  <c r="CP102" i="4"/>
  <c r="CT102" i="4" s="1"/>
  <c r="CW102" i="4" s="1"/>
  <c r="CX102" i="4" s="1"/>
  <c r="BZ101" i="4"/>
  <c r="BX101" i="4" s="1"/>
  <c r="CC101" i="4" s="1"/>
  <c r="AI85" i="4"/>
  <c r="AJ85" i="4"/>
  <c r="CE100" i="4"/>
  <c r="CF100" i="4" s="1"/>
  <c r="AA87" i="4"/>
  <c r="DC91" i="4"/>
  <c r="CZ92" i="4" s="1"/>
  <c r="BT102" i="4"/>
  <c r="BQ103" i="4"/>
  <c r="BO103" i="4"/>
  <c r="BS103" i="4" s="1"/>
  <c r="BV102" i="4"/>
  <c r="BW102" i="4" s="1"/>
  <c r="AN99" i="4"/>
  <c r="O107" i="4"/>
  <c r="T106" i="4"/>
  <c r="U106" i="4" s="1"/>
  <c r="M107" i="4"/>
  <c r="R107" i="4" s="1"/>
  <c r="CH90" i="4" l="1"/>
  <c r="CN89" i="4"/>
  <c r="CO89" i="4" s="1"/>
  <c r="CI90" i="4"/>
  <c r="BM92" i="4"/>
  <c r="BN92" i="4" s="1"/>
  <c r="BH93" i="4"/>
  <c r="BG93" i="4"/>
  <c r="AF86" i="4"/>
  <c r="AG86" i="4"/>
  <c r="AL85" i="4"/>
  <c r="AM85" i="4" s="1"/>
  <c r="AX88" i="4"/>
  <c r="AW88" i="4" s="1"/>
  <c r="BB88" i="4" s="1"/>
  <c r="BD87" i="4"/>
  <c r="BE87" i="4" s="1"/>
  <c r="AY88" i="4"/>
  <c r="V88" i="4"/>
  <c r="Z88" i="4" s="1"/>
  <c r="DL84" i="4"/>
  <c r="DM84" i="4"/>
  <c r="CL89" i="4"/>
  <c r="CU102" i="4"/>
  <c r="CR103" i="4"/>
  <c r="CP103" i="4" s="1"/>
  <c r="CU103" i="4" s="1"/>
  <c r="BB87" i="4"/>
  <c r="CB101" i="4"/>
  <c r="BY102" i="4" s="1"/>
  <c r="DF91" i="4"/>
  <c r="DG91" i="4" s="1"/>
  <c r="DA92" i="4"/>
  <c r="CY92" i="4"/>
  <c r="DD92" i="4" s="1"/>
  <c r="BQ104" i="4"/>
  <c r="BV103" i="4"/>
  <c r="BW103" i="4" s="1"/>
  <c r="BT103" i="4"/>
  <c r="AS99" i="4"/>
  <c r="AR99" i="4"/>
  <c r="Q107" i="4"/>
  <c r="T107" i="4" s="1"/>
  <c r="U107" i="4" s="1"/>
  <c r="BZ102" i="4" l="1"/>
  <c r="BX102" i="4" s="1"/>
  <c r="CC102" i="4" s="1"/>
  <c r="AE86" i="4"/>
  <c r="DI85" i="4"/>
  <c r="DH85" i="4" s="1"/>
  <c r="DL85" i="4" s="1"/>
  <c r="DO84" i="4"/>
  <c r="DP84" i="4" s="1"/>
  <c r="DJ85" i="4"/>
  <c r="CE101" i="4"/>
  <c r="CF101" i="4" s="1"/>
  <c r="BF93" i="4"/>
  <c r="W89" i="4"/>
  <c r="AC88" i="4"/>
  <c r="AD88" i="4" s="1"/>
  <c r="X89" i="4"/>
  <c r="AA88" i="4"/>
  <c r="CG90" i="4"/>
  <c r="BA88" i="4"/>
  <c r="CT103" i="4"/>
  <c r="O108" i="4"/>
  <c r="DC92" i="4"/>
  <c r="CZ93" i="4" s="1"/>
  <c r="CW103" i="4"/>
  <c r="CX103" i="4" s="1"/>
  <c r="CR104" i="4"/>
  <c r="CP104" i="4" s="1"/>
  <c r="CU104" i="4" s="1"/>
  <c r="CB102" i="4"/>
  <c r="BY103" i="4" s="1"/>
  <c r="BO104" i="4"/>
  <c r="AU99" i="4"/>
  <c r="AV99" i="4" s="1"/>
  <c r="AP100" i="4"/>
  <c r="AN100" i="4" s="1"/>
  <c r="AS100" i="4" s="1"/>
  <c r="M108" i="4"/>
  <c r="V89" i="4" l="1"/>
  <c r="BK93" i="4"/>
  <c r="BJ93" i="4"/>
  <c r="DJ86" i="4"/>
  <c r="DI86" i="4"/>
  <c r="DO85" i="4"/>
  <c r="DP85" i="4" s="1"/>
  <c r="AI86" i="4"/>
  <c r="AJ86" i="4"/>
  <c r="CL90" i="4"/>
  <c r="CK90" i="4"/>
  <c r="CT104" i="4"/>
  <c r="CT105" i="4" s="1"/>
  <c r="DM85" i="4"/>
  <c r="AX89" i="4"/>
  <c r="AW89" i="4" s="1"/>
  <c r="BB89" i="4" s="1"/>
  <c r="BD88" i="4"/>
  <c r="BE88" i="4" s="1"/>
  <c r="AY89" i="4"/>
  <c r="DA93" i="4"/>
  <c r="DF92" i="4"/>
  <c r="DG92" i="4" s="1"/>
  <c r="CW104" i="4"/>
  <c r="CX104" i="4" s="1"/>
  <c r="CR105" i="4"/>
  <c r="CP105" i="4" s="1"/>
  <c r="CU105" i="4" s="1"/>
  <c r="CE102" i="4"/>
  <c r="CF102" i="4" s="1"/>
  <c r="BZ103" i="4"/>
  <c r="BX103" i="4"/>
  <c r="CC103" i="4" s="1"/>
  <c r="BT104" i="4"/>
  <c r="BS104" i="4"/>
  <c r="AR100" i="4"/>
  <c r="Q108" i="4"/>
  <c r="R108" i="4"/>
  <c r="AA89" i="4" l="1"/>
  <c r="Z89" i="4"/>
  <c r="CH91" i="4"/>
  <c r="CI91" i="4"/>
  <c r="CN90" i="4"/>
  <c r="CO90" i="4" s="1"/>
  <c r="DH86" i="4"/>
  <c r="DL86" i="4" s="1"/>
  <c r="AG87" i="4"/>
  <c r="AF87" i="4"/>
  <c r="AL86" i="4"/>
  <c r="AM86" i="4" s="1"/>
  <c r="BG94" i="4"/>
  <c r="BF94" i="4" s="1"/>
  <c r="BK94" i="4" s="1"/>
  <c r="BM93" i="4"/>
  <c r="BN93" i="4" s="1"/>
  <c r="BH94" i="4"/>
  <c r="BA89" i="4"/>
  <c r="CY93" i="4"/>
  <c r="CR106" i="4"/>
  <c r="CP106" i="4" s="1"/>
  <c r="CU106" i="4" s="1"/>
  <c r="CW105" i="4"/>
  <c r="CX105" i="4" s="1"/>
  <c r="CT106" i="4"/>
  <c r="CB103" i="4"/>
  <c r="BY104" i="4" s="1"/>
  <c r="BQ105" i="4"/>
  <c r="BO105" i="4" s="1"/>
  <c r="BT105" i="4" s="1"/>
  <c r="BV104" i="4"/>
  <c r="BW104" i="4" s="1"/>
  <c r="AU100" i="4"/>
  <c r="AV100" i="4" s="1"/>
  <c r="AP101" i="4"/>
  <c r="AN101" i="4" s="1"/>
  <c r="T108" i="4"/>
  <c r="U108" i="4" s="1"/>
  <c r="O109" i="4"/>
  <c r="AE87" i="4" l="1"/>
  <c r="DI87" i="4"/>
  <c r="DJ87" i="4"/>
  <c r="DO86" i="4"/>
  <c r="DP86" i="4" s="1"/>
  <c r="AX90" i="4"/>
  <c r="AY90" i="4"/>
  <c r="BD89" i="4"/>
  <c r="BE89" i="4" s="1"/>
  <c r="BJ94" i="4"/>
  <c r="DM86" i="4"/>
  <c r="CG91" i="4"/>
  <c r="H12" i="2" a="1"/>
  <c r="H12" i="2" s="1"/>
  <c r="AC89" i="4"/>
  <c r="AD89" i="4" s="1"/>
  <c r="X90" i="4"/>
  <c r="W90" i="4"/>
  <c r="DC93" i="4"/>
  <c r="CZ94" i="4" s="1"/>
  <c r="DD93" i="4"/>
  <c r="CR107" i="4"/>
  <c r="CP107" i="4" s="1"/>
  <c r="CT107" i="4" s="1"/>
  <c r="CW106" i="4"/>
  <c r="CX106" i="4" s="1"/>
  <c r="BZ104" i="4"/>
  <c r="CE103" i="4"/>
  <c r="CF103" i="4" s="1"/>
  <c r="BS105" i="4"/>
  <c r="BQ106" i="4" s="1"/>
  <c r="BO106" i="4" s="1"/>
  <c r="BV105" i="4"/>
  <c r="BW105" i="4" s="1"/>
  <c r="AR101" i="4"/>
  <c r="AS101" i="4"/>
  <c r="M109" i="4"/>
  <c r="DM87" i="4" l="1"/>
  <c r="CK91" i="4"/>
  <c r="CL91" i="4"/>
  <c r="AW90" i="4"/>
  <c r="DH87" i="4"/>
  <c r="DL87" i="4" s="1"/>
  <c r="AJ87" i="4"/>
  <c r="AI87" i="4"/>
  <c r="BH95" i="4"/>
  <c r="BM94" i="4"/>
  <c r="BN94" i="4" s="1"/>
  <c r="BG95" i="4"/>
  <c r="V90" i="4"/>
  <c r="CU107" i="4"/>
  <c r="DF93" i="4"/>
  <c r="DG93" i="4" s="1"/>
  <c r="DA94" i="4"/>
  <c r="CW107" i="4"/>
  <c r="CX107" i="4" s="1"/>
  <c r="CR108" i="4"/>
  <c r="CP108" i="4" s="1"/>
  <c r="CU108" i="4" s="1"/>
  <c r="BX104" i="4"/>
  <c r="BT106" i="4"/>
  <c r="BO107" i="4" s="1"/>
  <c r="BS106" i="4"/>
  <c r="BQ107" i="4"/>
  <c r="BV106" i="4"/>
  <c r="BW106" i="4" s="1"/>
  <c r="AU101" i="4"/>
  <c r="AV101" i="4" s="1"/>
  <c r="AP102" i="4"/>
  <c r="AN102" i="4"/>
  <c r="AR102" i="4" s="1"/>
  <c r="R109" i="4"/>
  <c r="Q109" i="4"/>
  <c r="AA90" i="4" l="1"/>
  <c r="Z90" i="4"/>
  <c r="BF95" i="4"/>
  <c r="DI88" i="4"/>
  <c r="DJ88" i="4"/>
  <c r="DO87" i="4"/>
  <c r="DP87" i="4" s="1"/>
  <c r="CH92" i="4"/>
  <c r="CN91" i="4"/>
  <c r="CO91" i="4" s="1"/>
  <c r="CI92" i="4"/>
  <c r="AF88" i="4"/>
  <c r="AE88" i="4" s="1"/>
  <c r="AI88" i="4" s="1"/>
  <c r="AL87" i="4"/>
  <c r="AM87" i="4" s="1"/>
  <c r="AG88" i="4"/>
  <c r="BB90" i="4"/>
  <c r="BA90" i="4"/>
  <c r="CY94" i="4"/>
  <c r="CT108" i="4"/>
  <c r="CC104" i="4"/>
  <c r="CB104" i="4"/>
  <c r="BY105" i="4" s="1"/>
  <c r="BT107" i="4"/>
  <c r="BS107" i="4"/>
  <c r="AP103" i="4"/>
  <c r="AU102" i="4"/>
  <c r="AV102" i="4" s="1"/>
  <c r="AS102" i="4"/>
  <c r="AN103" i="4" s="1"/>
  <c r="AR103" i="4" s="1"/>
  <c r="T109" i="4"/>
  <c r="U109" i="4" s="1"/>
  <c r="O110" i="4"/>
  <c r="M110" i="4" s="1"/>
  <c r="R110" i="4" s="1"/>
  <c r="AL88" i="4" l="1"/>
  <c r="AM88" i="4" s="1"/>
  <c r="AF89" i="4"/>
  <c r="AG89" i="4"/>
  <c r="CG92" i="4"/>
  <c r="DH88" i="4"/>
  <c r="AY91" i="4"/>
  <c r="AX91" i="4"/>
  <c r="AW91" i="4" s="1"/>
  <c r="BB91" i="4" s="1"/>
  <c r="BD90" i="4"/>
  <c r="BE90" i="4" s="1"/>
  <c r="AJ88" i="4"/>
  <c r="BK95" i="4"/>
  <c r="BJ95" i="4"/>
  <c r="W91" i="4"/>
  <c r="V91" i="4" s="1"/>
  <c r="AA91" i="4" s="1"/>
  <c r="AC90" i="4"/>
  <c r="AD90" i="4" s="1"/>
  <c r="X91" i="4"/>
  <c r="DD94" i="4"/>
  <c r="DC94" i="4"/>
  <c r="CZ95" i="4" s="1"/>
  <c r="CW108" i="4"/>
  <c r="CX108" i="4" s="1"/>
  <c r="CR109" i="4"/>
  <c r="CP109" i="4" s="1"/>
  <c r="BZ105" i="4"/>
  <c r="CE104" i="4"/>
  <c r="CF104" i="4" s="1"/>
  <c r="BX105" i="4"/>
  <c r="CC105" i="4" s="1"/>
  <c r="BV107" i="4"/>
  <c r="BW107" i="4" s="1"/>
  <c r="BQ108" i="4"/>
  <c r="AS103" i="4"/>
  <c r="AP104" i="4"/>
  <c r="AN104" i="4" s="1"/>
  <c r="AR104" i="4" s="1"/>
  <c r="AU103" i="4"/>
  <c r="AV103" i="4" s="1"/>
  <c r="Q110" i="4"/>
  <c r="O111" i="4"/>
  <c r="M111" i="4" s="1"/>
  <c r="T110" i="4"/>
  <c r="U110" i="4" s="1"/>
  <c r="BM95" i="4" l="1"/>
  <c r="BN95" i="4" s="1"/>
  <c r="BH96" i="4"/>
  <c r="BG96" i="4"/>
  <c r="BF96" i="4" s="1"/>
  <c r="BJ96" i="4" s="1"/>
  <c r="AE89" i="4"/>
  <c r="DM88" i="4"/>
  <c r="DL88" i="4"/>
  <c r="Z91" i="4"/>
  <c r="CK92" i="4"/>
  <c r="CL92" i="4"/>
  <c r="BA91" i="4"/>
  <c r="Q111" i="4"/>
  <c r="T111" i="4" s="1"/>
  <c r="U111" i="4" s="1"/>
  <c r="R111" i="4"/>
  <c r="DA95" i="4"/>
  <c r="DF94" i="4"/>
  <c r="DG94" i="4" s="1"/>
  <c r="CU109" i="4"/>
  <c r="CT109" i="4"/>
  <c r="CB105" i="4"/>
  <c r="BY106" i="4" s="1"/>
  <c r="BO108" i="4"/>
  <c r="AU104" i="4"/>
  <c r="AV104" i="4" s="1"/>
  <c r="AP105" i="4"/>
  <c r="AS104" i="4"/>
  <c r="BH97" i="4" l="1"/>
  <c r="BM96" i="4"/>
  <c r="BN96" i="4" s="1"/>
  <c r="BG97" i="4"/>
  <c r="BF97" i="4" s="1"/>
  <c r="BJ97" i="4" s="1"/>
  <c r="AX92" i="4"/>
  <c r="AW92" i="4" s="1"/>
  <c r="AY92" i="4"/>
  <c r="BD91" i="4"/>
  <c r="BE91" i="4" s="1"/>
  <c r="CH93" i="4"/>
  <c r="CG93" i="4" s="1"/>
  <c r="CK93" i="4" s="1"/>
  <c r="CI93" i="4"/>
  <c r="CN92" i="4"/>
  <c r="CO92" i="4" s="1"/>
  <c r="W92" i="4"/>
  <c r="AC91" i="4"/>
  <c r="AD91" i="4" s="1"/>
  <c r="X92" i="4"/>
  <c r="AJ89" i="4"/>
  <c r="AI89" i="4"/>
  <c r="BK96" i="4"/>
  <c r="DJ89" i="4"/>
  <c r="DO88" i="4"/>
  <c r="DP88" i="4" s="1"/>
  <c r="DI89" i="4"/>
  <c r="DH89" i="4" s="1"/>
  <c r="DM89" i="4" s="1"/>
  <c r="AN105" i="4"/>
  <c r="AR105" i="4" s="1"/>
  <c r="AU105" i="4" s="1"/>
  <c r="AV105" i="4" s="1"/>
  <c r="O112" i="4"/>
  <c r="M112" i="4" s="1"/>
  <c r="Q112" i="4" s="1"/>
  <c r="O113" i="4" s="1"/>
  <c r="CY95" i="4"/>
  <c r="CW109" i="4"/>
  <c r="CX109" i="4" s="1"/>
  <c r="CR110" i="4"/>
  <c r="CP110" i="4" s="1"/>
  <c r="CE105" i="4"/>
  <c r="CF105" i="4" s="1"/>
  <c r="BZ106" i="4"/>
  <c r="BX106" i="4"/>
  <c r="CC106" i="4" s="1"/>
  <c r="BT108" i="4"/>
  <c r="BS108" i="4"/>
  <c r="BG98" i="4" l="1"/>
  <c r="BF98" i="4" s="1"/>
  <c r="BK98" i="4" s="1"/>
  <c r="BH98" i="4"/>
  <c r="BM97" i="4"/>
  <c r="BN97" i="4" s="1"/>
  <c r="R112" i="4"/>
  <c r="M113" i="4" s="1"/>
  <c r="Q113" i="4" s="1"/>
  <c r="T113" i="4" s="1"/>
  <c r="U113" i="4" s="1"/>
  <c r="T112" i="4"/>
  <c r="U112" i="4" s="1"/>
  <c r="BK97" i="4"/>
  <c r="CL93" i="4"/>
  <c r="V92" i="4"/>
  <c r="DL89" i="4"/>
  <c r="AS105" i="4"/>
  <c r="AP106" i="4"/>
  <c r="AN106" i="4" s="1"/>
  <c r="AS106" i="4" s="1"/>
  <c r="AF90" i="4"/>
  <c r="AL89" i="4"/>
  <c r="AM89" i="4" s="1"/>
  <c r="AG90" i="4"/>
  <c r="CH94" i="4"/>
  <c r="CI94" i="4"/>
  <c r="CN93" i="4"/>
  <c r="CO93" i="4" s="1"/>
  <c r="BA92" i="4"/>
  <c r="BB92" i="4"/>
  <c r="DD95" i="4"/>
  <c r="DC95" i="4"/>
  <c r="CZ96" i="4" s="1"/>
  <c r="CT110" i="4"/>
  <c r="CU110" i="4"/>
  <c r="CB106" i="4"/>
  <c r="BY107" i="4" s="1"/>
  <c r="BQ109" i="4"/>
  <c r="BV108" i="4"/>
  <c r="BW108" i="4" s="1"/>
  <c r="BO109" i="4"/>
  <c r="BT109" i="4" s="1"/>
  <c r="AR106" i="4"/>
  <c r="DI90" i="4" l="1"/>
  <c r="DH90" i="4" s="1"/>
  <c r="DO89" i="4"/>
  <c r="DP89" i="4" s="1"/>
  <c r="DJ90" i="4"/>
  <c r="AA92" i="4"/>
  <c r="Z92" i="4"/>
  <c r="R113" i="4"/>
  <c r="BJ98" i="4"/>
  <c r="CG94" i="4"/>
  <c r="CK94" i="4" s="1"/>
  <c r="CL94" i="4"/>
  <c r="AY93" i="4"/>
  <c r="AX93" i="4"/>
  <c r="AW93" i="4" s="1"/>
  <c r="BA93" i="4" s="1"/>
  <c r="BD92" i="4"/>
  <c r="BE92" i="4" s="1"/>
  <c r="O114" i="4"/>
  <c r="M114" i="4" s="1"/>
  <c r="Q114" i="4" s="1"/>
  <c r="T114" i="4" s="1"/>
  <c r="U114" i="4" s="1"/>
  <c r="AE90" i="4"/>
  <c r="DF95" i="4"/>
  <c r="DG95" i="4" s="1"/>
  <c r="DA96" i="4"/>
  <c r="CY96" i="4" s="1"/>
  <c r="DD96" i="4" s="1"/>
  <c r="CR111" i="4"/>
  <c r="CP111" i="4" s="1"/>
  <c r="CT111" i="4" s="1"/>
  <c r="CW110" i="4"/>
  <c r="CX110" i="4" s="1"/>
  <c r="CE106" i="4"/>
  <c r="CF106" i="4" s="1"/>
  <c r="BZ107" i="4"/>
  <c r="BX107" i="4" s="1"/>
  <c r="BS109" i="4"/>
  <c r="AP107" i="4"/>
  <c r="AU106" i="4"/>
  <c r="AV106" i="4" s="1"/>
  <c r="O115" i="4" l="1"/>
  <c r="BG99" i="4"/>
  <c r="BF99" i="4" s="1"/>
  <c r="BK99" i="4" s="1"/>
  <c r="BM98" i="4"/>
  <c r="BN98" i="4" s="1"/>
  <c r="BH99" i="4"/>
  <c r="BJ99" i="4"/>
  <c r="R114" i="4"/>
  <c r="CH95" i="4"/>
  <c r="CG95" i="4" s="1"/>
  <c r="CK95" i="4" s="1"/>
  <c r="CN94" i="4"/>
  <c r="CO94" i="4" s="1"/>
  <c r="CI95" i="4"/>
  <c r="W93" i="4"/>
  <c r="AC92" i="4"/>
  <c r="AD92" i="4" s="1"/>
  <c r="X93" i="4"/>
  <c r="AY94" i="4"/>
  <c r="BD93" i="4"/>
  <c r="BE93" i="4" s="1"/>
  <c r="AX94" i="4"/>
  <c r="DL90" i="4"/>
  <c r="DM90" i="4"/>
  <c r="AJ90" i="4"/>
  <c r="AI90" i="4"/>
  <c r="BB93" i="4"/>
  <c r="DC96" i="4"/>
  <c r="CZ97" i="4" s="1"/>
  <c r="CR112" i="4"/>
  <c r="CW111" i="4"/>
  <c r="CX111" i="4" s="1"/>
  <c r="CU111" i="4"/>
  <c r="CB107" i="4"/>
  <c r="BY108" i="4" s="1"/>
  <c r="CC107" i="4"/>
  <c r="BV109" i="4"/>
  <c r="BW109" i="4" s="1"/>
  <c r="BQ110" i="4"/>
  <c r="BO110" i="4" s="1"/>
  <c r="BT110" i="4" s="1"/>
  <c r="AN107" i="4"/>
  <c r="BG100" i="4" l="1"/>
  <c r="BF100" i="4" s="1"/>
  <c r="BK100" i="4" s="1"/>
  <c r="BM99" i="4"/>
  <c r="BN99" i="4" s="1"/>
  <c r="BH100" i="4"/>
  <c r="V93" i="4"/>
  <c r="DI91" i="4"/>
  <c r="DH91" i="4" s="1"/>
  <c r="DL91" i="4" s="1"/>
  <c r="DJ91" i="4"/>
  <c r="DO90" i="4"/>
  <c r="DP90" i="4" s="1"/>
  <c r="AW94" i="4"/>
  <c r="CL95" i="4"/>
  <c r="CH96" i="4"/>
  <c r="CN95" i="4"/>
  <c r="CO95" i="4" s="1"/>
  <c r="CI96" i="4"/>
  <c r="CG96" i="4" s="1"/>
  <c r="CK96" i="4" s="1"/>
  <c r="AL90" i="4"/>
  <c r="AM90" i="4" s="1"/>
  <c r="AG91" i="4"/>
  <c r="AF91" i="4"/>
  <c r="M115" i="4"/>
  <c r="DF96" i="4"/>
  <c r="DG96" i="4" s="1"/>
  <c r="DA97" i="4"/>
  <c r="CY97" i="4" s="1"/>
  <c r="DD97" i="4" s="1"/>
  <c r="CP112" i="4"/>
  <c r="CT112" i="4" s="1"/>
  <c r="BZ108" i="4"/>
  <c r="CE107" i="4"/>
  <c r="CF107" i="4" s="1"/>
  <c r="BX108" i="4"/>
  <c r="CB108" i="4" s="1"/>
  <c r="BY109" i="4" s="1"/>
  <c r="BS110" i="4"/>
  <c r="AS107" i="4"/>
  <c r="AR107" i="4"/>
  <c r="CH97" i="4" l="1"/>
  <c r="CI97" i="4"/>
  <c r="CN96" i="4"/>
  <c r="CO96" i="4" s="1"/>
  <c r="CL96" i="4"/>
  <c r="BB94" i="4"/>
  <c r="BA94" i="4"/>
  <c r="R115" i="4"/>
  <c r="Q115" i="4"/>
  <c r="DM91" i="4"/>
  <c r="DI92" i="4"/>
  <c r="DH92" i="4" s="1"/>
  <c r="DL92" i="4" s="1"/>
  <c r="DJ92" i="4"/>
  <c r="DO91" i="4"/>
  <c r="DP91" i="4" s="1"/>
  <c r="AA93" i="4"/>
  <c r="Z93" i="4"/>
  <c r="BJ100" i="4"/>
  <c r="AE91" i="4"/>
  <c r="DC97" i="4"/>
  <c r="CZ98" i="4" s="1"/>
  <c r="CW112" i="4"/>
  <c r="CX112" i="4" s="1"/>
  <c r="CR113" i="4"/>
  <c r="CU112" i="4"/>
  <c r="CE108" i="4"/>
  <c r="CF108" i="4" s="1"/>
  <c r="BZ109" i="4"/>
  <c r="CC108" i="4"/>
  <c r="BV110" i="4"/>
  <c r="BW110" i="4" s="1"/>
  <c r="BQ111" i="4"/>
  <c r="BO111" i="4"/>
  <c r="BT111" i="4" s="1"/>
  <c r="AP108" i="4"/>
  <c r="AU107" i="4"/>
  <c r="AV107" i="4" s="1"/>
  <c r="AN108" i="4"/>
  <c r="AR108" i="4" s="1"/>
  <c r="CP113" i="4" l="1"/>
  <c r="CT113" i="4" s="1"/>
  <c r="CW113" i="4" s="1"/>
  <c r="CX113" i="4" s="1"/>
  <c r="DI93" i="4"/>
  <c r="DH93" i="4" s="1"/>
  <c r="DL93" i="4" s="1"/>
  <c r="DJ93" i="4"/>
  <c r="DO92" i="4"/>
  <c r="DP92" i="4" s="1"/>
  <c r="DM92" i="4"/>
  <c r="T115" i="4"/>
  <c r="U115" i="4" s="1"/>
  <c r="O116" i="4"/>
  <c r="M116" i="4" s="1"/>
  <c r="AX95" i="4"/>
  <c r="BD94" i="4"/>
  <c r="BE94" i="4" s="1"/>
  <c r="AY95" i="4"/>
  <c r="CL97" i="4"/>
  <c r="AJ91" i="4"/>
  <c r="AI91" i="4"/>
  <c r="BG101" i="4"/>
  <c r="BF101" i="4" s="1"/>
  <c r="BM100" i="4"/>
  <c r="BN100" i="4" s="1"/>
  <c r="BH101" i="4"/>
  <c r="W94" i="4"/>
  <c r="AC93" i="4"/>
  <c r="AD93" i="4" s="1"/>
  <c r="X94" i="4"/>
  <c r="CG97" i="4"/>
  <c r="CK97" i="4" s="1"/>
  <c r="DA98" i="4"/>
  <c r="DF97" i="4"/>
  <c r="DG97" i="4" s="1"/>
  <c r="CY98" i="4"/>
  <c r="BX109" i="4"/>
  <c r="CB109" i="4" s="1"/>
  <c r="BY110" i="4" s="1"/>
  <c r="BS111" i="4"/>
  <c r="AP109" i="4"/>
  <c r="AU108" i="4"/>
  <c r="AV108" i="4" s="1"/>
  <c r="AS108" i="4"/>
  <c r="AN109" i="4" s="1"/>
  <c r="AR109" i="4" s="1"/>
  <c r="R116" i="4" l="1"/>
  <c r="Q116" i="4"/>
  <c r="BJ101" i="4"/>
  <c r="BK101" i="4"/>
  <c r="CU113" i="4"/>
  <c r="CR114" i="4"/>
  <c r="CP114" i="4" s="1"/>
  <c r="CT114" i="4" s="1"/>
  <c r="CW114" i="4" s="1"/>
  <c r="CX114" i="4" s="1"/>
  <c r="AW95" i="4"/>
  <c r="DM93" i="4"/>
  <c r="DO93" i="4"/>
  <c r="DP93" i="4" s="1"/>
  <c r="DJ94" i="4"/>
  <c r="DI94" i="4"/>
  <c r="DH94" i="4" s="1"/>
  <c r="DL94" i="4" s="1"/>
  <c r="AF92" i="4"/>
  <c r="AE92" i="4" s="1"/>
  <c r="AI92" i="4" s="1"/>
  <c r="AG92" i="4"/>
  <c r="AL91" i="4"/>
  <c r="AM91" i="4" s="1"/>
  <c r="CH98" i="4"/>
  <c r="CI98" i="4"/>
  <c r="CN97" i="4"/>
  <c r="CO97" i="4" s="1"/>
  <c r="V94" i="4"/>
  <c r="DC98" i="4"/>
  <c r="CZ99" i="4" s="1"/>
  <c r="DD98" i="4"/>
  <c r="BZ110" i="4"/>
  <c r="CE109" i="4"/>
  <c r="CF109" i="4" s="1"/>
  <c r="CC109" i="4"/>
  <c r="BX110" i="4" s="1"/>
  <c r="CB110" i="4" s="1"/>
  <c r="BY111" i="4" s="1"/>
  <c r="BV111" i="4"/>
  <c r="BW111" i="4" s="1"/>
  <c r="BQ112" i="4"/>
  <c r="AP110" i="4"/>
  <c r="AU109" i="4"/>
  <c r="AV109" i="4" s="1"/>
  <c r="AS109" i="4"/>
  <c r="AG93" i="4" l="1"/>
  <c r="AF93" i="4"/>
  <c r="AL92" i="4"/>
  <c r="AM92" i="4" s="1"/>
  <c r="DM94" i="4"/>
  <c r="AJ92" i="4"/>
  <c r="AA94" i="4"/>
  <c r="Z94" i="4"/>
  <c r="DI95" i="4"/>
  <c r="DH95" i="4" s="1"/>
  <c r="DL95" i="4" s="1"/>
  <c r="DO94" i="4"/>
  <c r="DP94" i="4" s="1"/>
  <c r="DJ95" i="4"/>
  <c r="BB95" i="4"/>
  <c r="BA95" i="4"/>
  <c r="CG98" i="4"/>
  <c r="BG102" i="4"/>
  <c r="BH102" i="4"/>
  <c r="BM101" i="4"/>
  <c r="BN101" i="4" s="1"/>
  <c r="O117" i="4"/>
  <c r="M117" i="4" s="1"/>
  <c r="T116" i="4"/>
  <c r="U116" i="4" s="1"/>
  <c r="AN110" i="4"/>
  <c r="AR110" i="4" s="1"/>
  <c r="AU110" i="4" s="1"/>
  <c r="AV110" i="4" s="1"/>
  <c r="CR115" i="4"/>
  <c r="CU114" i="4"/>
  <c r="DA99" i="4"/>
  <c r="CY99" i="4"/>
  <c r="DC99" i="4" s="1"/>
  <c r="CZ100" i="4" s="1"/>
  <c r="DF98" i="4"/>
  <c r="DG98" i="4" s="1"/>
  <c r="CE110" i="4"/>
  <c r="CF110" i="4" s="1"/>
  <c r="BZ111" i="4"/>
  <c r="CC110" i="4"/>
  <c r="BX111" i="4" s="1"/>
  <c r="CB111" i="4" s="1"/>
  <c r="BY112" i="4" s="1"/>
  <c r="BO112" i="4"/>
  <c r="AS110" i="4"/>
  <c r="DI96" i="4" l="1"/>
  <c r="DH96" i="4" s="1"/>
  <c r="DL96" i="4" s="1"/>
  <c r="DJ96" i="4"/>
  <c r="DO95" i="4"/>
  <c r="DP95" i="4" s="1"/>
  <c r="AP111" i="4"/>
  <c r="R117" i="4"/>
  <c r="Q117" i="4"/>
  <c r="DM95" i="4"/>
  <c r="W95" i="4"/>
  <c r="X95" i="4"/>
  <c r="AC94" i="4"/>
  <c r="AD94" i="4" s="1"/>
  <c r="AJ93" i="4"/>
  <c r="CP115" i="4"/>
  <c r="CT115" i="4" s="1"/>
  <c r="CW115" i="4" s="1"/>
  <c r="CX115" i="4" s="1"/>
  <c r="BD95" i="4"/>
  <c r="BE95" i="4" s="1"/>
  <c r="AY96" i="4"/>
  <c r="AX96" i="4"/>
  <c r="AW96" i="4" s="1"/>
  <c r="BB96" i="4" s="1"/>
  <c r="BF102" i="4"/>
  <c r="AE93" i="4"/>
  <c r="AI93" i="4" s="1"/>
  <c r="CK98" i="4"/>
  <c r="CL98" i="4"/>
  <c r="CR116" i="4"/>
  <c r="DF99" i="4"/>
  <c r="DG99" i="4" s="1"/>
  <c r="DA100" i="4"/>
  <c r="DD99" i="4"/>
  <c r="CY100" i="4" s="1"/>
  <c r="DC100" i="4" s="1"/>
  <c r="CZ101" i="4" s="1"/>
  <c r="CC111" i="4"/>
  <c r="CE111" i="4"/>
  <c r="CF111" i="4" s="1"/>
  <c r="BZ112" i="4"/>
  <c r="BX112" i="4"/>
  <c r="CB112" i="4" s="1"/>
  <c r="BY113" i="4" s="1"/>
  <c r="BT112" i="4"/>
  <c r="BS112" i="4"/>
  <c r="AN111" i="4"/>
  <c r="AR111" i="4" s="1"/>
  <c r="DO96" i="4" l="1"/>
  <c r="DP96" i="4" s="1"/>
  <c r="DJ97" i="4"/>
  <c r="DI97" i="4"/>
  <c r="CH99" i="4"/>
  <c r="CG99" i="4" s="1"/>
  <c r="CN98" i="4"/>
  <c r="CO98" i="4" s="1"/>
  <c r="CI99" i="4"/>
  <c r="AL93" i="4"/>
  <c r="AM93" i="4" s="1"/>
  <c r="AG94" i="4"/>
  <c r="AF94" i="4"/>
  <c r="AE94" i="4" s="1"/>
  <c r="AJ94" i="4" s="1"/>
  <c r="CP116" i="4"/>
  <c r="CT116" i="4" s="1"/>
  <c r="CW116" i="4" s="1"/>
  <c r="CX116" i="4" s="1"/>
  <c r="V95" i="4"/>
  <c r="DM96" i="4"/>
  <c r="O118" i="4"/>
  <c r="M118" i="4" s="1"/>
  <c r="R118" i="4" s="1"/>
  <c r="T117" i="4"/>
  <c r="U117" i="4" s="1"/>
  <c r="Q118" i="4"/>
  <c r="BJ102" i="4"/>
  <c r="BK102" i="4"/>
  <c r="CU115" i="4"/>
  <c r="BA96" i="4"/>
  <c r="DA101" i="4"/>
  <c r="DF100" i="4"/>
  <c r="DG100" i="4" s="1"/>
  <c r="DD100" i="4"/>
  <c r="CE112" i="4"/>
  <c r="CF112" i="4" s="1"/>
  <c r="BZ113" i="4"/>
  <c r="BX113" i="4" s="1"/>
  <c r="CB113" i="4" s="1"/>
  <c r="BY114" i="4" s="1"/>
  <c r="CC112" i="4"/>
  <c r="BQ113" i="4"/>
  <c r="BV112" i="4"/>
  <c r="BW112" i="4" s="1"/>
  <c r="AP112" i="4"/>
  <c r="AU111" i="4"/>
  <c r="AV111" i="4" s="1"/>
  <c r="AS111" i="4"/>
  <c r="T118" i="4"/>
  <c r="U118" i="4" s="1"/>
  <c r="O119" i="4"/>
  <c r="M119" i="4" s="1"/>
  <c r="R119" i="4" s="1"/>
  <c r="CK99" i="4" l="1"/>
  <c r="CL99" i="4"/>
  <c r="Z95" i="4"/>
  <c r="AA95" i="4"/>
  <c r="AI94" i="4"/>
  <c r="CR117" i="4"/>
  <c r="BG103" i="4"/>
  <c r="BF103" i="4" s="1"/>
  <c r="BJ103" i="4" s="1"/>
  <c r="BH103" i="4"/>
  <c r="BM102" i="4"/>
  <c r="BN102" i="4" s="1"/>
  <c r="DM97" i="4"/>
  <c r="CU116" i="4"/>
  <c r="CP117" i="4" s="1"/>
  <c r="CT117" i="4" s="1"/>
  <c r="AY97" i="4"/>
  <c r="BD96" i="4"/>
  <c r="BE96" i="4" s="1"/>
  <c r="AX97" i="4"/>
  <c r="DH97" i="4"/>
  <c r="DL97" i="4" s="1"/>
  <c r="CY101" i="4"/>
  <c r="DC101" i="4" s="1"/>
  <c r="CZ102" i="4" s="1"/>
  <c r="I13" i="2" a="1"/>
  <c r="I13" i="2" s="1"/>
  <c r="DF101" i="4"/>
  <c r="DG101" i="4" s="1"/>
  <c r="DD101" i="4"/>
  <c r="BZ114" i="4"/>
  <c r="CE113" i="4"/>
  <c r="CF113" i="4" s="1"/>
  <c r="CC113" i="4"/>
  <c r="BO113" i="4"/>
  <c r="AN112" i="4"/>
  <c r="AR112" i="4" s="1"/>
  <c r="Q119" i="4"/>
  <c r="O120" i="4" s="1"/>
  <c r="M120" i="4" s="1"/>
  <c r="CY102" i="4" l="1"/>
  <c r="DC102" i="4" s="1"/>
  <c r="CZ103" i="4" s="1"/>
  <c r="BK103" i="4"/>
  <c r="AG95" i="4"/>
  <c r="AL94" i="4"/>
  <c r="AM94" i="4" s="1"/>
  <c r="AF95" i="4"/>
  <c r="BG104" i="4"/>
  <c r="BM103" i="4"/>
  <c r="BN103" i="4" s="1"/>
  <c r="BH104" i="4"/>
  <c r="DA102" i="4"/>
  <c r="W96" i="4"/>
  <c r="X96" i="4"/>
  <c r="AC95" i="4"/>
  <c r="AD95" i="4" s="1"/>
  <c r="DI98" i="4"/>
  <c r="DO97" i="4"/>
  <c r="DP97" i="4" s="1"/>
  <c r="DJ98" i="4"/>
  <c r="T119" i="4"/>
  <c r="U119" i="4" s="1"/>
  <c r="AW97" i="4"/>
  <c r="CH100" i="4"/>
  <c r="CI100" i="4"/>
  <c r="CN99" i="4"/>
  <c r="CO99" i="4" s="1"/>
  <c r="CR118" i="4"/>
  <c r="CW117" i="4"/>
  <c r="CX117" i="4" s="1"/>
  <c r="CU117" i="4"/>
  <c r="BX114" i="4"/>
  <c r="CB114" i="4" s="1"/>
  <c r="BY115" i="4" s="1"/>
  <c r="BT113" i="4"/>
  <c r="BS113" i="4"/>
  <c r="AU112" i="4"/>
  <c r="AV112" i="4" s="1"/>
  <c r="AP113" i="4"/>
  <c r="AS112" i="4"/>
  <c r="R120" i="4"/>
  <c r="Q120" i="4"/>
  <c r="O121" i="4"/>
  <c r="T120" i="4"/>
  <c r="U120" i="4" s="1"/>
  <c r="M121" i="4"/>
  <c r="R121" i="4" s="1"/>
  <c r="BF104" i="4" l="1"/>
  <c r="BJ104" i="4" s="1"/>
  <c r="BK104" i="4"/>
  <c r="DH98" i="4"/>
  <c r="V96" i="4"/>
  <c r="DD102" i="4"/>
  <c r="AN113" i="4"/>
  <c r="AR113" i="4" s="1"/>
  <c r="AE95" i="4"/>
  <c r="CP118" i="4"/>
  <c r="CT118" i="4" s="1"/>
  <c r="DA103" i="4"/>
  <c r="DF102" i="4"/>
  <c r="DG102" i="4" s="1"/>
  <c r="CG100" i="4"/>
  <c r="BB97" i="4"/>
  <c r="BA97" i="4"/>
  <c r="CY103" i="4"/>
  <c r="DC103" i="4" s="1"/>
  <c r="CZ104" i="4" s="1"/>
  <c r="CW118" i="4"/>
  <c r="CX118" i="4" s="1"/>
  <c r="CR119" i="4"/>
  <c r="BZ115" i="4"/>
  <c r="CE114" i="4"/>
  <c r="CF114" i="4" s="1"/>
  <c r="CC114" i="4"/>
  <c r="BX115" i="4" s="1"/>
  <c r="CB115" i="4" s="1"/>
  <c r="BY116" i="4" s="1"/>
  <c r="BV113" i="4"/>
  <c r="BW113" i="4" s="1"/>
  <c r="BQ114" i="4"/>
  <c r="BO114" i="4"/>
  <c r="BT114" i="4" s="1"/>
  <c r="AU113" i="4"/>
  <c r="AV113" i="4" s="1"/>
  <c r="AP114" i="4"/>
  <c r="AS113" i="4"/>
  <c r="Q121" i="4"/>
  <c r="BB98" i="4" l="1"/>
  <c r="AX98" i="4"/>
  <c r="AW98" i="4" s="1"/>
  <c r="BD97" i="4"/>
  <c r="BE97" i="4" s="1"/>
  <c r="AY98" i="4"/>
  <c r="AJ95" i="4"/>
  <c r="AI95" i="4"/>
  <c r="BA98" i="4"/>
  <c r="AY99" i="4" s="1"/>
  <c r="Z96" i="4"/>
  <c r="AA96" i="4"/>
  <c r="CK100" i="4"/>
  <c r="CL100" i="4"/>
  <c r="CU118" i="4"/>
  <c r="CP119" i="4" s="1"/>
  <c r="CT119" i="4" s="1"/>
  <c r="DL98" i="4"/>
  <c r="DM98" i="4"/>
  <c r="BH105" i="4"/>
  <c r="BM104" i="4"/>
  <c r="BN104" i="4" s="1"/>
  <c r="BG105" i="4"/>
  <c r="AX99" i="4"/>
  <c r="AN114" i="4"/>
  <c r="AR114" i="4" s="1"/>
  <c r="AU114" i="4" s="1"/>
  <c r="AV114" i="4" s="1"/>
  <c r="DF103" i="4"/>
  <c r="DG103" i="4" s="1"/>
  <c r="DA104" i="4"/>
  <c r="DD103" i="4"/>
  <c r="BZ116" i="4"/>
  <c r="CE115" i="4"/>
  <c r="CF115" i="4" s="1"/>
  <c r="CC115" i="4"/>
  <c r="BS114" i="4"/>
  <c r="O122" i="4"/>
  <c r="T121" i="4"/>
  <c r="U121" i="4" s="1"/>
  <c r="CW119" i="4" l="1"/>
  <c r="CX119" i="4" s="1"/>
  <c r="CR120" i="4"/>
  <c r="CH101" i="4"/>
  <c r="CG101" i="4" s="1"/>
  <c r="CK101" i="4" s="1"/>
  <c r="CI101" i="4"/>
  <c r="CN100" i="4"/>
  <c r="CO100" i="4" s="1"/>
  <c r="CL101" i="4"/>
  <c r="W97" i="4"/>
  <c r="V97" i="4" s="1"/>
  <c r="Z97" i="4" s="1"/>
  <c r="X97" i="4"/>
  <c r="AC96" i="4"/>
  <c r="AD96" i="4" s="1"/>
  <c r="AP115" i="4"/>
  <c r="AN115" i="4" s="1"/>
  <c r="AR115" i="4" s="1"/>
  <c r="BD98" i="4"/>
  <c r="BE98" i="4" s="1"/>
  <c r="DI99" i="4"/>
  <c r="DO98" i="4"/>
  <c r="DP98" i="4" s="1"/>
  <c r="DJ99" i="4"/>
  <c r="CU119" i="4"/>
  <c r="AF96" i="4"/>
  <c r="AL95" i="4"/>
  <c r="AM95" i="4" s="1"/>
  <c r="AG96" i="4"/>
  <c r="AS114" i="4"/>
  <c r="AS115" i="4" s="1"/>
  <c r="AN116" i="4" s="1"/>
  <c r="AR116" i="4" s="1"/>
  <c r="BF105" i="4"/>
  <c r="AW99" i="4"/>
  <c r="BB99" i="4" s="1"/>
  <c r="BX116" i="4"/>
  <c r="CB116" i="4" s="1"/>
  <c r="BY117" i="4" s="1"/>
  <c r="BA99" i="4"/>
  <c r="CY104" i="4"/>
  <c r="DC104" i="4" s="1"/>
  <c r="CZ105" i="4" s="1"/>
  <c r="BZ117" i="4"/>
  <c r="BQ115" i="4"/>
  <c r="BO115" i="4"/>
  <c r="BT115" i="4" s="1"/>
  <c r="BV114" i="4"/>
  <c r="BW114" i="4" s="1"/>
  <c r="AP116" i="4"/>
  <c r="AU115" i="4"/>
  <c r="AV115" i="4" s="1"/>
  <c r="M122" i="4"/>
  <c r="CP120" i="4" l="1"/>
  <c r="CT120" i="4" s="1"/>
  <c r="CC116" i="4"/>
  <c r="BX117" i="4" s="1"/>
  <c r="CB117" i="4" s="1"/>
  <c r="BY118" i="4" s="1"/>
  <c r="BJ105" i="4"/>
  <c r="BK105" i="4"/>
  <c r="AA97" i="4"/>
  <c r="DH99" i="4"/>
  <c r="CE116" i="4"/>
  <c r="CF116" i="4" s="1"/>
  <c r="W98" i="4"/>
  <c r="AC97" i="4"/>
  <c r="AD97" i="4" s="1"/>
  <c r="X98" i="4"/>
  <c r="AE96" i="4"/>
  <c r="CH102" i="4"/>
  <c r="CN101" i="4"/>
  <c r="CO101" i="4" s="1"/>
  <c r="CI102" i="4"/>
  <c r="AX100" i="4"/>
  <c r="BD99" i="4"/>
  <c r="BE99" i="4" s="1"/>
  <c r="AY100" i="4"/>
  <c r="DD104" i="4"/>
  <c r="DA105" i="4"/>
  <c r="DF104" i="4"/>
  <c r="DG104" i="4" s="1"/>
  <c r="CE117" i="4"/>
  <c r="CF117" i="4" s="1"/>
  <c r="BZ118" i="4"/>
  <c r="CC117" i="4"/>
  <c r="BS115" i="4"/>
  <c r="AS116" i="4"/>
  <c r="AU116" i="4"/>
  <c r="AV116" i="4" s="1"/>
  <c r="AP117" i="4"/>
  <c r="AN117" i="4" s="1"/>
  <c r="AR117" i="4" s="1"/>
  <c r="R122" i="4"/>
  <c r="Q122" i="4"/>
  <c r="CG102" i="4" l="1"/>
  <c r="AJ96" i="4"/>
  <c r="AI96" i="4"/>
  <c r="V98" i="4"/>
  <c r="Z98" i="4" s="1"/>
  <c r="DL99" i="4"/>
  <c r="DM99" i="4"/>
  <c r="AA98" i="4"/>
  <c r="CR121" i="4"/>
  <c r="CW120" i="4"/>
  <c r="CX120" i="4" s="1"/>
  <c r="BM105" i="4"/>
  <c r="BN105" i="4" s="1"/>
  <c r="BG106" i="4"/>
  <c r="BH106" i="4"/>
  <c r="CU120" i="4"/>
  <c r="AW100" i="4"/>
  <c r="CY105" i="4"/>
  <c r="DC105" i="4" s="1"/>
  <c r="CZ106" i="4" s="1"/>
  <c r="DD105" i="4"/>
  <c r="BX118" i="4"/>
  <c r="CB118" i="4" s="1"/>
  <c r="BY119" i="4" s="1"/>
  <c r="BQ116" i="4"/>
  <c r="BO116" i="4" s="1"/>
  <c r="BT116" i="4" s="1"/>
  <c r="BV115" i="4"/>
  <c r="BW115" i="4" s="1"/>
  <c r="AP118" i="4"/>
  <c r="AU117" i="4"/>
  <c r="AV117" i="4" s="1"/>
  <c r="AS117" i="4"/>
  <c r="AN118" i="4" s="1"/>
  <c r="AR118" i="4" s="1"/>
  <c r="T122" i="4"/>
  <c r="U122" i="4" s="1"/>
  <c r="O123" i="4"/>
  <c r="M123" i="4"/>
  <c r="CP121" i="4" l="1"/>
  <c r="DI100" i="4"/>
  <c r="DH100" i="4" s="1"/>
  <c r="DL100" i="4" s="1"/>
  <c r="DO99" i="4"/>
  <c r="DP99" i="4" s="1"/>
  <c r="DJ100" i="4"/>
  <c r="BF106" i="4"/>
  <c r="W99" i="4"/>
  <c r="AC98" i="4"/>
  <c r="AD98" i="4" s="1"/>
  <c r="X99" i="4"/>
  <c r="V99" i="4" s="1"/>
  <c r="AA99" i="4" s="1"/>
  <c r="Z99" i="4"/>
  <c r="AL96" i="4"/>
  <c r="AM96" i="4" s="1"/>
  <c r="AF97" i="4"/>
  <c r="AE97" i="4" s="1"/>
  <c r="AJ97" i="4" s="1"/>
  <c r="AG97" i="4"/>
  <c r="AI97" i="4"/>
  <c r="CL102" i="4"/>
  <c r="CK102" i="4"/>
  <c r="BA100" i="4"/>
  <c r="BB100" i="4"/>
  <c r="DF105" i="4"/>
  <c r="DG105" i="4" s="1"/>
  <c r="DA106" i="4"/>
  <c r="CY106" i="4" s="1"/>
  <c r="DC106" i="4" s="1"/>
  <c r="CZ107" i="4" s="1"/>
  <c r="BZ119" i="4"/>
  <c r="CE118" i="4"/>
  <c r="CF118" i="4" s="1"/>
  <c r="CC118" i="4"/>
  <c r="BS116" i="4"/>
  <c r="AU118" i="4"/>
  <c r="AV118" i="4" s="1"/>
  <c r="AP119" i="4"/>
  <c r="AS118" i="4"/>
  <c r="R123" i="4"/>
  <c r="Q123" i="4"/>
  <c r="DO100" i="4" l="1"/>
  <c r="DP100" i="4" s="1"/>
  <c r="DJ101" i="4"/>
  <c r="DI101" i="4"/>
  <c r="W100" i="4"/>
  <c r="X100" i="4"/>
  <c r="AC99" i="4"/>
  <c r="AD99" i="4" s="1"/>
  <c r="DM100" i="4"/>
  <c r="AF98" i="4"/>
  <c r="AL97" i="4"/>
  <c r="AM97" i="4" s="1"/>
  <c r="AG98" i="4"/>
  <c r="CH103" i="4"/>
  <c r="CN102" i="4"/>
  <c r="CO102" i="4" s="1"/>
  <c r="CI103" i="4"/>
  <c r="CG103" i="4" s="1"/>
  <c r="CK103" i="4" s="1"/>
  <c r="CT121" i="4"/>
  <c r="CU121" i="4"/>
  <c r="AN119" i="4"/>
  <c r="AR119" i="4" s="1"/>
  <c r="BJ106" i="4"/>
  <c r="BK106" i="4"/>
  <c r="AX101" i="4"/>
  <c r="BD100" i="4"/>
  <c r="BE100" i="4" s="1"/>
  <c r="AY101" i="4"/>
  <c r="DA107" i="4"/>
  <c r="DF106" i="4"/>
  <c r="DG106" i="4" s="1"/>
  <c r="DD106" i="4"/>
  <c r="BX119" i="4"/>
  <c r="CB119" i="4" s="1"/>
  <c r="BY120" i="4" s="1"/>
  <c r="CC119" i="4"/>
  <c r="BQ117" i="4"/>
  <c r="BV116" i="4"/>
  <c r="BW116" i="4" s="1"/>
  <c r="AU119" i="4"/>
  <c r="AV119" i="4" s="1"/>
  <c r="AP120" i="4"/>
  <c r="T123" i="4"/>
  <c r="U123" i="4" s="1"/>
  <c r="O124" i="4"/>
  <c r="CH104" i="4" l="1"/>
  <c r="CI104" i="4"/>
  <c r="CN103" i="4"/>
  <c r="CO103" i="4" s="1"/>
  <c r="AE98" i="4"/>
  <c r="V100" i="4"/>
  <c r="CW121" i="4"/>
  <c r="CX121" i="4" s="1"/>
  <c r="CR122" i="4"/>
  <c r="CP122" i="4" s="1"/>
  <c r="CT122" i="4" s="1"/>
  <c r="CL103" i="4"/>
  <c r="BG107" i="4"/>
  <c r="BM106" i="4"/>
  <c r="BN106" i="4" s="1"/>
  <c r="BH107" i="4"/>
  <c r="CU122" i="4"/>
  <c r="AS119" i="4"/>
  <c r="AN120" i="4" s="1"/>
  <c r="AR120" i="4" s="1"/>
  <c r="AP121" i="4" s="1"/>
  <c r="DH101" i="4"/>
  <c r="DL101" i="4" s="1"/>
  <c r="AW101" i="4"/>
  <c r="CY107" i="4"/>
  <c r="DC107" i="4" s="1"/>
  <c r="CZ108" i="4" s="1"/>
  <c r="CE119" i="4"/>
  <c r="CF119" i="4" s="1"/>
  <c r="BZ120" i="4"/>
  <c r="BX120" i="4" s="1"/>
  <c r="CC120" i="4" s="1"/>
  <c r="BO117" i="4"/>
  <c r="M124" i="4"/>
  <c r="BF107" i="4" l="1"/>
  <c r="DM101" i="4"/>
  <c r="CL104" i="4"/>
  <c r="Z100" i="4"/>
  <c r="AA100" i="4"/>
  <c r="CG104" i="4"/>
  <c r="CK104" i="4" s="1"/>
  <c r="CW122" i="4"/>
  <c r="CX122" i="4" s="1"/>
  <c r="CR123" i="4"/>
  <c r="CP123" i="4" s="1"/>
  <c r="CT123" i="4" s="1"/>
  <c r="AI98" i="4"/>
  <c r="AJ98" i="4"/>
  <c r="DJ102" i="4"/>
  <c r="DI102" i="4"/>
  <c r="DH102" i="4" s="1"/>
  <c r="DL102" i="4" s="1"/>
  <c r="DO101" i="4"/>
  <c r="DP101" i="4" s="1"/>
  <c r="DD107" i="4"/>
  <c r="BA101" i="4"/>
  <c r="BB101" i="4"/>
  <c r="DF107" i="4"/>
  <c r="DG107" i="4" s="1"/>
  <c r="DA108" i="4"/>
  <c r="CB120" i="4"/>
  <c r="BY121" i="4" s="1"/>
  <c r="BT117" i="4"/>
  <c r="BS117" i="4"/>
  <c r="AU120" i="4"/>
  <c r="AV120" i="4" s="1"/>
  <c r="AS120" i="4"/>
  <c r="AN121" i="4" s="1"/>
  <c r="Q124" i="4"/>
  <c r="R124" i="4"/>
  <c r="DJ103" i="4" l="1"/>
  <c r="DI103" i="4"/>
  <c r="DO102" i="4"/>
  <c r="DP102" i="4" s="1"/>
  <c r="AF99" i="4"/>
  <c r="AG99" i="4"/>
  <c r="AL98" i="4"/>
  <c r="AM98" i="4" s="1"/>
  <c r="CR124" i="4"/>
  <c r="CP124" i="4" s="1"/>
  <c r="CT124" i="4" s="1"/>
  <c r="CR125" i="4" s="1"/>
  <c r="CW123" i="4"/>
  <c r="CX123" i="4" s="1"/>
  <c r="CH105" i="4"/>
  <c r="CN104" i="4"/>
  <c r="CO104" i="4" s="1"/>
  <c r="CI105" i="4"/>
  <c r="CG105" i="4" s="1"/>
  <c r="CK105" i="4" s="1"/>
  <c r="W101" i="4"/>
  <c r="AC100" i="4"/>
  <c r="AD100" i="4" s="1"/>
  <c r="X101" i="4"/>
  <c r="DM102" i="4"/>
  <c r="BK107" i="4"/>
  <c r="BJ107" i="4"/>
  <c r="CU123" i="4"/>
  <c r="AX102" i="4"/>
  <c r="BD101" i="4"/>
  <c r="BE101" i="4" s="1"/>
  <c r="AY102" i="4"/>
  <c r="CY108" i="4"/>
  <c r="DD108" i="4" s="1"/>
  <c r="DC108" i="4"/>
  <c r="CZ109" i="4" s="1"/>
  <c r="CE120" i="4"/>
  <c r="CF120" i="4" s="1"/>
  <c r="BZ121" i="4"/>
  <c r="BX121" i="4"/>
  <c r="CC121" i="4" s="1"/>
  <c r="BQ118" i="4"/>
  <c r="BO118" i="4" s="1"/>
  <c r="BT118" i="4" s="1"/>
  <c r="BV117" i="4"/>
  <c r="BW117" i="4" s="1"/>
  <c r="AR121" i="4"/>
  <c r="AS121" i="4"/>
  <c r="T124" i="4"/>
  <c r="U124" i="4" s="1"/>
  <c r="O125" i="4"/>
  <c r="CL105" i="4" l="1"/>
  <c r="CW124" i="4"/>
  <c r="CX124" i="4" s="1"/>
  <c r="AE99" i="4"/>
  <c r="V101" i="4"/>
  <c r="CH106" i="4"/>
  <c r="CI106" i="4"/>
  <c r="CN105" i="4"/>
  <c r="CO105" i="4" s="1"/>
  <c r="AW102" i="4"/>
  <c r="BA102" i="4" s="1"/>
  <c r="BD102" i="4" s="1"/>
  <c r="BE102" i="4" s="1"/>
  <c r="CU124" i="4"/>
  <c r="CP125" i="4" s="1"/>
  <c r="CT125" i="4" s="1"/>
  <c r="BM107" i="4"/>
  <c r="BN107" i="4" s="1"/>
  <c r="BG108" i="4"/>
  <c r="BF108" i="4" s="1"/>
  <c r="BJ108" i="4" s="1"/>
  <c r="BH108" i="4"/>
  <c r="BK108" i="4"/>
  <c r="DH103" i="4"/>
  <c r="DL103" i="4" s="1"/>
  <c r="AX103" i="4"/>
  <c r="BB102" i="4"/>
  <c r="DA109" i="4"/>
  <c r="CY109" i="4" s="1"/>
  <c r="DF108" i="4"/>
  <c r="DG108" i="4" s="1"/>
  <c r="CB121" i="4"/>
  <c r="BY122" i="4" s="1"/>
  <c r="BS118" i="4"/>
  <c r="AP122" i="4"/>
  <c r="AN122" i="4" s="1"/>
  <c r="AR122" i="4" s="1"/>
  <c r="AU122" i="4" s="1"/>
  <c r="AV122" i="4" s="1"/>
  <c r="AU121" i="4"/>
  <c r="AV121" i="4" s="1"/>
  <c r="M125" i="4"/>
  <c r="BG109" i="4" l="1"/>
  <c r="BH109" i="4"/>
  <c r="BM108" i="4"/>
  <c r="BN108" i="4" s="1"/>
  <c r="AI99" i="4"/>
  <c r="AJ99" i="4"/>
  <c r="DI104" i="4"/>
  <c r="DJ104" i="4"/>
  <c r="DO103" i="4"/>
  <c r="DP103" i="4" s="1"/>
  <c r="DM103" i="4"/>
  <c r="AY103" i="4"/>
  <c r="CG106" i="4"/>
  <c r="CK106" i="4" s="1"/>
  <c r="Z101" i="4"/>
  <c r="AA101" i="4"/>
  <c r="AP123" i="4"/>
  <c r="AS122" i="4"/>
  <c r="AW103" i="4"/>
  <c r="BA103" i="4" s="1"/>
  <c r="DD109" i="4"/>
  <c r="DC109" i="4"/>
  <c r="CZ110" i="4" s="1"/>
  <c r="DA110" i="4"/>
  <c r="DF109" i="4"/>
  <c r="DG109" i="4" s="1"/>
  <c r="CR126" i="4"/>
  <c r="CW125" i="4"/>
  <c r="CX125" i="4" s="1"/>
  <c r="CU125" i="4"/>
  <c r="BZ122" i="4"/>
  <c r="BX122" i="4"/>
  <c r="CC122" i="4" s="1"/>
  <c r="CE121" i="4"/>
  <c r="CF121" i="4" s="1"/>
  <c r="BV118" i="4"/>
  <c r="BW118" i="4" s="1"/>
  <c r="BQ119" i="4"/>
  <c r="BO119" i="4" s="1"/>
  <c r="BT119" i="4" s="1"/>
  <c r="R125" i="4"/>
  <c r="Q125" i="4"/>
  <c r="AC101" i="4" l="1"/>
  <c r="AD101" i="4" s="1"/>
  <c r="X102" i="4"/>
  <c r="W102" i="4"/>
  <c r="V102" i="4" s="1"/>
  <c r="H13" i="2" a="1"/>
  <c r="H13" i="2" s="1"/>
  <c r="Z102" i="4"/>
  <c r="CH107" i="4"/>
  <c r="CN106" i="4"/>
  <c r="CO106" i="4" s="1"/>
  <c r="CI107" i="4"/>
  <c r="DH104" i="4"/>
  <c r="DL104" i="4" s="1"/>
  <c r="CL106" i="4"/>
  <c r="AF100" i="4"/>
  <c r="AG100" i="4"/>
  <c r="AL99" i="4"/>
  <c r="AM99" i="4" s="1"/>
  <c r="CY110" i="4"/>
  <c r="DD110" i="4" s="1"/>
  <c r="AA102" i="4"/>
  <c r="BF109" i="4"/>
  <c r="AX104" i="4"/>
  <c r="BD103" i="4"/>
  <c r="BE103" i="4" s="1"/>
  <c r="AY104" i="4"/>
  <c r="BB103" i="4"/>
  <c r="AN123" i="4"/>
  <c r="AR123" i="4" s="1"/>
  <c r="CP126" i="4"/>
  <c r="CT126" i="4" s="1"/>
  <c r="CB122" i="4"/>
  <c r="BY123" i="4" s="1"/>
  <c r="BS119" i="4"/>
  <c r="T125" i="4"/>
  <c r="U125" i="4" s="1"/>
  <c r="O126" i="4"/>
  <c r="BK109" i="4" l="1"/>
  <c r="BJ109" i="4"/>
  <c r="W103" i="4"/>
  <c r="AC102" i="4"/>
  <c r="AD102" i="4" s="1"/>
  <c r="X103" i="4"/>
  <c r="AE100" i="4"/>
  <c r="DI105" i="4"/>
  <c r="DJ105" i="4"/>
  <c r="DO104" i="4"/>
  <c r="DP104" i="4" s="1"/>
  <c r="DM104" i="4"/>
  <c r="DC110" i="4"/>
  <c r="CZ111" i="4" s="1"/>
  <c r="CG107" i="4"/>
  <c r="CK107" i="4" s="1"/>
  <c r="AP124" i="4"/>
  <c r="AU123" i="4"/>
  <c r="AV123" i="4" s="1"/>
  <c r="AS123" i="4"/>
  <c r="AW104" i="4"/>
  <c r="BA104" i="4" s="1"/>
  <c r="BB104" i="4"/>
  <c r="DF110" i="4"/>
  <c r="DG110" i="4" s="1"/>
  <c r="CR127" i="4"/>
  <c r="CW126" i="4"/>
  <c r="CX126" i="4" s="1"/>
  <c r="CU126" i="4"/>
  <c r="CE122" i="4"/>
  <c r="CF122" i="4" s="1"/>
  <c r="BZ123" i="4"/>
  <c r="BV119" i="4"/>
  <c r="BW119" i="4" s="1"/>
  <c r="BQ120" i="4"/>
  <c r="M126" i="4"/>
  <c r="CH108" i="4" l="1"/>
  <c r="CI108" i="4"/>
  <c r="CN107" i="4"/>
  <c r="CO107" i="4" s="1"/>
  <c r="DH105" i="4"/>
  <c r="DL105" i="4" s="1"/>
  <c r="CL107" i="4"/>
  <c r="AJ100" i="4"/>
  <c r="AI100" i="4"/>
  <c r="V103" i="4"/>
  <c r="BG110" i="4"/>
  <c r="BM109" i="4"/>
  <c r="BN109" i="4" s="1"/>
  <c r="BH110" i="4"/>
  <c r="BF110" i="4" s="1"/>
  <c r="BK110" i="4" s="1"/>
  <c r="DA111" i="4"/>
  <c r="AX105" i="4"/>
  <c r="BD104" i="4"/>
  <c r="BE104" i="4" s="1"/>
  <c r="AY105" i="4"/>
  <c r="CP127" i="4"/>
  <c r="CT127" i="4" s="1"/>
  <c r="CW127" i="4" s="1"/>
  <c r="CX127" i="4" s="1"/>
  <c r="AN124" i="4"/>
  <c r="AR124" i="4" s="1"/>
  <c r="CY111" i="4"/>
  <c r="BX123" i="4"/>
  <c r="BO120" i="4"/>
  <c r="R126" i="4"/>
  <c r="Q126" i="4"/>
  <c r="BJ110" i="4" l="1"/>
  <c r="Z103" i="4"/>
  <c r="AA103" i="4"/>
  <c r="AF101" i="4"/>
  <c r="AG101" i="4"/>
  <c r="AL100" i="4"/>
  <c r="AM100" i="4" s="1"/>
  <c r="DJ106" i="4"/>
  <c r="DI106" i="4"/>
  <c r="DO105" i="4"/>
  <c r="DP105" i="4" s="1"/>
  <c r="DM105" i="4"/>
  <c r="CG108" i="4"/>
  <c r="AP125" i="4"/>
  <c r="AN125" i="4" s="1"/>
  <c r="AR125" i="4" s="1"/>
  <c r="AU124" i="4"/>
  <c r="AV124" i="4" s="1"/>
  <c r="CR128" i="4"/>
  <c r="AS124" i="4"/>
  <c r="AW105" i="4"/>
  <c r="CU127" i="4"/>
  <c r="DD111" i="4"/>
  <c r="DC111" i="4"/>
  <c r="CZ112" i="4" s="1"/>
  <c r="CC123" i="4"/>
  <c r="CB123" i="4"/>
  <c r="BY124" i="4" s="1"/>
  <c r="BT120" i="4"/>
  <c r="BS120" i="4"/>
  <c r="T126" i="4"/>
  <c r="U126" i="4" s="1"/>
  <c r="O127" i="4"/>
  <c r="M127" i="4"/>
  <c r="R127" i="4" s="1"/>
  <c r="CL108" i="4" l="1"/>
  <c r="CK108" i="4"/>
  <c r="DH106" i="4"/>
  <c r="DL106" i="4" s="1"/>
  <c r="AE101" i="4"/>
  <c r="W104" i="4"/>
  <c r="AC103" i="4"/>
  <c r="AD103" i="4" s="1"/>
  <c r="X104" i="4"/>
  <c r="BH111" i="4"/>
  <c r="BG111" i="4"/>
  <c r="BF111" i="4" s="1"/>
  <c r="BK111" i="4" s="1"/>
  <c r="BM110" i="4"/>
  <c r="BN110" i="4" s="1"/>
  <c r="CU128" i="4"/>
  <c r="AU125" i="4"/>
  <c r="AV125" i="4" s="1"/>
  <c r="AP126" i="4"/>
  <c r="BB105" i="4"/>
  <c r="BA105" i="4"/>
  <c r="CP128" i="4"/>
  <c r="CT128" i="4" s="1"/>
  <c r="AS125" i="4"/>
  <c r="Q127" i="4"/>
  <c r="T127" i="4" s="1"/>
  <c r="U127" i="4" s="1"/>
  <c r="DA112" i="4"/>
  <c r="DF111" i="4"/>
  <c r="DG111" i="4" s="1"/>
  <c r="CY112" i="4"/>
  <c r="DC112" i="4" s="1"/>
  <c r="CZ113" i="4" s="1"/>
  <c r="CE123" i="4"/>
  <c r="CF123" i="4" s="1"/>
  <c r="BZ124" i="4"/>
  <c r="BX124" i="4" s="1"/>
  <c r="CC124" i="4" s="1"/>
  <c r="BQ121" i="4"/>
  <c r="BO121" i="4" s="1"/>
  <c r="BS121" i="4" s="1"/>
  <c r="BV120" i="4"/>
  <c r="BW120" i="4" s="1"/>
  <c r="AI101" i="4" l="1"/>
  <c r="AJ101" i="4"/>
  <c r="O128" i="4"/>
  <c r="M128" i="4" s="1"/>
  <c r="R128" i="4" s="1"/>
  <c r="CH109" i="4"/>
  <c r="CN108" i="4"/>
  <c r="CO108" i="4" s="1"/>
  <c r="CI109" i="4"/>
  <c r="CG109" i="4" s="1"/>
  <c r="CL109" i="4" s="1"/>
  <c r="CK109" i="4"/>
  <c r="BJ111" i="4"/>
  <c r="V104" i="4"/>
  <c r="DI107" i="4"/>
  <c r="DO106" i="4"/>
  <c r="DP106" i="4" s="1"/>
  <c r="DJ107" i="4"/>
  <c r="DM106" i="4"/>
  <c r="CW128" i="4"/>
  <c r="CX128" i="4" s="1"/>
  <c r="CR129" i="4"/>
  <c r="CP129" i="4" s="1"/>
  <c r="CT129" i="4" s="1"/>
  <c r="AX106" i="4"/>
  <c r="AY106" i="4"/>
  <c r="BD105" i="4"/>
  <c r="BE105" i="4" s="1"/>
  <c r="AN126" i="4"/>
  <c r="AR126" i="4" s="1"/>
  <c r="DD112" i="4"/>
  <c r="DA113" i="4"/>
  <c r="DF112" i="4"/>
  <c r="DG112" i="4" s="1"/>
  <c r="CB124" i="4"/>
  <c r="BY125" i="4" s="1"/>
  <c r="BV121" i="4"/>
  <c r="BW121" i="4" s="1"/>
  <c r="BQ122" i="4"/>
  <c r="BT121" i="4"/>
  <c r="Q128" i="4"/>
  <c r="DH107" i="4" l="1"/>
  <c r="DL107" i="4" s="1"/>
  <c r="BG112" i="4"/>
  <c r="BM111" i="4"/>
  <c r="BN111" i="4" s="1"/>
  <c r="BH112" i="4"/>
  <c r="DM107" i="4"/>
  <c r="AW106" i="4"/>
  <c r="BB106" i="4" s="1"/>
  <c r="Z104" i="4"/>
  <c r="AA104" i="4"/>
  <c r="CH110" i="4"/>
  <c r="CN109" i="4"/>
  <c r="CO109" i="4" s="1"/>
  <c r="CI110" i="4"/>
  <c r="CY113" i="4"/>
  <c r="DC113" i="4" s="1"/>
  <c r="CZ114" i="4" s="1"/>
  <c r="AL101" i="4"/>
  <c r="AM101" i="4" s="1"/>
  <c r="AG102" i="4"/>
  <c r="AF102" i="4"/>
  <c r="CR130" i="4"/>
  <c r="CW129" i="4"/>
  <c r="CX129" i="4" s="1"/>
  <c r="AP127" i="4"/>
  <c r="AU126" i="4"/>
  <c r="AV126" i="4" s="1"/>
  <c r="AS126" i="4"/>
  <c r="BO122" i="4"/>
  <c r="BT122" i="4" s="1"/>
  <c r="CU129" i="4"/>
  <c r="I14" i="2" a="1"/>
  <c r="I14" i="2" s="1"/>
  <c r="DA114" i="4"/>
  <c r="DF113" i="4"/>
  <c r="DG113" i="4" s="1"/>
  <c r="DD113" i="4"/>
  <c r="BZ125" i="4"/>
  <c r="CE124" i="4"/>
  <c r="CF124" i="4" s="1"/>
  <c r="O129" i="4"/>
  <c r="M129" i="4" s="1"/>
  <c r="R129" i="4" s="1"/>
  <c r="T128" i="4"/>
  <c r="U128" i="4" s="1"/>
  <c r="AE102" i="4" l="1"/>
  <c r="BF112" i="4"/>
  <c r="BA106" i="4"/>
  <c r="CG110" i="4"/>
  <c r="W105" i="4"/>
  <c r="V105" i="4" s="1"/>
  <c r="AC104" i="4"/>
  <c r="AD104" i="4" s="1"/>
  <c r="X105" i="4"/>
  <c r="DM108" i="4"/>
  <c r="CY114" i="4"/>
  <c r="DC114" i="4" s="1"/>
  <c r="CZ115" i="4" s="1"/>
  <c r="CP130" i="4"/>
  <c r="CT130" i="4" s="1"/>
  <c r="CR131" i="4" s="1"/>
  <c r="DJ108" i="4"/>
  <c r="DO107" i="4"/>
  <c r="DP107" i="4" s="1"/>
  <c r="DI108" i="4"/>
  <c r="DH108" i="4" s="1"/>
  <c r="DL108" i="4" s="1"/>
  <c r="AN127" i="4"/>
  <c r="AX107" i="4"/>
  <c r="AW107" i="4" s="1"/>
  <c r="BB107" i="4" s="1"/>
  <c r="BD106" i="4"/>
  <c r="BE106" i="4" s="1"/>
  <c r="AY107" i="4"/>
  <c r="BS122" i="4"/>
  <c r="BV122" i="4" s="1"/>
  <c r="BW122" i="4" s="1"/>
  <c r="BX125" i="4"/>
  <c r="Q129" i="4"/>
  <c r="DI109" i="4" l="1"/>
  <c r="DJ109" i="4"/>
  <c r="DO108" i="4"/>
  <c r="DP108" i="4" s="1"/>
  <c r="AA105" i="4"/>
  <c r="Z105" i="4"/>
  <c r="CW130" i="4"/>
  <c r="CX130" i="4" s="1"/>
  <c r="DD114" i="4"/>
  <c r="BQ123" i="4"/>
  <c r="BO123" i="4" s="1"/>
  <c r="BT123" i="4" s="1"/>
  <c r="DF114" i="4"/>
  <c r="DG114" i="4" s="1"/>
  <c r="CK110" i="4"/>
  <c r="CL110" i="4"/>
  <c r="CU130" i="4"/>
  <c r="CP131" i="4" s="1"/>
  <c r="CT131" i="4" s="1"/>
  <c r="DA115" i="4"/>
  <c r="CY115" i="4" s="1"/>
  <c r="DC115" i="4" s="1"/>
  <c r="BK112" i="4"/>
  <c r="BJ112" i="4"/>
  <c r="AJ102" i="4"/>
  <c r="AI102" i="4"/>
  <c r="BA107" i="4"/>
  <c r="AS127" i="4"/>
  <c r="AR127" i="4"/>
  <c r="CC125" i="4"/>
  <c r="CB125" i="4"/>
  <c r="BY126" i="4" s="1"/>
  <c r="BS123" i="4"/>
  <c r="T129" i="4"/>
  <c r="U129" i="4" s="1"/>
  <c r="O130" i="4"/>
  <c r="M130" i="4" s="1"/>
  <c r="R130" i="4" s="1"/>
  <c r="CZ116" i="4" l="1"/>
  <c r="DA116" i="4"/>
  <c r="DF115" i="4"/>
  <c r="DG115" i="4" s="1"/>
  <c r="CR132" i="4"/>
  <c r="CW131" i="4"/>
  <c r="CX131" i="4" s="1"/>
  <c r="DD115" i="4"/>
  <c r="BH113" i="4"/>
  <c r="BM112" i="4"/>
  <c r="BN112" i="4" s="1"/>
  <c r="BG113" i="4"/>
  <c r="BF113" i="4" s="1"/>
  <c r="BJ113" i="4" s="1"/>
  <c r="DH109" i="4"/>
  <c r="CH111" i="4"/>
  <c r="CN110" i="4"/>
  <c r="CO110" i="4" s="1"/>
  <c r="CI111" i="4"/>
  <c r="CU131" i="4"/>
  <c r="W106" i="4"/>
  <c r="X106" i="4"/>
  <c r="AC105" i="4"/>
  <c r="AD105" i="4" s="1"/>
  <c r="AF103" i="4"/>
  <c r="AL102" i="4"/>
  <c r="AM102" i="4" s="1"/>
  <c r="AG103" i="4"/>
  <c r="AX108" i="4"/>
  <c r="BD107" i="4"/>
  <c r="BE107" i="4" s="1"/>
  <c r="AY108" i="4"/>
  <c r="AW108" i="4" s="1"/>
  <c r="BB108" i="4" s="1"/>
  <c r="AU127" i="4"/>
  <c r="AV127" i="4" s="1"/>
  <c r="AP128" i="4"/>
  <c r="AN128" i="4" s="1"/>
  <c r="CY116" i="4"/>
  <c r="DC116" i="4" s="1"/>
  <c r="CZ117" i="4" s="1"/>
  <c r="CP132" i="4"/>
  <c r="CT132" i="4" s="1"/>
  <c r="CE125" i="4"/>
  <c r="CF125" i="4" s="1"/>
  <c r="BZ126" i="4"/>
  <c r="BQ124" i="4"/>
  <c r="BO124" i="4" s="1"/>
  <c r="BT124" i="4" s="1"/>
  <c r="BV123" i="4"/>
  <c r="BW123" i="4" s="1"/>
  <c r="AS128" i="4"/>
  <c r="AR128" i="4"/>
  <c r="Q130" i="4"/>
  <c r="DM109" i="4" l="1"/>
  <c r="DL109" i="4"/>
  <c r="BG114" i="4"/>
  <c r="BF114" i="4" s="1"/>
  <c r="BJ114" i="4" s="1"/>
  <c r="BH114" i="4"/>
  <c r="BM113" i="4"/>
  <c r="BN113" i="4" s="1"/>
  <c r="AE103" i="4"/>
  <c r="BK113" i="4"/>
  <c r="V106" i="4"/>
  <c r="CG111" i="4"/>
  <c r="BA108" i="4"/>
  <c r="DA117" i="4"/>
  <c r="DF116" i="4"/>
  <c r="DG116" i="4" s="1"/>
  <c r="DD116" i="4"/>
  <c r="CW132" i="4"/>
  <c r="CX132" i="4" s="1"/>
  <c r="CR133" i="4"/>
  <c r="CU132" i="4"/>
  <c r="BX126" i="4"/>
  <c r="BS124" i="4"/>
  <c r="AU128" i="4"/>
  <c r="AV128" i="4" s="1"/>
  <c r="AP129" i="4"/>
  <c r="AN129" i="4"/>
  <c r="AS129" i="4" s="1"/>
  <c r="O131" i="4"/>
  <c r="M131" i="4" s="1"/>
  <c r="R131" i="4" s="1"/>
  <c r="T130" i="4"/>
  <c r="U130" i="4" s="1"/>
  <c r="AA106" i="4" l="1"/>
  <c r="Z106" i="4"/>
  <c r="BK114" i="4"/>
  <c r="CK111" i="4"/>
  <c r="CL111" i="4"/>
  <c r="AJ103" i="4"/>
  <c r="AI103" i="4"/>
  <c r="BG115" i="4"/>
  <c r="BH115" i="4"/>
  <c r="BM114" i="4"/>
  <c r="BN114" i="4" s="1"/>
  <c r="DI110" i="4"/>
  <c r="DH110" i="4" s="1"/>
  <c r="DM110" i="4" s="1"/>
  <c r="DO109" i="4"/>
  <c r="DP109" i="4" s="1"/>
  <c r="DJ110" i="4"/>
  <c r="CY117" i="4"/>
  <c r="DC117" i="4" s="1"/>
  <c r="CZ118" i="4" s="1"/>
  <c r="AX109" i="4"/>
  <c r="BD108" i="4"/>
  <c r="BE108" i="4" s="1"/>
  <c r="AY109" i="4"/>
  <c r="CP133" i="4"/>
  <c r="CT133" i="4" s="1"/>
  <c r="CB126" i="4"/>
  <c r="BY127" i="4" s="1"/>
  <c r="CC126" i="4"/>
  <c r="BV124" i="4"/>
  <c r="BW124" i="4" s="1"/>
  <c r="BQ125" i="4"/>
  <c r="BO125" i="4" s="1"/>
  <c r="BT125" i="4" s="1"/>
  <c r="AR129" i="4"/>
  <c r="Q131" i="4"/>
  <c r="AF104" i="4" l="1"/>
  <c r="AE104" i="4" s="1"/>
  <c r="AI104" i="4" s="1"/>
  <c r="AL103" i="4"/>
  <c r="AM103" i="4" s="1"/>
  <c r="AG104" i="4"/>
  <c r="BF115" i="4"/>
  <c r="BJ115" i="4" s="1"/>
  <c r="AW109" i="4"/>
  <c r="CH112" i="4"/>
  <c r="CN111" i="4"/>
  <c r="CO111" i="4" s="1"/>
  <c r="CI112" i="4"/>
  <c r="DL110" i="4"/>
  <c r="BK115" i="4"/>
  <c r="W107" i="4"/>
  <c r="X107" i="4"/>
  <c r="V107" i="4" s="1"/>
  <c r="AA107" i="4" s="1"/>
  <c r="AC106" i="4"/>
  <c r="AD106" i="4" s="1"/>
  <c r="DA118" i="4"/>
  <c r="DD117" i="4"/>
  <c r="DF117" i="4"/>
  <c r="DG117" i="4" s="1"/>
  <c r="CW133" i="4"/>
  <c r="CX133" i="4" s="1"/>
  <c r="CR134" i="4"/>
  <c r="CU133" i="4"/>
  <c r="CE126" i="4"/>
  <c r="CF126" i="4" s="1"/>
  <c r="BZ127" i="4"/>
  <c r="BX127" i="4" s="1"/>
  <c r="CB127" i="4" s="1"/>
  <c r="BY128" i="4" s="1"/>
  <c r="BS125" i="4"/>
  <c r="AP130" i="4"/>
  <c r="AN130" i="4" s="1"/>
  <c r="AS130" i="4" s="1"/>
  <c r="AU129" i="4"/>
  <c r="AV129" i="4" s="1"/>
  <c r="O132" i="4"/>
  <c r="M132" i="4" s="1"/>
  <c r="R132" i="4" s="1"/>
  <c r="T131" i="4"/>
  <c r="U131" i="4" s="1"/>
  <c r="AF105" i="4" l="1"/>
  <c r="AE105" i="4" s="1"/>
  <c r="AI105" i="4" s="1"/>
  <c r="AL104" i="4"/>
  <c r="AM104" i="4" s="1"/>
  <c r="AG105" i="4"/>
  <c r="DD118" i="4"/>
  <c r="AJ104" i="4"/>
  <c r="CY118" i="4"/>
  <c r="DC118" i="4" s="1"/>
  <c r="CZ119" i="4" s="1"/>
  <c r="BB109" i="4"/>
  <c r="BA109" i="4"/>
  <c r="DJ111" i="4"/>
  <c r="DO110" i="4"/>
  <c r="DP110" i="4" s="1"/>
  <c r="DI111" i="4"/>
  <c r="DH111" i="4" s="1"/>
  <c r="DM111" i="4" s="1"/>
  <c r="CG112" i="4"/>
  <c r="BG116" i="4"/>
  <c r="BM115" i="4"/>
  <c r="BN115" i="4" s="1"/>
  <c r="BH116" i="4"/>
  <c r="Z107" i="4"/>
  <c r="DF118" i="4"/>
  <c r="DG118" i="4" s="1"/>
  <c r="DA119" i="4"/>
  <c r="CY119" i="4" s="1"/>
  <c r="DC119" i="4" s="1"/>
  <c r="CZ120" i="4" s="1"/>
  <c r="CP134" i="4"/>
  <c r="CT134" i="4" s="1"/>
  <c r="CE127" i="4"/>
  <c r="CF127" i="4" s="1"/>
  <c r="BZ128" i="4"/>
  <c r="CC127" i="4"/>
  <c r="BQ126" i="4"/>
  <c r="BV125" i="4"/>
  <c r="BW125" i="4" s="1"/>
  <c r="AR130" i="4"/>
  <c r="Q132" i="4"/>
  <c r="AX110" i="4" l="1"/>
  <c r="BD109" i="4"/>
  <c r="BE109" i="4" s="1"/>
  <c r="AY110" i="4"/>
  <c r="DL111" i="4"/>
  <c r="CK112" i="4"/>
  <c r="CL112" i="4"/>
  <c r="AF106" i="4"/>
  <c r="AL105" i="4"/>
  <c r="AM105" i="4" s="1"/>
  <c r="AG106" i="4"/>
  <c r="W108" i="4"/>
  <c r="V108" i="4" s="1"/>
  <c r="AA108" i="4" s="1"/>
  <c r="X108" i="4"/>
  <c r="AC107" i="4"/>
  <c r="AD107" i="4" s="1"/>
  <c r="AJ105" i="4"/>
  <c r="BX128" i="4"/>
  <c r="CB128" i="4" s="1"/>
  <c r="BY129" i="4" s="1"/>
  <c r="BF116" i="4"/>
  <c r="DF119" i="4"/>
  <c r="DG119" i="4" s="1"/>
  <c r="DA120" i="4"/>
  <c r="CY120" i="4" s="1"/>
  <c r="DC120" i="4" s="1"/>
  <c r="CZ121" i="4" s="1"/>
  <c r="DD119" i="4"/>
  <c r="CR135" i="4"/>
  <c r="CW134" i="4"/>
  <c r="CX134" i="4" s="1"/>
  <c r="CU134" i="4"/>
  <c r="CE128" i="4"/>
  <c r="CF128" i="4" s="1"/>
  <c r="BZ129" i="4"/>
  <c r="CC128" i="4"/>
  <c r="BO126" i="4"/>
  <c r="AP131" i="4"/>
  <c r="AU130" i="4"/>
  <c r="AV130" i="4" s="1"/>
  <c r="AN131" i="4"/>
  <c r="O133" i="4"/>
  <c r="M133" i="4" s="1"/>
  <c r="T132" i="4"/>
  <c r="U132" i="4" s="1"/>
  <c r="AE106" i="4" l="1"/>
  <c r="AI106" i="4" s="1"/>
  <c r="AJ106" i="4"/>
  <c r="AW110" i="4"/>
  <c r="CH113" i="4"/>
  <c r="CN112" i="4"/>
  <c r="CO112" i="4" s="1"/>
  <c r="CI113" i="4"/>
  <c r="DI112" i="4"/>
  <c r="DH112" i="4" s="1"/>
  <c r="DM112" i="4" s="1"/>
  <c r="DJ112" i="4"/>
  <c r="DO111" i="4"/>
  <c r="DP111" i="4" s="1"/>
  <c r="DL112" i="4"/>
  <c r="BJ116" i="4"/>
  <c r="BK116" i="4"/>
  <c r="Z108" i="4"/>
  <c r="DD120" i="4"/>
  <c r="DA121" i="4"/>
  <c r="CY121" i="4"/>
  <c r="DC121" i="4" s="1"/>
  <c r="CZ122" i="4" s="1"/>
  <c r="DF120" i="4"/>
  <c r="DG120" i="4" s="1"/>
  <c r="CP135" i="4"/>
  <c r="CT135" i="4" s="1"/>
  <c r="BX129" i="4"/>
  <c r="BT126" i="4"/>
  <c r="BS126" i="4"/>
  <c r="AR131" i="4"/>
  <c r="AS131" i="4"/>
  <c r="R133" i="4"/>
  <c r="Q133" i="4"/>
  <c r="O134" i="4" s="1"/>
  <c r="CG113" i="4" l="1"/>
  <c r="W109" i="4"/>
  <c r="X109" i="4"/>
  <c r="AC108" i="4"/>
  <c r="AD108" i="4" s="1"/>
  <c r="BG117" i="4"/>
  <c r="BM116" i="4"/>
  <c r="BN116" i="4" s="1"/>
  <c r="BH117" i="4"/>
  <c r="DI113" i="4"/>
  <c r="DH113" i="4" s="1"/>
  <c r="DM113" i="4" s="1"/>
  <c r="DO112" i="4"/>
  <c r="DP112" i="4" s="1"/>
  <c r="DJ113" i="4"/>
  <c r="BB110" i="4"/>
  <c r="BA110" i="4"/>
  <c r="AL106" i="4"/>
  <c r="AM106" i="4" s="1"/>
  <c r="AF107" i="4"/>
  <c r="AE107" i="4" s="1"/>
  <c r="AI107" i="4" s="1"/>
  <c r="AG107" i="4"/>
  <c r="DA122" i="4"/>
  <c r="DF121" i="4"/>
  <c r="DG121" i="4" s="1"/>
  <c r="DD121" i="4"/>
  <c r="CY122" i="4" s="1"/>
  <c r="DC122" i="4" s="1"/>
  <c r="CZ123" i="4" s="1"/>
  <c r="CR136" i="4"/>
  <c r="CW135" i="4"/>
  <c r="CX135" i="4" s="1"/>
  <c r="CU135" i="4"/>
  <c r="CC129" i="4"/>
  <c r="CB129" i="4"/>
  <c r="BY130" i="4" s="1"/>
  <c r="BQ127" i="4"/>
  <c r="BO127" i="4" s="1"/>
  <c r="BT127" i="4" s="1"/>
  <c r="BV126" i="4"/>
  <c r="BW126" i="4" s="1"/>
  <c r="AU131" i="4"/>
  <c r="AV131" i="4" s="1"/>
  <c r="AP132" i="4"/>
  <c r="AN132" i="4"/>
  <c r="AR132" i="4" s="1"/>
  <c r="T133" i="4"/>
  <c r="U133" i="4" s="1"/>
  <c r="M134" i="4"/>
  <c r="BF117" i="4" l="1"/>
  <c r="V109" i="4"/>
  <c r="AF108" i="4"/>
  <c r="AG108" i="4"/>
  <c r="AL107" i="4"/>
  <c r="AM107" i="4" s="1"/>
  <c r="AY111" i="4"/>
  <c r="BD110" i="4"/>
  <c r="BE110" i="4" s="1"/>
  <c r="AX111" i="4"/>
  <c r="AJ107" i="4"/>
  <c r="CL113" i="4"/>
  <c r="CK113" i="4"/>
  <c r="DL113" i="4"/>
  <c r="DD122" i="4"/>
  <c r="DF122" i="4"/>
  <c r="DG122" i="4" s="1"/>
  <c r="DA123" i="4"/>
  <c r="CY123" i="4"/>
  <c r="DC123" i="4" s="1"/>
  <c r="CZ124" i="4" s="1"/>
  <c r="CP136" i="4"/>
  <c r="CT136" i="4" s="1"/>
  <c r="BZ130" i="4"/>
  <c r="BX130" i="4" s="1"/>
  <c r="CC130" i="4" s="1"/>
  <c r="CE129" i="4"/>
  <c r="CF129" i="4" s="1"/>
  <c r="BS127" i="4"/>
  <c r="AU132" i="4"/>
  <c r="AV132" i="4" s="1"/>
  <c r="AP133" i="4"/>
  <c r="AS132" i="4"/>
  <c r="AN133" i="4" s="1"/>
  <c r="AR133" i="4" s="1"/>
  <c r="R134" i="4"/>
  <c r="Q134" i="4"/>
  <c r="AW111" i="4" l="1"/>
  <c r="CH114" i="4"/>
  <c r="CG114" i="4" s="1"/>
  <c r="CL114" i="4" s="1"/>
  <c r="CN113" i="4"/>
  <c r="CO113" i="4" s="1"/>
  <c r="CI114" i="4"/>
  <c r="DJ114" i="4"/>
  <c r="DI114" i="4"/>
  <c r="DH114" i="4" s="1"/>
  <c r="DO113" i="4"/>
  <c r="DP113" i="4" s="1"/>
  <c r="AE108" i="4"/>
  <c r="AI108" i="4" s="1"/>
  <c r="AA109" i="4"/>
  <c r="Z109" i="4"/>
  <c r="BK117" i="4"/>
  <c r="BJ117" i="4"/>
  <c r="DF123" i="4"/>
  <c r="DG123" i="4" s="1"/>
  <c r="DA124" i="4"/>
  <c r="DD123" i="4"/>
  <c r="CY124" i="4" s="1"/>
  <c r="DC124" i="4" s="1"/>
  <c r="CZ125" i="4" s="1"/>
  <c r="CW136" i="4"/>
  <c r="CX136" i="4" s="1"/>
  <c r="CR137" i="4"/>
  <c r="CU136" i="4"/>
  <c r="CB130" i="4"/>
  <c r="BY131" i="4" s="1"/>
  <c r="BQ128" i="4"/>
  <c r="BV127" i="4"/>
  <c r="BW127" i="4" s="1"/>
  <c r="BO128" i="4"/>
  <c r="BT128" i="4" s="1"/>
  <c r="AU133" i="4"/>
  <c r="AV133" i="4" s="1"/>
  <c r="AP134" i="4"/>
  <c r="AS133" i="4"/>
  <c r="T134" i="4"/>
  <c r="U134" i="4" s="1"/>
  <c r="O135" i="4"/>
  <c r="W110" i="4" l="1"/>
  <c r="X110" i="4"/>
  <c r="AC109" i="4"/>
  <c r="AD109" i="4" s="1"/>
  <c r="AJ108" i="4"/>
  <c r="CK114" i="4"/>
  <c r="AF109" i="4"/>
  <c r="AG109" i="4"/>
  <c r="AL108" i="4"/>
  <c r="AM108" i="4" s="1"/>
  <c r="DL114" i="4"/>
  <c r="DM114" i="4"/>
  <c r="BB111" i="4"/>
  <c r="BA111" i="4"/>
  <c r="BG118" i="4"/>
  <c r="BM117" i="4"/>
  <c r="BN117" i="4" s="1"/>
  <c r="BH118" i="4"/>
  <c r="AN134" i="4"/>
  <c r="AS134" i="4" s="1"/>
  <c r="DA125" i="4"/>
  <c r="DF124" i="4"/>
  <c r="DG124" i="4" s="1"/>
  <c r="DD124" i="4"/>
  <c r="CY125" i="4" s="1"/>
  <c r="DC125" i="4" s="1"/>
  <c r="CZ126" i="4" s="1"/>
  <c r="CP137" i="4"/>
  <c r="CT137" i="4" s="1"/>
  <c r="CE130" i="4"/>
  <c r="CF130" i="4" s="1"/>
  <c r="BZ131" i="4"/>
  <c r="BX131" i="4"/>
  <c r="CC131" i="4" s="1"/>
  <c r="BS128" i="4"/>
  <c r="M135" i="4"/>
  <c r="DI115" i="4" l="1"/>
  <c r="DH115" i="4" s="1"/>
  <c r="DM115" i="4" s="1"/>
  <c r="DJ115" i="4"/>
  <c r="DO114" i="4"/>
  <c r="DP114" i="4" s="1"/>
  <c r="DL115" i="4"/>
  <c r="CI115" i="4"/>
  <c r="CN114" i="4"/>
  <c r="CO114" i="4" s="1"/>
  <c r="CH115" i="4"/>
  <c r="CG115" i="4" s="1"/>
  <c r="AY112" i="4"/>
  <c r="AX112" i="4"/>
  <c r="AW112" i="4" s="1"/>
  <c r="BB112" i="4" s="1"/>
  <c r="BD111" i="4"/>
  <c r="BE111" i="4" s="1"/>
  <c r="AE109" i="4"/>
  <c r="AI109" i="4" s="1"/>
  <c r="BF118" i="4"/>
  <c r="V110" i="4"/>
  <c r="AR134" i="4"/>
  <c r="DD125" i="4"/>
  <c r="I15" i="2" a="1"/>
  <c r="I15" i="2" s="1"/>
  <c r="DF125" i="4"/>
  <c r="DG125" i="4" s="1"/>
  <c r="DA126" i="4"/>
  <c r="CW137" i="4"/>
  <c r="CX137" i="4" s="1"/>
  <c r="CR138" i="4"/>
  <c r="CU137" i="4"/>
  <c r="CB131" i="4"/>
  <c r="BY132" i="4" s="1"/>
  <c r="BQ129" i="4"/>
  <c r="BV128" i="4"/>
  <c r="BW128" i="4" s="1"/>
  <c r="BO129" i="4"/>
  <c r="BT129" i="4" s="1"/>
  <c r="AP135" i="4"/>
  <c r="AU134" i="4"/>
  <c r="AV134" i="4" s="1"/>
  <c r="AN135" i="4"/>
  <c r="AS135" i="4" s="1"/>
  <c r="Q135" i="4"/>
  <c r="R135" i="4"/>
  <c r="CK115" i="4" l="1"/>
  <c r="CL115" i="4"/>
  <c r="BK118" i="4"/>
  <c r="BJ118" i="4"/>
  <c r="AL109" i="4"/>
  <c r="AM109" i="4" s="1"/>
  <c r="AG110" i="4"/>
  <c r="AF110" i="4"/>
  <c r="BA112" i="4"/>
  <c r="AJ109" i="4"/>
  <c r="DI116" i="4"/>
  <c r="DH116" i="4" s="1"/>
  <c r="DL116" i="4" s="1"/>
  <c r="DJ116" i="4"/>
  <c r="DO115" i="4"/>
  <c r="DP115" i="4" s="1"/>
  <c r="AA110" i="4"/>
  <c r="Z110" i="4"/>
  <c r="CY126" i="4"/>
  <c r="DC126" i="4" s="1"/>
  <c r="CZ127" i="4" s="1"/>
  <c r="CP138" i="4"/>
  <c r="CT138" i="4" s="1"/>
  <c r="CE131" i="4"/>
  <c r="CF131" i="4" s="1"/>
  <c r="BZ132" i="4"/>
  <c r="BX132" i="4"/>
  <c r="CC132" i="4" s="1"/>
  <c r="BS129" i="4"/>
  <c r="AR135" i="4"/>
  <c r="O136" i="4"/>
  <c r="M136" i="4" s="1"/>
  <c r="Q136" i="4" s="1"/>
  <c r="T135" i="4"/>
  <c r="U135" i="4" s="1"/>
  <c r="DJ117" i="4" l="1"/>
  <c r="DI117" i="4"/>
  <c r="DO116" i="4"/>
  <c r="DP116" i="4" s="1"/>
  <c r="AE110" i="4"/>
  <c r="AI110" i="4" s="1"/>
  <c r="AX113" i="4"/>
  <c r="AW113" i="4" s="1"/>
  <c r="BB113" i="4" s="1"/>
  <c r="AY113" i="4"/>
  <c r="BD112" i="4"/>
  <c r="BE112" i="4" s="1"/>
  <c r="BM118" i="4"/>
  <c r="BN118" i="4" s="1"/>
  <c r="BH119" i="4"/>
  <c r="BG119" i="4"/>
  <c r="BF119" i="4" s="1"/>
  <c r="BK119" i="4" s="1"/>
  <c r="AJ110" i="4"/>
  <c r="CU138" i="4"/>
  <c r="DM116" i="4"/>
  <c r="DF126" i="4"/>
  <c r="DG126" i="4" s="1"/>
  <c r="CH116" i="4"/>
  <c r="CI116" i="4"/>
  <c r="CN115" i="4"/>
  <c r="CO115" i="4" s="1"/>
  <c r="W111" i="4"/>
  <c r="V111" i="4" s="1"/>
  <c r="X111" i="4"/>
  <c r="AC110" i="4"/>
  <c r="AD110" i="4" s="1"/>
  <c r="Z111" i="4"/>
  <c r="DA127" i="4"/>
  <c r="AA111" i="4"/>
  <c r="DD126" i="4"/>
  <c r="CW138" i="4"/>
  <c r="CX138" i="4" s="1"/>
  <c r="CR139" i="4"/>
  <c r="CP139" i="4" s="1"/>
  <c r="CT139" i="4" s="1"/>
  <c r="CB132" i="4"/>
  <c r="BY133" i="4" s="1"/>
  <c r="BQ130" i="4"/>
  <c r="BV129" i="4"/>
  <c r="BW129" i="4" s="1"/>
  <c r="BO130" i="4"/>
  <c r="BT130" i="4" s="1"/>
  <c r="AP136" i="4"/>
  <c r="AU135" i="4"/>
  <c r="AV135" i="4" s="1"/>
  <c r="AN136" i="4"/>
  <c r="AS136" i="4" s="1"/>
  <c r="O137" i="4"/>
  <c r="T136" i="4"/>
  <c r="U136" i="4" s="1"/>
  <c r="R136" i="4"/>
  <c r="M137" i="4" s="1"/>
  <c r="Q137" i="4" s="1"/>
  <c r="BJ119" i="4" l="1"/>
  <c r="W112" i="4"/>
  <c r="X112" i="4"/>
  <c r="AC111" i="4"/>
  <c r="AD111" i="4" s="1"/>
  <c r="CY127" i="4"/>
  <c r="DC127" i="4" s="1"/>
  <c r="AG111" i="4"/>
  <c r="AF111" i="4"/>
  <c r="AE111" i="4" s="1"/>
  <c r="AJ111" i="4" s="1"/>
  <c r="AL110" i="4"/>
  <c r="AM110" i="4" s="1"/>
  <c r="BA113" i="4"/>
  <c r="CG116" i="4"/>
  <c r="DH117" i="4"/>
  <c r="DL117" i="4" s="1"/>
  <c r="CW139" i="4"/>
  <c r="CX139" i="4" s="1"/>
  <c r="CR140" i="4"/>
  <c r="CU139" i="4"/>
  <c r="CE132" i="4"/>
  <c r="CF132" i="4" s="1"/>
  <c r="BZ133" i="4"/>
  <c r="BX133" i="4"/>
  <c r="BS130" i="4"/>
  <c r="AR136" i="4"/>
  <c r="R137" i="4"/>
  <c r="O138" i="4"/>
  <c r="M138" i="4"/>
  <c r="Q138" i="4" s="1"/>
  <c r="T137" i="4"/>
  <c r="U137" i="4" s="1"/>
  <c r="CZ128" i="4" l="1"/>
  <c r="DA128" i="4"/>
  <c r="DF127" i="4"/>
  <c r="DG127" i="4" s="1"/>
  <c r="AI111" i="4"/>
  <c r="AX114" i="4"/>
  <c r="AY114" i="4"/>
  <c r="BD113" i="4"/>
  <c r="BE113" i="4" s="1"/>
  <c r="CP140" i="4"/>
  <c r="CT140" i="4" s="1"/>
  <c r="CW140" i="4" s="1"/>
  <c r="CX140" i="4" s="1"/>
  <c r="V112" i="4"/>
  <c r="DO117" i="4"/>
  <c r="DP117" i="4" s="1"/>
  <c r="DJ118" i="4"/>
  <c r="DI118" i="4"/>
  <c r="DM117" i="4"/>
  <c r="DD127" i="4"/>
  <c r="BG120" i="4"/>
  <c r="BH120" i="4"/>
  <c r="BM119" i="4"/>
  <c r="BN119" i="4" s="1"/>
  <c r="CK116" i="4"/>
  <c r="CL116" i="4"/>
  <c r="CU140" i="4"/>
  <c r="CB133" i="4"/>
  <c r="BY134" i="4" s="1"/>
  <c r="CC133" i="4"/>
  <c r="BQ131" i="4"/>
  <c r="BV130" i="4"/>
  <c r="BW130" i="4" s="1"/>
  <c r="BO131" i="4"/>
  <c r="BT131" i="4" s="1"/>
  <c r="AU136" i="4"/>
  <c r="AV136" i="4" s="1"/>
  <c r="AP137" i="4"/>
  <c r="AN137" i="4" s="1"/>
  <c r="AS137" i="4" s="1"/>
  <c r="O139" i="4"/>
  <c r="T138" i="4"/>
  <c r="U138" i="4" s="1"/>
  <c r="R138" i="4"/>
  <c r="M139" i="4" s="1"/>
  <c r="R139" i="4" s="1"/>
  <c r="DH118" i="4" l="1"/>
  <c r="DL118" i="4" s="1"/>
  <c r="AA112" i="4"/>
  <c r="Z112" i="4"/>
  <c r="CR141" i="4"/>
  <c r="AW114" i="4"/>
  <c r="AF112" i="4"/>
  <c r="AE112" i="4" s="1"/>
  <c r="AJ112" i="4" s="1"/>
  <c r="AG112" i="4"/>
  <c r="AL111" i="4"/>
  <c r="AM111" i="4" s="1"/>
  <c r="AI112" i="4"/>
  <c r="CH117" i="4"/>
  <c r="CI117" i="4"/>
  <c r="CN116" i="4"/>
  <c r="CO116" i="4" s="1"/>
  <c r="BF120" i="4"/>
  <c r="CY128" i="4"/>
  <c r="DC128" i="4" s="1"/>
  <c r="DM118" i="4"/>
  <c r="CP141" i="4"/>
  <c r="CT141" i="4" s="1"/>
  <c r="CR142" i="4" s="1"/>
  <c r="BZ134" i="4"/>
  <c r="BX134" i="4" s="1"/>
  <c r="CB134" i="4" s="1"/>
  <c r="BY135" i="4" s="1"/>
  <c r="CE133" i="4"/>
  <c r="CF133" i="4" s="1"/>
  <c r="BS131" i="4"/>
  <c r="AR137" i="4"/>
  <c r="Q139" i="4"/>
  <c r="BK120" i="4" l="1"/>
  <c r="BJ120" i="4"/>
  <c r="CG117" i="4"/>
  <c r="AF113" i="4"/>
  <c r="AL112" i="4"/>
  <c r="AM112" i="4" s="1"/>
  <c r="AG113" i="4"/>
  <c r="BB114" i="4"/>
  <c r="BA114" i="4"/>
  <c r="W113" i="4"/>
  <c r="V113" i="4" s="1"/>
  <c r="AA113" i="4" s="1"/>
  <c r="X113" i="4"/>
  <c r="AC112" i="4"/>
  <c r="AD112" i="4" s="1"/>
  <c r="CZ129" i="4"/>
  <c r="DF128" i="4"/>
  <c r="DG128" i="4" s="1"/>
  <c r="DA129" i="4"/>
  <c r="DD128" i="4"/>
  <c r="DI119" i="4"/>
  <c r="DJ119" i="4"/>
  <c r="DO118" i="4"/>
  <c r="DP118" i="4" s="1"/>
  <c r="CU141" i="4"/>
  <c r="CW141" i="4"/>
  <c r="CX141" i="4" s="1"/>
  <c r="CP142" i="4"/>
  <c r="CT142" i="4" s="1"/>
  <c r="CE134" i="4"/>
  <c r="CF134" i="4" s="1"/>
  <c r="BZ135" i="4"/>
  <c r="CC134" i="4"/>
  <c r="BQ132" i="4"/>
  <c r="BO132" i="4" s="1"/>
  <c r="BT132" i="4" s="1"/>
  <c r="BV131" i="4"/>
  <c r="BW131" i="4" s="1"/>
  <c r="AU137" i="4"/>
  <c r="AV137" i="4" s="1"/>
  <c r="AP138" i="4"/>
  <c r="T139" i="4"/>
  <c r="U139" i="4" s="1"/>
  <c r="O140" i="4"/>
  <c r="M140" i="4" s="1"/>
  <c r="R140" i="4" s="1"/>
  <c r="AY115" i="4" l="1"/>
  <c r="AW115" i="4" s="1"/>
  <c r="BB115" i="4" s="1"/>
  <c r="BD114" i="4"/>
  <c r="BE114" i="4" s="1"/>
  <c r="AX115" i="4"/>
  <c r="AE113" i="4"/>
  <c r="BX135" i="4"/>
  <c r="CB135" i="4" s="1"/>
  <c r="BY136" i="4" s="1"/>
  <c r="DH119" i="4"/>
  <c r="CK117" i="4"/>
  <c r="CL117" i="4"/>
  <c r="CY129" i="4"/>
  <c r="DC129" i="4" s="1"/>
  <c r="BG121" i="4"/>
  <c r="BM120" i="4"/>
  <c r="BN120" i="4" s="1"/>
  <c r="BH121" i="4"/>
  <c r="Z113" i="4"/>
  <c r="CW142" i="4"/>
  <c r="CX142" i="4" s="1"/>
  <c r="CR143" i="4"/>
  <c r="CU142" i="4"/>
  <c r="CE135" i="4"/>
  <c r="CF135" i="4" s="1"/>
  <c r="BZ136" i="4"/>
  <c r="CC135" i="4"/>
  <c r="BS132" i="4"/>
  <c r="BV132" i="4"/>
  <c r="BW132" i="4" s="1"/>
  <c r="BQ133" i="4"/>
  <c r="AN138" i="4"/>
  <c r="Q140" i="4"/>
  <c r="CZ130" i="4" l="1"/>
  <c r="CY130" i="4" s="1"/>
  <c r="DC130" i="4" s="1"/>
  <c r="DF129" i="4"/>
  <c r="DG129" i="4" s="1"/>
  <c r="DA130" i="4"/>
  <c r="BF121" i="4"/>
  <c r="CH118" i="4"/>
  <c r="CI118" i="4"/>
  <c r="CN117" i="4"/>
  <c r="CO117" i="4" s="1"/>
  <c r="DL119" i="4"/>
  <c r="DM119" i="4"/>
  <c r="AI113" i="4"/>
  <c r="AJ113" i="4"/>
  <c r="DD129" i="4"/>
  <c r="BA115" i="4"/>
  <c r="W114" i="4"/>
  <c r="V114" i="4" s="1"/>
  <c r="AA114" i="4" s="1"/>
  <c r="H14" i="2" a="1"/>
  <c r="H14" i="2" s="1"/>
  <c r="X114" i="4"/>
  <c r="AC113" i="4"/>
  <c r="AD113" i="4" s="1"/>
  <c r="BX136" i="4"/>
  <c r="CB136" i="4" s="1"/>
  <c r="BY137" i="4" s="1"/>
  <c r="CP143" i="4"/>
  <c r="CT143" i="4" s="1"/>
  <c r="BO133" i="4"/>
  <c r="AS138" i="4"/>
  <c r="AR138" i="4"/>
  <c r="O141" i="4"/>
  <c r="M141" i="4" s="1"/>
  <c r="R141" i="4" s="1"/>
  <c r="T140" i="4"/>
  <c r="U140" i="4" s="1"/>
  <c r="DD130" i="4" l="1"/>
  <c r="BD115" i="4"/>
  <c r="BE115" i="4" s="1"/>
  <c r="AY116" i="4"/>
  <c r="AX116" i="4"/>
  <c r="DJ120" i="4"/>
  <c r="DI120" i="4"/>
  <c r="DH120" i="4" s="1"/>
  <c r="DM120" i="4" s="1"/>
  <c r="DO119" i="4"/>
  <c r="DP119" i="4" s="1"/>
  <c r="DL120" i="4"/>
  <c r="BK121" i="4"/>
  <c r="BJ121" i="4"/>
  <c r="CZ131" i="4"/>
  <c r="DA131" i="4"/>
  <c r="DF130" i="4"/>
  <c r="DG130" i="4" s="1"/>
  <c r="AF114" i="4"/>
  <c r="AG114" i="4"/>
  <c r="AL113" i="4"/>
  <c r="AM113" i="4" s="1"/>
  <c r="CG118" i="4"/>
  <c r="Z114" i="4"/>
  <c r="CE136" i="4"/>
  <c r="CF136" i="4" s="1"/>
  <c r="CC136" i="4"/>
  <c r="BZ137" i="4"/>
  <c r="CR144" i="4"/>
  <c r="CW143" i="4"/>
  <c r="CX143" i="4" s="1"/>
  <c r="CU143" i="4"/>
  <c r="BT133" i="4"/>
  <c r="BS133" i="4"/>
  <c r="AU138" i="4"/>
  <c r="AV138" i="4" s="1"/>
  <c r="AP139" i="4"/>
  <c r="Q141" i="4"/>
  <c r="CY131" i="4" l="1"/>
  <c r="DC131" i="4" s="1"/>
  <c r="BG122" i="4"/>
  <c r="BM121" i="4"/>
  <c r="BN121" i="4" s="1"/>
  <c r="BH122" i="4"/>
  <c r="DD131" i="4"/>
  <c r="W115" i="4"/>
  <c r="X115" i="4"/>
  <c r="AC114" i="4"/>
  <c r="AD114" i="4" s="1"/>
  <c r="CK118" i="4"/>
  <c r="CL118" i="4"/>
  <c r="BX137" i="4"/>
  <c r="CB137" i="4" s="1"/>
  <c r="BZ138" i="4" s="1"/>
  <c r="DI121" i="4"/>
  <c r="DH121" i="4" s="1"/>
  <c r="DO120" i="4"/>
  <c r="DP120" i="4" s="1"/>
  <c r="DJ121" i="4"/>
  <c r="AE114" i="4"/>
  <c r="AW116" i="4"/>
  <c r="CP144" i="4"/>
  <c r="CT144" i="4" s="1"/>
  <c r="BQ134" i="4"/>
  <c r="BO134" i="4" s="1"/>
  <c r="BV133" i="4"/>
  <c r="BW133" i="4" s="1"/>
  <c r="AN139" i="4"/>
  <c r="O142" i="4"/>
  <c r="T141" i="4"/>
  <c r="U141" i="4" s="1"/>
  <c r="CH119" i="4" l="1"/>
  <c r="CN118" i="4"/>
  <c r="CO118" i="4" s="1"/>
  <c r="CI119" i="4"/>
  <c r="BY138" i="4"/>
  <c r="V115" i="4"/>
  <c r="DM121" i="4"/>
  <c r="DL121" i="4"/>
  <c r="CE137" i="4"/>
  <c r="CF137" i="4" s="1"/>
  <c r="BB116" i="4"/>
  <c r="BA116" i="4"/>
  <c r="CC137" i="4"/>
  <c r="CY132" i="4"/>
  <c r="DC132" i="4" s="1"/>
  <c r="AJ114" i="4"/>
  <c r="AI114" i="4"/>
  <c r="BF122" i="4"/>
  <c r="CZ132" i="4"/>
  <c r="DF131" i="4"/>
  <c r="DG131" i="4" s="1"/>
  <c r="DA132" i="4"/>
  <c r="BT134" i="4"/>
  <c r="BS134" i="4"/>
  <c r="BV134" i="4" s="1"/>
  <c r="BW134" i="4" s="1"/>
  <c r="CW144" i="4"/>
  <c r="CX144" i="4" s="1"/>
  <c r="CR145" i="4"/>
  <c r="CU144" i="4"/>
  <c r="AS139" i="4"/>
  <c r="AR139" i="4"/>
  <c r="M142" i="4"/>
  <c r="AY117" i="4" l="1"/>
  <c r="BD116" i="4"/>
  <c r="BE116" i="4" s="1"/>
  <c r="AX117" i="4"/>
  <c r="AW117" i="4" s="1"/>
  <c r="BB117" i="4" s="1"/>
  <c r="BA117" i="4"/>
  <c r="DI122" i="4"/>
  <c r="DH122" i="4" s="1"/>
  <c r="DO121" i="4"/>
  <c r="DP121" i="4" s="1"/>
  <c r="DJ122" i="4"/>
  <c r="AA115" i="4"/>
  <c r="Z115" i="4"/>
  <c r="BX138" i="4"/>
  <c r="CB138" i="4" s="1"/>
  <c r="CC138" i="4"/>
  <c r="CZ133" i="4"/>
  <c r="CY133" i="4" s="1"/>
  <c r="DC133" i="4" s="1"/>
  <c r="DA133" i="4"/>
  <c r="DF132" i="4"/>
  <c r="DG132" i="4" s="1"/>
  <c r="CG119" i="4"/>
  <c r="DD132" i="4"/>
  <c r="BJ122" i="4"/>
  <c r="BK122" i="4"/>
  <c r="AG115" i="4"/>
  <c r="AL114" i="4"/>
  <c r="AM114" i="4" s="1"/>
  <c r="AF115" i="4"/>
  <c r="BQ135" i="4"/>
  <c r="BO135" i="4" s="1"/>
  <c r="BT135" i="4" s="1"/>
  <c r="DM122" i="4"/>
  <c r="DL122" i="4"/>
  <c r="CP145" i="4"/>
  <c r="AP140" i="4"/>
  <c r="AU139" i="4"/>
  <c r="AV139" i="4" s="1"/>
  <c r="AN140" i="4"/>
  <c r="AR140" i="4" s="1"/>
  <c r="AS140" i="4"/>
  <c r="R142" i="4"/>
  <c r="Q142" i="4"/>
  <c r="AE115" i="4" l="1"/>
  <c r="CZ134" i="4"/>
  <c r="DF133" i="4"/>
  <c r="DG133" i="4" s="1"/>
  <c r="DA134" i="4"/>
  <c r="BY139" i="4"/>
  <c r="BX139" i="4" s="1"/>
  <c r="CB139" i="4" s="1"/>
  <c r="BZ139" i="4"/>
  <c r="CE138" i="4"/>
  <c r="CF138" i="4" s="1"/>
  <c r="AX118" i="4"/>
  <c r="BD117" i="4"/>
  <c r="BE117" i="4" s="1"/>
  <c r="AY118" i="4"/>
  <c r="DD133" i="4"/>
  <c r="CL119" i="4"/>
  <c r="CK119" i="4"/>
  <c r="W116" i="4"/>
  <c r="X116" i="4"/>
  <c r="AC115" i="4"/>
  <c r="AD115" i="4" s="1"/>
  <c r="BH123" i="4"/>
  <c r="BG123" i="4"/>
  <c r="BF123" i="4" s="1"/>
  <c r="BJ123" i="4" s="1"/>
  <c r="BM122" i="4"/>
  <c r="BN122" i="4" s="1"/>
  <c r="BS135" i="4"/>
  <c r="DI123" i="4"/>
  <c r="DJ123" i="4"/>
  <c r="DO122" i="4"/>
  <c r="DP122" i="4" s="1"/>
  <c r="CU145" i="4"/>
  <c r="CT145" i="4"/>
  <c r="AP141" i="4"/>
  <c r="AU140" i="4"/>
  <c r="AV140" i="4" s="1"/>
  <c r="AN141" i="4"/>
  <c r="AR141" i="4" s="1"/>
  <c r="T142" i="4"/>
  <c r="U142" i="4" s="1"/>
  <c r="O143" i="4"/>
  <c r="M143" i="4"/>
  <c r="R143" i="4" s="1"/>
  <c r="AW118" i="4" l="1"/>
  <c r="BK123" i="4"/>
  <c r="BG124" i="4"/>
  <c r="BF124" i="4" s="1"/>
  <c r="BJ124" i="4" s="1"/>
  <c r="BM123" i="4"/>
  <c r="BN123" i="4" s="1"/>
  <c r="BH124" i="4"/>
  <c r="CY134" i="4"/>
  <c r="DC134" i="4" s="1"/>
  <c r="BY140" i="4"/>
  <c r="BZ140" i="4"/>
  <c r="CE139" i="4"/>
  <c r="CF139" i="4" s="1"/>
  <c r="V116" i="4"/>
  <c r="CC139" i="4"/>
  <c r="AI115" i="4"/>
  <c r="AJ115" i="4"/>
  <c r="CH120" i="4"/>
  <c r="CI120" i="4"/>
  <c r="CN119" i="4"/>
  <c r="CO119" i="4" s="1"/>
  <c r="DH123" i="4"/>
  <c r="BQ136" i="4"/>
  <c r="BO136" i="4" s="1"/>
  <c r="BV135" i="4"/>
  <c r="BW135" i="4" s="1"/>
  <c r="CR146" i="4"/>
  <c r="CP146" i="4" s="1"/>
  <c r="CU146" i="4" s="1"/>
  <c r="CW145" i="4"/>
  <c r="CX145" i="4" s="1"/>
  <c r="AS141" i="4"/>
  <c r="AP142" i="4"/>
  <c r="AU141" i="4"/>
  <c r="AV141" i="4" s="1"/>
  <c r="Q143" i="4"/>
  <c r="T143" i="4"/>
  <c r="U143" i="4" s="1"/>
  <c r="O144" i="4"/>
  <c r="M144" i="4" s="1"/>
  <c r="AA116" i="4" l="1"/>
  <c r="Z116" i="4"/>
  <c r="CZ135" i="4"/>
  <c r="DA135" i="4"/>
  <c r="CY135" i="4" s="1"/>
  <c r="DC135" i="4" s="1"/>
  <c r="DF134" i="4"/>
  <c r="DG134" i="4" s="1"/>
  <c r="BH125" i="4"/>
  <c r="BG125" i="4"/>
  <c r="BM124" i="4"/>
  <c r="BN124" i="4" s="1"/>
  <c r="AJ116" i="4"/>
  <c r="BX140" i="4"/>
  <c r="CB140" i="4" s="1"/>
  <c r="BK124" i="4"/>
  <c r="CG120" i="4"/>
  <c r="BA118" i="4"/>
  <c r="BB118" i="4"/>
  <c r="DD134" i="4"/>
  <c r="AG116" i="4"/>
  <c r="AF116" i="4"/>
  <c r="AE116" i="4" s="1"/>
  <c r="AI116" i="4" s="1"/>
  <c r="AL115" i="4"/>
  <c r="AM115" i="4" s="1"/>
  <c r="CT146" i="4"/>
  <c r="AN142" i="4"/>
  <c r="AR142" i="4" s="1"/>
  <c r="BT136" i="4"/>
  <c r="BS136" i="4"/>
  <c r="DM123" i="4"/>
  <c r="DL123" i="4"/>
  <c r="CW146" i="4"/>
  <c r="CX146" i="4" s="1"/>
  <c r="CR147" i="4"/>
  <c r="CP147" i="4" s="1"/>
  <c r="CU147" i="4" s="1"/>
  <c r="AU142" i="4"/>
  <c r="AV142" i="4" s="1"/>
  <c r="AP143" i="4"/>
  <c r="R144" i="4"/>
  <c r="Q144" i="4"/>
  <c r="T144" i="4" s="1"/>
  <c r="U144" i="4" s="1"/>
  <c r="AY119" i="4" l="1"/>
  <c r="BD118" i="4"/>
  <c r="BE118" i="4" s="1"/>
  <c r="AX119" i="4"/>
  <c r="AW119" i="4" s="1"/>
  <c r="BB119" i="4" s="1"/>
  <c r="BA119" i="4"/>
  <c r="BF125" i="4"/>
  <c r="BJ125" i="4" s="1"/>
  <c r="CZ136" i="4"/>
  <c r="CY136" i="4" s="1"/>
  <c r="DC136" i="4" s="1"/>
  <c r="DA136" i="4"/>
  <c r="DF135" i="4"/>
  <c r="DG135" i="4" s="1"/>
  <c r="CL120" i="4"/>
  <c r="CK120" i="4"/>
  <c r="AL116" i="4"/>
  <c r="AM116" i="4" s="1"/>
  <c r="AG117" i="4"/>
  <c r="AF117" i="4"/>
  <c r="DD135" i="4"/>
  <c r="BY141" i="4"/>
  <c r="BZ141" i="4"/>
  <c r="CE140" i="4"/>
  <c r="CF140" i="4" s="1"/>
  <c r="W117" i="4"/>
  <c r="V117" i="4" s="1"/>
  <c r="AA117" i="4" s="1"/>
  <c r="X117" i="4"/>
  <c r="AC116" i="4"/>
  <c r="AD116" i="4" s="1"/>
  <c r="Z117" i="4"/>
  <c r="CC140" i="4"/>
  <c r="BV136" i="4"/>
  <c r="BW136" i="4" s="1"/>
  <c r="BQ137" i="4"/>
  <c r="BO137" i="4" s="1"/>
  <c r="BT137" i="4" s="1"/>
  <c r="AS142" i="4"/>
  <c r="AN143" i="4" s="1"/>
  <c r="AR143" i="4" s="1"/>
  <c r="AP144" i="4" s="1"/>
  <c r="DI124" i="4"/>
  <c r="DO123" i="4"/>
  <c r="DP123" i="4" s="1"/>
  <c r="DJ124" i="4"/>
  <c r="CT147" i="4"/>
  <c r="AU143" i="4"/>
  <c r="AV143" i="4" s="1"/>
  <c r="AS143" i="4"/>
  <c r="O145" i="4"/>
  <c r="M145" i="4" s="1"/>
  <c r="R145" i="4" s="1"/>
  <c r="Q145" i="4"/>
  <c r="W118" i="4" l="1"/>
  <c r="X118" i="4"/>
  <c r="AC117" i="4"/>
  <c r="AD117" i="4" s="1"/>
  <c r="AN144" i="4"/>
  <c r="AS144" i="4" s="1"/>
  <c r="CH121" i="4"/>
  <c r="CG121" i="4" s="1"/>
  <c r="CL121" i="4" s="1"/>
  <c r="CI121" i="4"/>
  <c r="CN120" i="4"/>
  <c r="CO120" i="4" s="1"/>
  <c r="CK121" i="4"/>
  <c r="CZ137" i="4"/>
  <c r="DF136" i="4"/>
  <c r="DG136" i="4" s="1"/>
  <c r="DA137" i="4"/>
  <c r="CY137" i="4" s="1"/>
  <c r="DC137" i="4" s="1"/>
  <c r="BK125" i="4"/>
  <c r="AE117" i="4"/>
  <c r="BX141" i="4"/>
  <c r="BG126" i="4"/>
  <c r="BM125" i="4"/>
  <c r="BN125" i="4" s="1"/>
  <c r="BH126" i="4"/>
  <c r="BD119" i="4"/>
  <c r="BE119" i="4" s="1"/>
  <c r="AY120" i="4"/>
  <c r="AX120" i="4"/>
  <c r="AW120" i="4" s="1"/>
  <c r="BB120" i="4" s="1"/>
  <c r="DD136" i="4"/>
  <c r="DH124" i="4"/>
  <c r="BS137" i="4"/>
  <c r="CR148" i="4"/>
  <c r="CP148" i="4" s="1"/>
  <c r="CU148" i="4" s="1"/>
  <c r="CW147" i="4"/>
  <c r="CX147" i="4" s="1"/>
  <c r="T145" i="4"/>
  <c r="U145" i="4" s="1"/>
  <c r="O146" i="4"/>
  <c r="M146" i="4"/>
  <c r="R146" i="4" s="1"/>
  <c r="CZ138" i="4" l="1"/>
  <c r="I16" i="2" a="1"/>
  <c r="I16" i="2" s="1"/>
  <c r="DA138" i="4"/>
  <c r="DF137" i="4"/>
  <c r="DG137" i="4" s="1"/>
  <c r="BA120" i="4"/>
  <c r="CH122" i="4"/>
  <c r="CI122" i="4"/>
  <c r="CN121" i="4"/>
  <c r="CO121" i="4" s="1"/>
  <c r="BF126" i="4"/>
  <c r="BJ126" i="4" s="1"/>
  <c r="AJ117" i="4"/>
  <c r="AI117" i="4"/>
  <c r="DD137" i="4"/>
  <c r="AR144" i="4"/>
  <c r="CC141" i="4"/>
  <c r="CB141" i="4"/>
  <c r="V118" i="4"/>
  <c r="BQ138" i="4"/>
  <c r="BO138" i="4" s="1"/>
  <c r="BS138" i="4" s="1"/>
  <c r="BV137" i="4"/>
  <c r="BW137" i="4" s="1"/>
  <c r="CT148" i="4"/>
  <c r="CW148" i="4" s="1"/>
  <c r="CX148" i="4" s="1"/>
  <c r="DL124" i="4"/>
  <c r="DM124" i="4"/>
  <c r="AP145" i="4"/>
  <c r="AU144" i="4"/>
  <c r="AV144" i="4" s="1"/>
  <c r="AN145" i="4"/>
  <c r="AS145" i="4" s="1"/>
  <c r="Q146" i="4"/>
  <c r="AF118" i="4" l="1"/>
  <c r="AL117" i="4"/>
  <c r="AM117" i="4" s="1"/>
  <c r="AG118" i="4"/>
  <c r="CG122" i="4"/>
  <c r="DD138" i="4"/>
  <c r="CY138" i="4"/>
  <c r="DC138" i="4" s="1"/>
  <c r="BY142" i="4"/>
  <c r="BX142" i="4" s="1"/>
  <c r="CC142" i="4" s="1"/>
  <c r="BZ142" i="4"/>
  <c r="CE141" i="4"/>
  <c r="CF141" i="4" s="1"/>
  <c r="CB142" i="4"/>
  <c r="BG127" i="4"/>
  <c r="BF127" i="4" s="1"/>
  <c r="BJ127" i="4" s="1"/>
  <c r="BM126" i="4"/>
  <c r="BN126" i="4" s="1"/>
  <c r="BH127" i="4"/>
  <c r="BD120" i="4"/>
  <c r="BE120" i="4" s="1"/>
  <c r="AY121" i="4"/>
  <c r="AX121" i="4"/>
  <c r="AW121" i="4" s="1"/>
  <c r="BB121" i="4" s="1"/>
  <c r="AA118" i="4"/>
  <c r="Z118" i="4"/>
  <c r="BA121" i="4"/>
  <c r="BK126" i="4"/>
  <c r="BT138" i="4"/>
  <c r="AX122" i="4"/>
  <c r="AW122" i="4" s="1"/>
  <c r="BB122" i="4" s="1"/>
  <c r="BD121" i="4"/>
  <c r="BE121" i="4" s="1"/>
  <c r="AY122" i="4"/>
  <c r="DI125" i="4"/>
  <c r="DH125" i="4" s="1"/>
  <c r="DL125" i="4" s="1"/>
  <c r="DJ125" i="4"/>
  <c r="DO124" i="4"/>
  <c r="DP124" i="4" s="1"/>
  <c r="CR149" i="4"/>
  <c r="CP149" i="4" s="1"/>
  <c r="CU149" i="4" s="1"/>
  <c r="BV138" i="4"/>
  <c r="BW138" i="4" s="1"/>
  <c r="BQ139" i="4"/>
  <c r="BO139" i="4" s="1"/>
  <c r="BS139" i="4" s="1"/>
  <c r="AR145" i="4"/>
  <c r="O147" i="4"/>
  <c r="T146" i="4"/>
  <c r="U146" i="4" s="1"/>
  <c r="M147" i="4"/>
  <c r="R147" i="4" s="1"/>
  <c r="BG128" i="4" l="1"/>
  <c r="BH128" i="4"/>
  <c r="BM127" i="4"/>
  <c r="BN127" i="4" s="1"/>
  <c r="BY143" i="4"/>
  <c r="BZ143" i="4"/>
  <c r="CE142" i="4"/>
  <c r="CF142" i="4" s="1"/>
  <c r="BK127" i="4"/>
  <c r="CZ139" i="4"/>
  <c r="DF138" i="4"/>
  <c r="DG138" i="4" s="1"/>
  <c r="DA139" i="4"/>
  <c r="CY139" i="4" s="1"/>
  <c r="DC139" i="4" s="1"/>
  <c r="DD139" i="4"/>
  <c r="BA122" i="4"/>
  <c r="BD122" i="4" s="1"/>
  <c r="BE122" i="4" s="1"/>
  <c r="W119" i="4"/>
  <c r="V119" i="4" s="1"/>
  <c r="X119" i="4"/>
  <c r="AC118" i="4"/>
  <c r="AD118" i="4" s="1"/>
  <c r="Z119" i="4"/>
  <c r="AA119" i="4"/>
  <c r="CL122" i="4"/>
  <c r="CK122" i="4"/>
  <c r="AE118" i="4"/>
  <c r="AX123" i="4"/>
  <c r="AY123" i="4"/>
  <c r="DI126" i="4"/>
  <c r="DJ126" i="4"/>
  <c r="DO125" i="4"/>
  <c r="DP125" i="4" s="1"/>
  <c r="CT149" i="4"/>
  <c r="CW149" i="4" s="1"/>
  <c r="CX149" i="4" s="1"/>
  <c r="DM125" i="4"/>
  <c r="BQ140" i="4"/>
  <c r="BV139" i="4"/>
  <c r="BW139" i="4" s="1"/>
  <c r="BT139" i="4"/>
  <c r="AP146" i="4"/>
  <c r="AU145" i="4"/>
  <c r="AV145" i="4" s="1"/>
  <c r="Q147" i="4"/>
  <c r="T147" i="4"/>
  <c r="U147" i="4" s="1"/>
  <c r="O148" i="4"/>
  <c r="AJ118" i="4" l="1"/>
  <c r="AI118" i="4"/>
  <c r="BK128" i="4"/>
  <c r="W120" i="4"/>
  <c r="X120" i="4"/>
  <c r="AC119" i="4"/>
  <c r="AD119" i="4" s="1"/>
  <c r="CZ140" i="4"/>
  <c r="DA140" i="4"/>
  <c r="DF139" i="4"/>
  <c r="DG139" i="4" s="1"/>
  <c r="CH123" i="4"/>
  <c r="CG123" i="4" s="1"/>
  <c r="CL123" i="4" s="1"/>
  <c r="CI123" i="4"/>
  <c r="CN122" i="4"/>
  <c r="CO122" i="4" s="1"/>
  <c r="BX143" i="4"/>
  <c r="BF128" i="4"/>
  <c r="BJ128" i="4" s="1"/>
  <c r="CR150" i="4"/>
  <c r="CP150" i="4" s="1"/>
  <c r="CU150" i="4" s="1"/>
  <c r="AW123" i="4"/>
  <c r="DH126" i="4"/>
  <c r="DL126" i="4" s="1"/>
  <c r="BO140" i="4"/>
  <c r="BS140" i="4" s="1"/>
  <c r="BQ141" i="4" s="1"/>
  <c r="AN146" i="4"/>
  <c r="M148" i="4"/>
  <c r="CY140" i="4" l="1"/>
  <c r="V120" i="4"/>
  <c r="BH129" i="4"/>
  <c r="BM128" i="4"/>
  <c r="BN128" i="4" s="1"/>
  <c r="BG129" i="4"/>
  <c r="BF129" i="4" s="1"/>
  <c r="BK129" i="4" s="1"/>
  <c r="AG119" i="4"/>
  <c r="AL118" i="4"/>
  <c r="AM118" i="4" s="1"/>
  <c r="AF119" i="4"/>
  <c r="AE119" i="4" s="1"/>
  <c r="AI119" i="4" s="1"/>
  <c r="CC143" i="4"/>
  <c r="CB143" i="4"/>
  <c r="CT150" i="4"/>
  <c r="CR151" i="4" s="1"/>
  <c r="CP151" i="4" s="1"/>
  <c r="CK123" i="4"/>
  <c r="BV140" i="4"/>
  <c r="BW140" i="4" s="1"/>
  <c r="BB123" i="4"/>
  <c r="BA123" i="4"/>
  <c r="DI127" i="4"/>
  <c r="DO126" i="4"/>
  <c r="DP126" i="4" s="1"/>
  <c r="DJ127" i="4"/>
  <c r="BT140" i="4"/>
  <c r="BO141" i="4" s="1"/>
  <c r="BS141" i="4" s="1"/>
  <c r="BQ142" i="4" s="1"/>
  <c r="DM126" i="4"/>
  <c r="AS146" i="4"/>
  <c r="AR146" i="4"/>
  <c r="R148" i="4"/>
  <c r="Q148" i="4"/>
  <c r="AJ119" i="4" l="1"/>
  <c r="AG120" i="4"/>
  <c r="AL119" i="4"/>
  <c r="AM119" i="4" s="1"/>
  <c r="AF120" i="4"/>
  <c r="AE120" i="4" s="1"/>
  <c r="AI120" i="4" s="1"/>
  <c r="CW150" i="4"/>
  <c r="CX150" i="4" s="1"/>
  <c r="BY144" i="4"/>
  <c r="BX144" i="4" s="1"/>
  <c r="CC144" i="4" s="1"/>
  <c r="CE143" i="4"/>
  <c r="CF143" i="4" s="1"/>
  <c r="BZ144" i="4"/>
  <c r="BJ129" i="4"/>
  <c r="Z120" i="4"/>
  <c r="AA120" i="4"/>
  <c r="BT141" i="4"/>
  <c r="BO142" i="4" s="1"/>
  <c r="CH124" i="4"/>
  <c r="CN123" i="4"/>
  <c r="CO123" i="4" s="1"/>
  <c r="CI124" i="4"/>
  <c r="CG124" i="4" s="1"/>
  <c r="CL124" i="4" s="1"/>
  <c r="CK124" i="4"/>
  <c r="DC140" i="4"/>
  <c r="DD140" i="4"/>
  <c r="BV141" i="4"/>
  <c r="BW141" i="4" s="1"/>
  <c r="DH127" i="4"/>
  <c r="DL127" i="4" s="1"/>
  <c r="AX124" i="4"/>
  <c r="BD123" i="4"/>
  <c r="BE123" i="4" s="1"/>
  <c r="AY124" i="4"/>
  <c r="CT151" i="4"/>
  <c r="CU151" i="4"/>
  <c r="AU146" i="4"/>
  <c r="AV146" i="4" s="1"/>
  <c r="AP147" i="4"/>
  <c r="AN147" i="4" s="1"/>
  <c r="AS147" i="4" s="1"/>
  <c r="O149" i="4"/>
  <c r="T148" i="4"/>
  <c r="U148" i="4" s="1"/>
  <c r="M149" i="4"/>
  <c r="R149" i="4" s="1"/>
  <c r="BS142" i="4" l="1"/>
  <c r="BT142" i="4"/>
  <c r="W121" i="4"/>
  <c r="X121" i="4"/>
  <c r="AC120" i="4"/>
  <c r="AD120" i="4" s="1"/>
  <c r="BG130" i="4"/>
  <c r="BM129" i="4"/>
  <c r="BN129" i="4" s="1"/>
  <c r="BH130" i="4"/>
  <c r="AG121" i="4"/>
  <c r="AL120" i="4"/>
  <c r="AM120" i="4" s="1"/>
  <c r="AF121" i="4"/>
  <c r="AE121" i="4" s="1"/>
  <c r="AJ121" i="4" s="1"/>
  <c r="CH125" i="4"/>
  <c r="CG125" i="4" s="1"/>
  <c r="CK125" i="4" s="1"/>
  <c r="CI125" i="4"/>
  <c r="CN124" i="4"/>
  <c r="CO124" i="4" s="1"/>
  <c r="CB144" i="4"/>
  <c r="CZ141" i="4"/>
  <c r="CY141" i="4" s="1"/>
  <c r="DA141" i="4"/>
  <c r="DF140" i="4"/>
  <c r="DG140" i="4" s="1"/>
  <c r="AJ120" i="4"/>
  <c r="DM127" i="4"/>
  <c r="AW124" i="4"/>
  <c r="DI128" i="4"/>
  <c r="DO127" i="4"/>
  <c r="DP127" i="4" s="1"/>
  <c r="DJ128" i="4"/>
  <c r="CW151" i="4"/>
  <c r="CX151" i="4" s="1"/>
  <c r="CR152" i="4"/>
  <c r="CP152" i="4" s="1"/>
  <c r="CT152" i="4" s="1"/>
  <c r="BQ143" i="4"/>
  <c r="BO143" i="4" s="1"/>
  <c r="BS143" i="4" s="1"/>
  <c r="BV142" i="4"/>
  <c r="BW142" i="4" s="1"/>
  <c r="AR147" i="4"/>
  <c r="Q149" i="4"/>
  <c r="CH126" i="4" l="1"/>
  <c r="CN125" i="4"/>
  <c r="CO125" i="4" s="1"/>
  <c r="CI126" i="4"/>
  <c r="DD141" i="4"/>
  <c r="DC141" i="4"/>
  <c r="AI121" i="4"/>
  <c r="BF130" i="4"/>
  <c r="BY145" i="4"/>
  <c r="BX145" i="4" s="1"/>
  <c r="CC145" i="4" s="1"/>
  <c r="BZ145" i="4"/>
  <c r="CE144" i="4"/>
  <c r="CF144" i="4" s="1"/>
  <c r="CL125" i="4"/>
  <c r="DH128" i="4"/>
  <c r="DL128" i="4" s="1"/>
  <c r="DI129" i="4" s="1"/>
  <c r="V121" i="4"/>
  <c r="BB124" i="4"/>
  <c r="BA124" i="4"/>
  <c r="CW152" i="4"/>
  <c r="CX152" i="4" s="1"/>
  <c r="CR153" i="4"/>
  <c r="CU152" i="4"/>
  <c r="BQ144" i="4"/>
  <c r="BV143" i="4"/>
  <c r="BW143" i="4" s="1"/>
  <c r="BT143" i="4"/>
  <c r="BO144" i="4" s="1"/>
  <c r="BS144" i="4" s="1"/>
  <c r="AU147" i="4"/>
  <c r="AV147" i="4" s="1"/>
  <c r="AP148" i="4"/>
  <c r="AN148" i="4" s="1"/>
  <c r="AS148" i="4" s="1"/>
  <c r="O150" i="4"/>
  <c r="T149" i="4"/>
  <c r="U149" i="4" s="1"/>
  <c r="BJ130" i="4" l="1"/>
  <c r="BK130" i="4"/>
  <c r="DO128" i="4"/>
  <c r="DP128" i="4" s="1"/>
  <c r="CZ142" i="4"/>
  <c r="DF141" i="4"/>
  <c r="DG141" i="4" s="1"/>
  <c r="DA142" i="4"/>
  <c r="CL126" i="4"/>
  <c r="CB145" i="4"/>
  <c r="AG122" i="4"/>
  <c r="AL121" i="4"/>
  <c r="AM121" i="4" s="1"/>
  <c r="AF122" i="4"/>
  <c r="AE122" i="4" s="1"/>
  <c r="AJ122" i="4" s="1"/>
  <c r="DJ129" i="4"/>
  <c r="DH129" i="4" s="1"/>
  <c r="DM128" i="4"/>
  <c r="Z121" i="4"/>
  <c r="AA121" i="4"/>
  <c r="CG126" i="4"/>
  <c r="CK126" i="4" s="1"/>
  <c r="AX125" i="4"/>
  <c r="BD124" i="4"/>
  <c r="BE124" i="4" s="1"/>
  <c r="AY125" i="4"/>
  <c r="CP153" i="4"/>
  <c r="BT144" i="4"/>
  <c r="BQ145" i="4"/>
  <c r="BO145" i="4" s="1"/>
  <c r="BS145" i="4" s="1"/>
  <c r="BV144" i="4"/>
  <c r="BW144" i="4" s="1"/>
  <c r="AR148" i="4"/>
  <c r="M150" i="4"/>
  <c r="DL129" i="4" l="1"/>
  <c r="DM129" i="4"/>
  <c r="AI122" i="4"/>
  <c r="BY146" i="4"/>
  <c r="BX146" i="4" s="1"/>
  <c r="CC146" i="4" s="1"/>
  <c r="BZ146" i="4"/>
  <c r="CE145" i="4"/>
  <c r="CF145" i="4" s="1"/>
  <c r="CB146" i="4"/>
  <c r="CH127" i="4"/>
  <c r="CN126" i="4"/>
  <c r="CO126" i="4" s="1"/>
  <c r="CI127" i="4"/>
  <c r="CG127" i="4" s="1"/>
  <c r="CK127" i="4" s="1"/>
  <c r="W122" i="4"/>
  <c r="V122" i="4" s="1"/>
  <c r="Z122" i="4" s="1"/>
  <c r="X122" i="4"/>
  <c r="AC121" i="4"/>
  <c r="AD121" i="4" s="1"/>
  <c r="AW125" i="4"/>
  <c r="BB125" i="4" s="1"/>
  <c r="CY142" i="4"/>
  <c r="BH131" i="4"/>
  <c r="BM130" i="4"/>
  <c r="BN130" i="4" s="1"/>
  <c r="BG131" i="4"/>
  <c r="BF131" i="4" s="1"/>
  <c r="BJ131" i="4" s="1"/>
  <c r="BA125" i="4"/>
  <c r="DI130" i="4"/>
  <c r="DH130" i="4" s="1"/>
  <c r="DL130" i="4" s="1"/>
  <c r="DJ130" i="4"/>
  <c r="DO129" i="4"/>
  <c r="DP129" i="4" s="1"/>
  <c r="CU153" i="4"/>
  <c r="CT153" i="4"/>
  <c r="BQ146" i="4"/>
  <c r="BV145" i="4"/>
  <c r="BW145" i="4" s="1"/>
  <c r="BT145" i="4"/>
  <c r="BO146" i="4" s="1"/>
  <c r="BS146" i="4" s="1"/>
  <c r="AP149" i="4"/>
  <c r="AN149" i="4" s="1"/>
  <c r="AS149" i="4" s="1"/>
  <c r="AU148" i="4"/>
  <c r="AV148" i="4" s="1"/>
  <c r="Q150" i="4"/>
  <c r="R150" i="4"/>
  <c r="CH128" i="4" l="1"/>
  <c r="CN127" i="4"/>
  <c r="CO127" i="4" s="1"/>
  <c r="CI128" i="4"/>
  <c r="W123" i="4"/>
  <c r="AC122" i="4"/>
  <c r="AD122" i="4" s="1"/>
  <c r="X123" i="4"/>
  <c r="BG132" i="4"/>
  <c r="BF132" i="4" s="1"/>
  <c r="BJ132" i="4" s="1"/>
  <c r="BM131" i="4"/>
  <c r="BN131" i="4" s="1"/>
  <c r="BH132" i="4"/>
  <c r="BY147" i="4"/>
  <c r="BZ147" i="4"/>
  <c r="CE146" i="4"/>
  <c r="CF146" i="4" s="1"/>
  <c r="AA122" i="4"/>
  <c r="V123" i="4" s="1"/>
  <c r="AA123" i="4" s="1"/>
  <c r="DD142" i="4"/>
  <c r="DC142" i="4"/>
  <c r="AG123" i="4"/>
  <c r="AL122" i="4"/>
  <c r="AM122" i="4" s="1"/>
  <c r="AF123" i="4"/>
  <c r="AE123" i="4" s="1"/>
  <c r="AJ123" i="4" s="1"/>
  <c r="AI123" i="4"/>
  <c r="CL127" i="4"/>
  <c r="BK131" i="4"/>
  <c r="DI131" i="4"/>
  <c r="DO130" i="4"/>
  <c r="DP130" i="4" s="1"/>
  <c r="DJ131" i="4"/>
  <c r="DM130" i="4"/>
  <c r="AX126" i="4"/>
  <c r="BD125" i="4"/>
  <c r="BE125" i="4" s="1"/>
  <c r="AY126" i="4"/>
  <c r="CW153" i="4"/>
  <c r="CX153" i="4" s="1"/>
  <c r="CR154" i="4"/>
  <c r="CP154" i="4" s="1"/>
  <c r="CU154" i="4" s="1"/>
  <c r="BV146" i="4"/>
  <c r="BW146" i="4" s="1"/>
  <c r="BQ147" i="4"/>
  <c r="BT146" i="4"/>
  <c r="AR149" i="4"/>
  <c r="T150" i="4"/>
  <c r="U150" i="4" s="1"/>
  <c r="O151" i="4"/>
  <c r="M151" i="4" s="1"/>
  <c r="BM132" i="4" l="1"/>
  <c r="BN132" i="4" s="1"/>
  <c r="BG133" i="4"/>
  <c r="BH133" i="4"/>
  <c r="BF133" i="4" s="1"/>
  <c r="BJ133" i="4" s="1"/>
  <c r="Z123" i="4"/>
  <c r="CT154" i="4"/>
  <c r="CR155" i="4" s="1"/>
  <c r="CP155" i="4" s="1"/>
  <c r="CU155" i="4" s="1"/>
  <c r="AL123" i="4"/>
  <c r="AM123" i="4" s="1"/>
  <c r="AF124" i="4"/>
  <c r="AE124" i="4" s="1"/>
  <c r="AJ124" i="4" s="1"/>
  <c r="AG124" i="4"/>
  <c r="AW126" i="4"/>
  <c r="BB126" i="4" s="1"/>
  <c r="CZ143" i="4"/>
  <c r="CY143" i="4" s="1"/>
  <c r="DD143" i="4" s="1"/>
  <c r="DA143" i="4"/>
  <c r="DF142" i="4"/>
  <c r="DG142" i="4" s="1"/>
  <c r="BX147" i="4"/>
  <c r="BK132" i="4"/>
  <c r="CG128" i="4"/>
  <c r="CK128" i="4" s="1"/>
  <c r="BO147" i="4"/>
  <c r="BT147" i="4" s="1"/>
  <c r="DH131" i="4"/>
  <c r="BS147" i="4"/>
  <c r="AU149" i="4"/>
  <c r="AV149" i="4" s="1"/>
  <c r="AP150" i="4"/>
  <c r="AN150" i="4"/>
  <c r="AS150" i="4" s="1"/>
  <c r="Q151" i="4"/>
  <c r="R151" i="4"/>
  <c r="O152" i="4"/>
  <c r="M152" i="4" s="1"/>
  <c r="Q152" i="4" s="1"/>
  <c r="T151" i="4"/>
  <c r="U151" i="4" s="1"/>
  <c r="CH129" i="4" l="1"/>
  <c r="CN128" i="4"/>
  <c r="CO128" i="4" s="1"/>
  <c r="CI129" i="4"/>
  <c r="DC143" i="4"/>
  <c r="CW154" i="4"/>
  <c r="CX154" i="4" s="1"/>
  <c r="CL128" i="4"/>
  <c r="W124" i="4"/>
  <c r="X124" i="4"/>
  <c r="V124" i="4" s="1"/>
  <c r="AA124" i="4" s="1"/>
  <c r="AC123" i="4"/>
  <c r="AD123" i="4" s="1"/>
  <c r="BK133" i="4"/>
  <c r="AI124" i="4"/>
  <c r="BA126" i="4"/>
  <c r="BM133" i="4"/>
  <c r="BN133" i="4" s="1"/>
  <c r="BG134" i="4"/>
  <c r="BH134" i="4"/>
  <c r="CC147" i="4"/>
  <c r="CB147" i="4"/>
  <c r="AX127" i="4"/>
  <c r="AY127" i="4"/>
  <c r="BD126" i="4"/>
  <c r="BE126" i="4" s="1"/>
  <c r="CT155" i="4"/>
  <c r="DM131" i="4"/>
  <c r="DL131" i="4"/>
  <c r="BV147" i="4"/>
  <c r="BW147" i="4" s="1"/>
  <c r="BQ148" i="4"/>
  <c r="AR150" i="4"/>
  <c r="T152" i="4"/>
  <c r="U152" i="4" s="1"/>
  <c r="O153" i="4"/>
  <c r="R152" i="4"/>
  <c r="Z124" i="4" l="1"/>
  <c r="CG129" i="4"/>
  <c r="CK129" i="4" s="1"/>
  <c r="BY148" i="4"/>
  <c r="CE147" i="4"/>
  <c r="CF147" i="4" s="1"/>
  <c r="BZ148" i="4"/>
  <c r="CR156" i="4"/>
  <c r="CP156" i="4" s="1"/>
  <c r="CU156" i="4" s="1"/>
  <c r="CW155" i="4"/>
  <c r="CX155" i="4" s="1"/>
  <c r="AF125" i="4"/>
  <c r="AE125" i="4" s="1"/>
  <c r="AL124" i="4"/>
  <c r="AM124" i="4" s="1"/>
  <c r="AG125" i="4"/>
  <c r="CL129" i="4"/>
  <c r="CZ144" i="4"/>
  <c r="DA144" i="4"/>
  <c r="DF143" i="4"/>
  <c r="DG143" i="4" s="1"/>
  <c r="BF134" i="4"/>
  <c r="BJ134" i="4" s="1"/>
  <c r="DI132" i="4"/>
  <c r="DJ132" i="4"/>
  <c r="DO131" i="4"/>
  <c r="DP131" i="4" s="1"/>
  <c r="AW127" i="4"/>
  <c r="BO148" i="4"/>
  <c r="AU150" i="4"/>
  <c r="AV150" i="4" s="1"/>
  <c r="AP151" i="4"/>
  <c r="AN151" i="4" s="1"/>
  <c r="AS151" i="4" s="1"/>
  <c r="M153" i="4"/>
  <c r="Q153" i="4" s="1"/>
  <c r="AI125" i="4" l="1"/>
  <c r="AJ125" i="4"/>
  <c r="BX148" i="4"/>
  <c r="CH130" i="4"/>
  <c r="CI130" i="4"/>
  <c r="CG130" i="4" s="1"/>
  <c r="CK130" i="4" s="1"/>
  <c r="CN129" i="4"/>
  <c r="CO129" i="4" s="1"/>
  <c r="CY144" i="4"/>
  <c r="BK134" i="4"/>
  <c r="DH132" i="4"/>
  <c r="DM132" i="4" s="1"/>
  <c r="BG135" i="4"/>
  <c r="BM134" i="4"/>
  <c r="BN134" i="4" s="1"/>
  <c r="BH135" i="4"/>
  <c r="W125" i="4"/>
  <c r="V125" i="4" s="1"/>
  <c r="AA125" i="4" s="1"/>
  <c r="X125" i="4"/>
  <c r="AC124" i="4"/>
  <c r="AD124" i="4" s="1"/>
  <c r="CT156" i="4"/>
  <c r="BB127" i="4"/>
  <c r="BA127" i="4"/>
  <c r="BT148" i="4"/>
  <c r="BS148" i="4"/>
  <c r="AR151" i="4"/>
  <c r="T153" i="4"/>
  <c r="U153" i="4" s="1"/>
  <c r="O154" i="4"/>
  <c r="R153" i="4"/>
  <c r="BF135" i="4" l="1"/>
  <c r="BJ135" i="4" s="1"/>
  <c r="DL132" i="4"/>
  <c r="DC144" i="4"/>
  <c r="DD144" i="4"/>
  <c r="BK135" i="4"/>
  <c r="M154" i="4"/>
  <c r="Q154" i="4" s="1"/>
  <c r="T154" i="4" s="1"/>
  <c r="U154" i="4" s="1"/>
  <c r="CH131" i="4"/>
  <c r="CI131" i="4"/>
  <c r="CN130" i="4"/>
  <c r="CO130" i="4" s="1"/>
  <c r="CW156" i="4"/>
  <c r="CX156" i="4" s="1"/>
  <c r="CR157" i="4"/>
  <c r="CP157" i="4" s="1"/>
  <c r="CC148" i="4"/>
  <c r="CB148" i="4"/>
  <c r="Z125" i="4"/>
  <c r="CL130" i="4"/>
  <c r="AG126" i="4"/>
  <c r="AF126" i="4"/>
  <c r="AE126" i="4" s="1"/>
  <c r="AI126" i="4" s="1"/>
  <c r="AL125" i="4"/>
  <c r="AM125" i="4" s="1"/>
  <c r="DI133" i="4"/>
  <c r="DJ133" i="4"/>
  <c r="DO132" i="4"/>
  <c r="DP132" i="4" s="1"/>
  <c r="AX128" i="4"/>
  <c r="BD127" i="4"/>
  <c r="BE127" i="4" s="1"/>
  <c r="AY128" i="4"/>
  <c r="BQ149" i="4"/>
  <c r="BO149" i="4"/>
  <c r="BT149" i="4" s="1"/>
  <c r="BV148" i="4"/>
  <c r="BW148" i="4" s="1"/>
  <c r="AP152" i="4"/>
  <c r="AU151" i="4"/>
  <c r="AV151" i="4" s="1"/>
  <c r="AN152" i="4"/>
  <c r="AS152" i="4" s="1"/>
  <c r="O155" i="4"/>
  <c r="R154" i="4"/>
  <c r="M155" i="4" s="1"/>
  <c r="Q155" i="4" s="1"/>
  <c r="BY149" i="4" l="1"/>
  <c r="CE148" i="4"/>
  <c r="CF148" i="4" s="1"/>
  <c r="BZ149" i="4"/>
  <c r="CZ145" i="4"/>
  <c r="DF144" i="4"/>
  <c r="DG144" i="4" s="1"/>
  <c r="DA145" i="4"/>
  <c r="CT157" i="4"/>
  <c r="CU157" i="4"/>
  <c r="CG131" i="4"/>
  <c r="CK131" i="4" s="1"/>
  <c r="CL131" i="4"/>
  <c r="AG127" i="4"/>
  <c r="AF127" i="4"/>
  <c r="AL126" i="4"/>
  <c r="AM126" i="4" s="1"/>
  <c r="AJ126" i="4"/>
  <c r="W126" i="4"/>
  <c r="X126" i="4"/>
  <c r="V126" i="4" s="1"/>
  <c r="AC125" i="4"/>
  <c r="AD125" i="4" s="1"/>
  <c r="H15" i="2" a="1"/>
  <c r="H15" i="2" s="1"/>
  <c r="BG136" i="4"/>
  <c r="BF136" i="4" s="1"/>
  <c r="BJ136" i="4" s="1"/>
  <c r="BH136" i="4"/>
  <c r="BM135" i="4"/>
  <c r="BN135" i="4" s="1"/>
  <c r="DH133" i="4"/>
  <c r="AW128" i="4"/>
  <c r="BS149" i="4"/>
  <c r="AR152" i="4"/>
  <c r="T155" i="4"/>
  <c r="U155" i="4" s="1"/>
  <c r="O156" i="4"/>
  <c r="R155" i="4"/>
  <c r="CW157" i="4" l="1"/>
  <c r="CX157" i="4" s="1"/>
  <c r="CR158" i="4"/>
  <c r="CP158" i="4" s="1"/>
  <c r="Z126" i="4"/>
  <c r="AA126" i="4"/>
  <c r="CH132" i="4"/>
  <c r="CG132" i="4" s="1"/>
  <c r="CK132" i="4" s="1"/>
  <c r="CI132" i="4"/>
  <c r="CN131" i="4"/>
  <c r="CO131" i="4" s="1"/>
  <c r="BK136" i="4"/>
  <c r="AJ127" i="4"/>
  <c r="BX149" i="4"/>
  <c r="BG137" i="4"/>
  <c r="BM136" i="4"/>
  <c r="BN136" i="4" s="1"/>
  <c r="BH137" i="4"/>
  <c r="CY145" i="4"/>
  <c r="AE127" i="4"/>
  <c r="AI127" i="4" s="1"/>
  <c r="BB128" i="4"/>
  <c r="BA128" i="4"/>
  <c r="DM133" i="4"/>
  <c r="DL133" i="4"/>
  <c r="BV149" i="4"/>
  <c r="BW149" i="4" s="1"/>
  <c r="BQ150" i="4"/>
  <c r="BO150" i="4"/>
  <c r="BT150" i="4" s="1"/>
  <c r="AP153" i="4"/>
  <c r="AU152" i="4"/>
  <c r="AV152" i="4" s="1"/>
  <c r="M156" i="4"/>
  <c r="Q156" i="4" s="1"/>
  <c r="CC149" i="4" l="1"/>
  <c r="CB149" i="4"/>
  <c r="BF137" i="4"/>
  <c r="BJ137" i="4" s="1"/>
  <c r="CH133" i="4"/>
  <c r="CI133" i="4"/>
  <c r="CN132" i="4"/>
  <c r="CO132" i="4" s="1"/>
  <c r="W127" i="4"/>
  <c r="V127" i="4" s="1"/>
  <c r="Z127" i="4" s="1"/>
  <c r="X127" i="4"/>
  <c r="AC126" i="4"/>
  <c r="AD126" i="4" s="1"/>
  <c r="AL127" i="4"/>
  <c r="AM127" i="4" s="1"/>
  <c r="AF128" i="4"/>
  <c r="AE128" i="4" s="1"/>
  <c r="AI128" i="4" s="1"/>
  <c r="AG128" i="4"/>
  <c r="CT158" i="4"/>
  <c r="CU158" i="4"/>
  <c r="BK137" i="4"/>
  <c r="CL132" i="4"/>
  <c r="DC145" i="4"/>
  <c r="DD145" i="4"/>
  <c r="AX129" i="4"/>
  <c r="AY129" i="4"/>
  <c r="BD128" i="4"/>
  <c r="BE128" i="4" s="1"/>
  <c r="DI134" i="4"/>
  <c r="DH134" i="4" s="1"/>
  <c r="DL134" i="4" s="1"/>
  <c r="DO133" i="4"/>
  <c r="DP133" i="4" s="1"/>
  <c r="DJ134" i="4"/>
  <c r="BS150" i="4"/>
  <c r="AN153" i="4"/>
  <c r="O157" i="4"/>
  <c r="T156" i="4"/>
  <c r="U156" i="4" s="1"/>
  <c r="R156" i="4"/>
  <c r="AF129" i="4" l="1"/>
  <c r="AL128" i="4"/>
  <c r="AM128" i="4" s="1"/>
  <c r="AG129" i="4"/>
  <c r="CZ146" i="4"/>
  <c r="DA146" i="4"/>
  <c r="DF145" i="4"/>
  <c r="DG145" i="4" s="1"/>
  <c r="W128" i="4"/>
  <c r="AC127" i="4"/>
  <c r="AD127" i="4" s="1"/>
  <c r="X128" i="4"/>
  <c r="AA127" i="4"/>
  <c r="BK138" i="4"/>
  <c r="AJ128" i="4"/>
  <c r="DM134" i="4"/>
  <c r="CW158" i="4"/>
  <c r="CX158" i="4" s="1"/>
  <c r="CR159" i="4"/>
  <c r="CP159" i="4" s="1"/>
  <c r="BY150" i="4"/>
  <c r="CE149" i="4"/>
  <c r="CF149" i="4" s="1"/>
  <c r="BZ150" i="4"/>
  <c r="CG133" i="4"/>
  <c r="CK133" i="4" s="1"/>
  <c r="CL133" i="4"/>
  <c r="BG138" i="4"/>
  <c r="BF138" i="4" s="1"/>
  <c r="BJ138" i="4" s="1"/>
  <c r="BH138" i="4"/>
  <c r="BM137" i="4"/>
  <c r="BN137" i="4" s="1"/>
  <c r="DI135" i="4"/>
  <c r="DJ135" i="4"/>
  <c r="DO134" i="4"/>
  <c r="DP134" i="4" s="1"/>
  <c r="AW129" i="4"/>
  <c r="BQ151" i="4"/>
  <c r="BV150" i="4"/>
  <c r="BW150" i="4" s="1"/>
  <c r="BO151" i="4"/>
  <c r="BT151" i="4" s="1"/>
  <c r="AS153" i="4"/>
  <c r="AR153" i="4"/>
  <c r="M157" i="4"/>
  <c r="Q157" i="4" s="1"/>
  <c r="T157" i="4" s="1"/>
  <c r="U157" i="4" s="1"/>
  <c r="O158" i="4"/>
  <c r="BH139" i="4" l="1"/>
  <c r="BM138" i="4"/>
  <c r="BN138" i="4" s="1"/>
  <c r="BG139" i="4"/>
  <c r="BF139" i="4" s="1"/>
  <c r="BJ139" i="4" s="1"/>
  <c r="CH134" i="4"/>
  <c r="CN133" i="4"/>
  <c r="CO133" i="4" s="1"/>
  <c r="CI134" i="4"/>
  <c r="V128" i="4"/>
  <c r="Z128" i="4" s="1"/>
  <c r="DH135" i="4"/>
  <c r="BK139" i="4"/>
  <c r="CG134" i="4"/>
  <c r="CK134" i="4" s="1"/>
  <c r="CL134" i="4"/>
  <c r="CY146" i="4"/>
  <c r="CT159" i="4"/>
  <c r="CU159" i="4"/>
  <c r="BX150" i="4"/>
  <c r="AE129" i="4"/>
  <c r="BB129" i="4"/>
  <c r="BA129" i="4"/>
  <c r="BS151" i="4"/>
  <c r="AP154" i="4"/>
  <c r="AN154" i="4" s="1"/>
  <c r="AR154" i="4" s="1"/>
  <c r="AU153" i="4"/>
  <c r="AV153" i="4" s="1"/>
  <c r="R157" i="4"/>
  <c r="M158" i="4" s="1"/>
  <c r="Q158" i="4" s="1"/>
  <c r="T158" i="4" s="1"/>
  <c r="U158" i="4" s="1"/>
  <c r="AA128" i="4" l="1"/>
  <c r="CR160" i="4"/>
  <c r="CP160" i="4" s="1"/>
  <c r="CU160" i="4" s="1"/>
  <c r="CW159" i="4"/>
  <c r="CX159" i="4" s="1"/>
  <c r="CH135" i="4"/>
  <c r="CI135" i="4"/>
  <c r="CG135" i="4" s="1"/>
  <c r="CK135" i="4" s="1"/>
  <c r="CN134" i="4"/>
  <c r="CO134" i="4" s="1"/>
  <c r="DL135" i="4"/>
  <c r="DM135" i="4"/>
  <c r="CT160" i="4"/>
  <c r="CW160" i="4" s="1"/>
  <c r="CX160" i="4" s="1"/>
  <c r="CC150" i="4"/>
  <c r="CB150" i="4"/>
  <c r="DC146" i="4"/>
  <c r="DD146" i="4"/>
  <c r="W129" i="4"/>
  <c r="AC128" i="4"/>
  <c r="AD128" i="4" s="1"/>
  <c r="X129" i="4"/>
  <c r="AJ129" i="4"/>
  <c r="AI129" i="4"/>
  <c r="BH140" i="4"/>
  <c r="BG140" i="4"/>
  <c r="BM139" i="4"/>
  <c r="BN139" i="4" s="1"/>
  <c r="R158" i="4"/>
  <c r="R159" i="4" s="1"/>
  <c r="O159" i="4"/>
  <c r="M159" i="4" s="1"/>
  <c r="Q159" i="4" s="1"/>
  <c r="T159" i="4" s="1"/>
  <c r="U159" i="4" s="1"/>
  <c r="AX130" i="4"/>
  <c r="AW130" i="4" s="1"/>
  <c r="BB130" i="4" s="1"/>
  <c r="AY130" i="4"/>
  <c r="BD129" i="4"/>
  <c r="BE129" i="4" s="1"/>
  <c r="BV151" i="4"/>
  <c r="BW151" i="4" s="1"/>
  <c r="BQ152" i="4"/>
  <c r="BO152" i="4" s="1"/>
  <c r="BT152" i="4" s="1"/>
  <c r="AU154" i="4"/>
  <c r="AV154" i="4" s="1"/>
  <c r="AP155" i="4"/>
  <c r="AS154" i="4"/>
  <c r="AN155" i="4" s="1"/>
  <c r="AR155" i="4" s="1"/>
  <c r="DJ136" i="4" l="1"/>
  <c r="DI136" i="4"/>
  <c r="DH136" i="4" s="1"/>
  <c r="DL136" i="4" s="1"/>
  <c r="DO135" i="4"/>
  <c r="DP135" i="4" s="1"/>
  <c r="BF140" i="4"/>
  <c r="BY151" i="4"/>
  <c r="BZ151" i="4"/>
  <c r="CE150" i="4"/>
  <c r="CF150" i="4" s="1"/>
  <c r="CR161" i="4"/>
  <c r="CP161" i="4" s="1"/>
  <c r="CU161" i="4" s="1"/>
  <c r="O160" i="4"/>
  <c r="M160" i="4" s="1"/>
  <c r="Q160" i="4" s="1"/>
  <c r="O161" i="4" s="1"/>
  <c r="CL135" i="4"/>
  <c r="V129" i="4"/>
  <c r="Z129" i="4" s="1"/>
  <c r="CZ147" i="4"/>
  <c r="CY147" i="4" s="1"/>
  <c r="DC147" i="4" s="1"/>
  <c r="DF146" i="4"/>
  <c r="DG146" i="4" s="1"/>
  <c r="DA147" i="4"/>
  <c r="AL129" i="4"/>
  <c r="AM129" i="4" s="1"/>
  <c r="AG130" i="4"/>
  <c r="AF130" i="4"/>
  <c r="AE130" i="4" s="1"/>
  <c r="AJ130" i="4" s="1"/>
  <c r="AI130" i="4"/>
  <c r="CH136" i="4"/>
  <c r="CI136" i="4"/>
  <c r="CN135" i="4"/>
  <c r="CO135" i="4" s="1"/>
  <c r="BA130" i="4"/>
  <c r="BS152" i="4"/>
  <c r="AS155" i="4"/>
  <c r="AN156" i="4" s="1"/>
  <c r="AR156" i="4" s="1"/>
  <c r="AP156" i="4"/>
  <c r="AU155" i="4"/>
  <c r="AV155" i="4" s="1"/>
  <c r="W130" i="4" l="1"/>
  <c r="AC129" i="4"/>
  <c r="AD129" i="4" s="1"/>
  <c r="X130" i="4"/>
  <c r="DD147" i="4"/>
  <c r="CG136" i="4"/>
  <c r="CK136" i="4" s="1"/>
  <c r="AF131" i="4"/>
  <c r="AE131" i="4" s="1"/>
  <c r="AJ131" i="4" s="1"/>
  <c r="AG131" i="4"/>
  <c r="AL130" i="4"/>
  <c r="AM130" i="4" s="1"/>
  <c r="BK140" i="4"/>
  <c r="BJ140" i="4"/>
  <c r="CT161" i="4"/>
  <c r="CR162" i="4" s="1"/>
  <c r="CP162" i="4" s="1"/>
  <c r="CU162" i="4" s="1"/>
  <c r="R160" i="4"/>
  <c r="M161" i="4" s="1"/>
  <c r="Q161" i="4" s="1"/>
  <c r="O162" i="4" s="1"/>
  <c r="T160" i="4"/>
  <c r="U160" i="4" s="1"/>
  <c r="CZ148" i="4"/>
  <c r="DA148" i="4"/>
  <c r="DF147" i="4"/>
  <c r="DG147" i="4" s="1"/>
  <c r="CL136" i="4"/>
  <c r="AA129" i="4"/>
  <c r="BX151" i="4"/>
  <c r="DO136" i="4"/>
  <c r="DP136" i="4" s="1"/>
  <c r="DJ137" i="4"/>
  <c r="DI137" i="4"/>
  <c r="DH137" i="4" s="1"/>
  <c r="DL137" i="4" s="1"/>
  <c r="DM136" i="4"/>
  <c r="DM137" i="4"/>
  <c r="DI138" i="4"/>
  <c r="DJ138" i="4"/>
  <c r="DO137" i="4"/>
  <c r="DP137" i="4" s="1"/>
  <c r="AX131" i="4"/>
  <c r="AY131" i="4"/>
  <c r="BD130" i="4"/>
  <c r="BE130" i="4" s="1"/>
  <c r="BQ153" i="4"/>
  <c r="BO153" i="4" s="1"/>
  <c r="BT153" i="4" s="1"/>
  <c r="BV152" i="4"/>
  <c r="BW152" i="4" s="1"/>
  <c r="AP157" i="4"/>
  <c r="AU156" i="4"/>
  <c r="AV156" i="4" s="1"/>
  <c r="AS156" i="4"/>
  <c r="AN157" i="4" s="1"/>
  <c r="AS157" i="4" s="1"/>
  <c r="T161" i="4" l="1"/>
  <c r="U161" i="4" s="1"/>
  <c r="R161" i="4"/>
  <c r="CW161" i="4"/>
  <c r="CX161" i="4" s="1"/>
  <c r="CH137" i="4"/>
  <c r="CN136" i="4"/>
  <c r="CO136" i="4" s="1"/>
  <c r="CI137" i="4"/>
  <c r="CC151" i="4"/>
  <c r="CB151" i="4"/>
  <c r="BM140" i="4"/>
  <c r="BN140" i="4" s="1"/>
  <c r="BG141" i="4"/>
  <c r="BF141" i="4" s="1"/>
  <c r="BK141" i="4" s="1"/>
  <c r="BH141" i="4"/>
  <c r="AI131" i="4"/>
  <c r="CY148" i="4"/>
  <c r="DC148" i="4" s="1"/>
  <c r="V130" i="4"/>
  <c r="Z130" i="4" s="1"/>
  <c r="AW131" i="4"/>
  <c r="DH138" i="4"/>
  <c r="DL138" i="4" s="1"/>
  <c r="CT162" i="4"/>
  <c r="BS153" i="4"/>
  <c r="AR157" i="4"/>
  <c r="M162" i="4"/>
  <c r="AL131" i="4" l="1"/>
  <c r="AM131" i="4" s="1"/>
  <c r="AF132" i="4"/>
  <c r="AG132" i="4"/>
  <c r="AE132" i="4" s="1"/>
  <c r="AJ132" i="4" s="1"/>
  <c r="AI132" i="4"/>
  <c r="BJ141" i="4"/>
  <c r="CG137" i="4"/>
  <c r="BY152" i="4"/>
  <c r="CE151" i="4"/>
  <c r="CF151" i="4" s="1"/>
  <c r="BZ152" i="4"/>
  <c r="BX152" i="4" s="1"/>
  <c r="CC152" i="4" s="1"/>
  <c r="CB152" i="4"/>
  <c r="W131" i="4"/>
  <c r="AC130" i="4"/>
  <c r="AD130" i="4" s="1"/>
  <c r="X131" i="4"/>
  <c r="AA130" i="4"/>
  <c r="CZ149" i="4"/>
  <c r="DF148" i="4"/>
  <c r="DG148" i="4" s="1"/>
  <c r="DA149" i="4"/>
  <c r="DD148" i="4"/>
  <c r="DI139" i="4"/>
  <c r="DJ139" i="4"/>
  <c r="DO138" i="4"/>
  <c r="DP138" i="4" s="1"/>
  <c r="DM138" i="4"/>
  <c r="BB131" i="4"/>
  <c r="BA131" i="4"/>
  <c r="CR163" i="4"/>
  <c r="CP163" i="4" s="1"/>
  <c r="CU163" i="4" s="1"/>
  <c r="CW162" i="4"/>
  <c r="CX162" i="4" s="1"/>
  <c r="BV153" i="4"/>
  <c r="BW153" i="4" s="1"/>
  <c r="BQ154" i="4"/>
  <c r="BO154" i="4" s="1"/>
  <c r="BT154" i="4" s="1"/>
  <c r="AU157" i="4"/>
  <c r="AV157" i="4" s="1"/>
  <c r="AP158" i="4"/>
  <c r="Q162" i="4"/>
  <c r="R162" i="4"/>
  <c r="BY153" i="4" l="1"/>
  <c r="CE152" i="4"/>
  <c r="CF152" i="4" s="1"/>
  <c r="BZ153" i="4"/>
  <c r="BX153" i="4" s="1"/>
  <c r="CC153" i="4" s="1"/>
  <c r="CB153" i="4"/>
  <c r="DD149" i="4"/>
  <c r="BG142" i="4"/>
  <c r="BF142" i="4" s="1"/>
  <c r="BK142" i="4" s="1"/>
  <c r="BH142" i="4"/>
  <c r="BM141" i="4"/>
  <c r="BN141" i="4" s="1"/>
  <c r="BJ142" i="4"/>
  <c r="CK137" i="4"/>
  <c r="CL137" i="4"/>
  <c r="AF133" i="4"/>
  <c r="AL132" i="4"/>
  <c r="AM132" i="4" s="1"/>
  <c r="AG133" i="4"/>
  <c r="CY149" i="4"/>
  <c r="DC149" i="4" s="1"/>
  <c r="V131" i="4"/>
  <c r="Z131" i="4" s="1"/>
  <c r="AA131" i="4"/>
  <c r="DH139" i="4"/>
  <c r="DL139" i="4" s="1"/>
  <c r="DM139" i="4"/>
  <c r="CT163" i="4"/>
  <c r="CW163" i="4" s="1"/>
  <c r="CX163" i="4" s="1"/>
  <c r="AX132" i="4"/>
  <c r="AY132" i="4"/>
  <c r="BD131" i="4"/>
  <c r="BE131" i="4" s="1"/>
  <c r="BS154" i="4"/>
  <c r="AN158" i="4"/>
  <c r="O163" i="4"/>
  <c r="M163" i="4"/>
  <c r="R163" i="4" s="1"/>
  <c r="T162" i="4"/>
  <c r="U162" i="4" s="1"/>
  <c r="CH138" i="4" l="1"/>
  <c r="CN137" i="4"/>
  <c r="CO137" i="4" s="1"/>
  <c r="CI138" i="4"/>
  <c r="BM142" i="4"/>
  <c r="BN142" i="4" s="1"/>
  <c r="BG143" i="4"/>
  <c r="BF143" i="4" s="1"/>
  <c r="BJ143" i="4" s="1"/>
  <c r="BH143" i="4"/>
  <c r="W132" i="4"/>
  <c r="V132" i="4" s="1"/>
  <c r="X132" i="4"/>
  <c r="AC131" i="4"/>
  <c r="AD131" i="4" s="1"/>
  <c r="AE133" i="4"/>
  <c r="CG138" i="4"/>
  <c r="CK138" i="4" s="1"/>
  <c r="BY154" i="4"/>
  <c r="CE153" i="4"/>
  <c r="CF153" i="4" s="1"/>
  <c r="BZ154" i="4"/>
  <c r="CZ150" i="4"/>
  <c r="I17" i="2" a="1"/>
  <c r="I17" i="2" s="1"/>
  <c r="DA150" i="4"/>
  <c r="DF149" i="4"/>
  <c r="DG149" i="4" s="1"/>
  <c r="CR164" i="4"/>
  <c r="CP164" i="4" s="1"/>
  <c r="CT164" i="4" s="1"/>
  <c r="CR165" i="4" s="1"/>
  <c r="DI140" i="4"/>
  <c r="DO139" i="4"/>
  <c r="DP139" i="4" s="1"/>
  <c r="DJ140" i="4"/>
  <c r="AW132" i="4"/>
  <c r="BV154" i="4"/>
  <c r="BW154" i="4" s="1"/>
  <c r="BQ155" i="4"/>
  <c r="BO155" i="4" s="1"/>
  <c r="BT155" i="4" s="1"/>
  <c r="AS158" i="4"/>
  <c r="AR158" i="4"/>
  <c r="Q163" i="4"/>
  <c r="O164" i="4" s="1"/>
  <c r="M164" i="4" s="1"/>
  <c r="Z132" i="4" l="1"/>
  <c r="AA132" i="4"/>
  <c r="BG144" i="4"/>
  <c r="BH144" i="4"/>
  <c r="BM143" i="4"/>
  <c r="BN143" i="4" s="1"/>
  <c r="CH139" i="4"/>
  <c r="CN138" i="4"/>
  <c r="CO138" i="4" s="1"/>
  <c r="CI139" i="4"/>
  <c r="BK143" i="4"/>
  <c r="AI133" i="4"/>
  <c r="AJ133" i="4"/>
  <c r="CY150" i="4"/>
  <c r="BX154" i="4"/>
  <c r="CL138" i="4"/>
  <c r="BA132" i="4"/>
  <c r="BB132" i="4"/>
  <c r="DH140" i="4"/>
  <c r="CU164" i="4"/>
  <c r="CW164" i="4"/>
  <c r="CX164" i="4" s="1"/>
  <c r="CP165" i="4"/>
  <c r="CT165" i="4" s="1"/>
  <c r="BS155" i="4"/>
  <c r="AP159" i="4"/>
  <c r="AU158" i="4"/>
  <c r="AV158" i="4" s="1"/>
  <c r="AN159" i="4"/>
  <c r="AS159" i="4" s="1"/>
  <c r="Q164" i="4"/>
  <c r="T164" i="4" s="1"/>
  <c r="U164" i="4" s="1"/>
  <c r="R164" i="4"/>
  <c r="T163" i="4"/>
  <c r="U163" i="4" s="1"/>
  <c r="O165" i="4"/>
  <c r="M165" i="4" s="1"/>
  <c r="R165" i="4" s="1"/>
  <c r="CC154" i="4" l="1"/>
  <c r="CB154" i="4"/>
  <c r="AL133" i="4"/>
  <c r="AM133" i="4" s="1"/>
  <c r="AG134" i="4"/>
  <c r="AF134" i="4"/>
  <c r="AE134" i="4" s="1"/>
  <c r="AJ134" i="4" s="1"/>
  <c r="AI134" i="4"/>
  <c r="CG139" i="4"/>
  <c r="CK139" i="4" s="1"/>
  <c r="CL139" i="4"/>
  <c r="DC150" i="4"/>
  <c r="DD150" i="4"/>
  <c r="BF144" i="4"/>
  <c r="BJ144" i="4" s="1"/>
  <c r="W133" i="4"/>
  <c r="V133" i="4" s="1"/>
  <c r="Z133" i="4" s="1"/>
  <c r="AC132" i="4"/>
  <c r="AD132" i="4" s="1"/>
  <c r="X133" i="4"/>
  <c r="DL140" i="4"/>
  <c r="DM140" i="4"/>
  <c r="AX133" i="4"/>
  <c r="AW133" i="4" s="1"/>
  <c r="BA133" i="4" s="1"/>
  <c r="AY133" i="4"/>
  <c r="BD132" i="4"/>
  <c r="BE132" i="4" s="1"/>
  <c r="CW165" i="4"/>
  <c r="CX165" i="4" s="1"/>
  <c r="CR166" i="4"/>
  <c r="CU165" i="4"/>
  <c r="BQ156" i="4"/>
  <c r="BO156" i="4"/>
  <c r="BT156" i="4" s="1"/>
  <c r="BV155" i="4"/>
  <c r="BW155" i="4" s="1"/>
  <c r="AR159" i="4"/>
  <c r="Q165" i="4"/>
  <c r="W134" i="4" l="1"/>
  <c r="AC133" i="4"/>
  <c r="AD133" i="4" s="1"/>
  <c r="X134" i="4"/>
  <c r="V134" i="4" s="1"/>
  <c r="Z134" i="4" s="1"/>
  <c r="CH140" i="4"/>
  <c r="CN139" i="4"/>
  <c r="CO139" i="4" s="1"/>
  <c r="CI140" i="4"/>
  <c r="BM144" i="4"/>
  <c r="BN144" i="4" s="1"/>
  <c r="BH145" i="4"/>
  <c r="BG145" i="4"/>
  <c r="BF145" i="4" s="1"/>
  <c r="BJ145" i="4" s="1"/>
  <c r="BK144" i="4"/>
  <c r="AF135" i="4"/>
  <c r="AL134" i="4"/>
  <c r="AM134" i="4" s="1"/>
  <c r="AG135" i="4"/>
  <c r="AA133" i="4"/>
  <c r="CZ151" i="4"/>
  <c r="DA151" i="4"/>
  <c r="DF150" i="4"/>
  <c r="DG150" i="4" s="1"/>
  <c r="BY155" i="4"/>
  <c r="BZ155" i="4"/>
  <c r="BX155" i="4" s="1"/>
  <c r="CE154" i="4"/>
  <c r="CF154" i="4" s="1"/>
  <c r="CB155" i="4"/>
  <c r="CC155" i="4"/>
  <c r="BB133" i="4"/>
  <c r="DI141" i="4"/>
  <c r="DO140" i="4"/>
  <c r="DP140" i="4" s="1"/>
  <c r="DJ141" i="4"/>
  <c r="AX134" i="4"/>
  <c r="AY134" i="4"/>
  <c r="BD133" i="4"/>
  <c r="BE133" i="4" s="1"/>
  <c r="CP166" i="4"/>
  <c r="CT166" i="4" s="1"/>
  <c r="BS156" i="4"/>
  <c r="BV156" i="4"/>
  <c r="BW156" i="4" s="1"/>
  <c r="BQ157" i="4"/>
  <c r="BO157" i="4" s="1"/>
  <c r="BT157" i="4" s="1"/>
  <c r="AU159" i="4"/>
  <c r="AV159" i="4" s="1"/>
  <c r="AP160" i="4"/>
  <c r="AN160" i="4" s="1"/>
  <c r="AS160" i="4" s="1"/>
  <c r="O166" i="4"/>
  <c r="T165" i="4"/>
  <c r="U165" i="4" s="1"/>
  <c r="AE135" i="4" l="1"/>
  <c r="BZ156" i="4"/>
  <c r="CE155" i="4"/>
  <c r="CF155" i="4" s="1"/>
  <c r="BY156" i="4"/>
  <c r="BX156" i="4" s="1"/>
  <c r="CB156" i="4"/>
  <c r="AW134" i="4"/>
  <c r="BA134" i="4" s="1"/>
  <c r="BD134" i="4" s="1"/>
  <c r="BE134" i="4" s="1"/>
  <c r="BG146" i="4"/>
  <c r="BF146" i="4" s="1"/>
  <c r="BJ146" i="4" s="1"/>
  <c r="BM145" i="4"/>
  <c r="BN145" i="4" s="1"/>
  <c r="BH146" i="4"/>
  <c r="BK145" i="4"/>
  <c r="CG140" i="4"/>
  <c r="AA134" i="4"/>
  <c r="CC156" i="4"/>
  <c r="CY151" i="4"/>
  <c r="W135" i="4"/>
  <c r="X135" i="4"/>
  <c r="AC134" i="4"/>
  <c r="AD134" i="4" s="1"/>
  <c r="AY135" i="4"/>
  <c r="DH141" i="4"/>
  <c r="CW166" i="4"/>
  <c r="CX166" i="4" s="1"/>
  <c r="CR167" i="4"/>
  <c r="CU166" i="4"/>
  <c r="BS157" i="4"/>
  <c r="AR160" i="4"/>
  <c r="M166" i="4"/>
  <c r="BG147" i="4" l="1"/>
  <c r="BH147" i="4"/>
  <c r="BM146" i="4"/>
  <c r="BN146" i="4" s="1"/>
  <c r="BY157" i="4"/>
  <c r="CE156" i="4"/>
  <c r="CF156" i="4" s="1"/>
  <c r="BZ157" i="4"/>
  <c r="AX135" i="4"/>
  <c r="BB134" i="4"/>
  <c r="DC151" i="4"/>
  <c r="DD151" i="4"/>
  <c r="V135" i="4"/>
  <c r="Z135" i="4" s="1"/>
  <c r="AA135" i="4"/>
  <c r="CK140" i="4"/>
  <c r="CL140" i="4"/>
  <c r="BK146" i="4"/>
  <c r="AI135" i="4"/>
  <c r="AJ135" i="4"/>
  <c r="DL141" i="4"/>
  <c r="DM141" i="4"/>
  <c r="AW135" i="4"/>
  <c r="BA135" i="4" s="1"/>
  <c r="CP167" i="4"/>
  <c r="CT167" i="4" s="1"/>
  <c r="BV157" i="4"/>
  <c r="BW157" i="4" s="1"/>
  <c r="BQ158" i="4"/>
  <c r="BO158" i="4"/>
  <c r="BT158" i="4" s="1"/>
  <c r="AU160" i="4"/>
  <c r="AV160" i="4" s="1"/>
  <c r="AP161" i="4"/>
  <c r="R166" i="4"/>
  <c r="Q166" i="4"/>
  <c r="CH141" i="4" l="1"/>
  <c r="CG141" i="4" s="1"/>
  <c r="CK141" i="4" s="1"/>
  <c r="CI141" i="4"/>
  <c r="CN140" i="4"/>
  <c r="CO140" i="4" s="1"/>
  <c r="CL141" i="4"/>
  <c r="W136" i="4"/>
  <c r="X136" i="4"/>
  <c r="AC135" i="4"/>
  <c r="AD135" i="4" s="1"/>
  <c r="DD152" i="4"/>
  <c r="AF136" i="4"/>
  <c r="AE136" i="4" s="1"/>
  <c r="AJ136" i="4" s="1"/>
  <c r="AG136" i="4"/>
  <c r="AL135" i="4"/>
  <c r="AM135" i="4" s="1"/>
  <c r="AI136" i="4"/>
  <c r="BX157" i="4"/>
  <c r="BF147" i="4"/>
  <c r="BJ147" i="4" s="1"/>
  <c r="CZ152" i="4"/>
  <c r="CY152" i="4" s="1"/>
  <c r="DF151" i="4"/>
  <c r="DG151" i="4" s="1"/>
  <c r="DA152" i="4"/>
  <c r="DC152" i="4"/>
  <c r="BB135" i="4"/>
  <c r="AX136" i="4"/>
  <c r="AY136" i="4"/>
  <c r="BD135" i="4"/>
  <c r="BE135" i="4" s="1"/>
  <c r="DI142" i="4"/>
  <c r="DH142" i="4" s="1"/>
  <c r="DL142" i="4" s="1"/>
  <c r="DJ142" i="4"/>
  <c r="DO141" i="4"/>
  <c r="DP141" i="4" s="1"/>
  <c r="CW167" i="4"/>
  <c r="CX167" i="4" s="1"/>
  <c r="CR168" i="4"/>
  <c r="CP168" i="4" s="1"/>
  <c r="CU168" i="4" s="1"/>
  <c r="CU167" i="4"/>
  <c r="BS158" i="4"/>
  <c r="AN161" i="4"/>
  <c r="O167" i="4"/>
  <c r="T166" i="4"/>
  <c r="U166" i="4" s="1"/>
  <c r="M167" i="4"/>
  <c r="Q167" i="4" s="1"/>
  <c r="AF137" i="4" l="1"/>
  <c r="AL136" i="4"/>
  <c r="AM136" i="4" s="1"/>
  <c r="AG137" i="4"/>
  <c r="V136" i="4"/>
  <c r="BG148" i="4"/>
  <c r="BF148" i="4" s="1"/>
  <c r="BJ148" i="4" s="1"/>
  <c r="BH148" i="4"/>
  <c r="BM147" i="4"/>
  <c r="BN147" i="4" s="1"/>
  <c r="CB157" i="4"/>
  <c r="CC157" i="4"/>
  <c r="CZ153" i="4"/>
  <c r="CY153" i="4" s="1"/>
  <c r="DD153" i="4" s="1"/>
  <c r="DA153" i="4"/>
  <c r="DF152" i="4"/>
  <c r="DG152" i="4" s="1"/>
  <c r="BK147" i="4"/>
  <c r="CH142" i="4"/>
  <c r="CG142" i="4" s="1"/>
  <c r="CN141" i="4"/>
  <c r="CO141" i="4" s="1"/>
  <c r="CI142" i="4"/>
  <c r="DI143" i="4"/>
  <c r="DO142" i="4"/>
  <c r="DP142" i="4" s="1"/>
  <c r="DJ143" i="4"/>
  <c r="DM142" i="4"/>
  <c r="AW136" i="4"/>
  <c r="BA136" i="4" s="1"/>
  <c r="CT168" i="4"/>
  <c r="BQ159" i="4"/>
  <c r="BO159" i="4" s="1"/>
  <c r="BT159" i="4" s="1"/>
  <c r="BV158" i="4"/>
  <c r="BW158" i="4" s="1"/>
  <c r="AS161" i="4"/>
  <c r="AR161" i="4"/>
  <c r="R167" i="4"/>
  <c r="O168" i="4"/>
  <c r="M168" i="4" s="1"/>
  <c r="Q168" i="4" s="1"/>
  <c r="T167" i="4"/>
  <c r="U167" i="4" s="1"/>
  <c r="CK142" i="4" l="1"/>
  <c r="CL142" i="4"/>
  <c r="BY158" i="4"/>
  <c r="BZ158" i="4"/>
  <c r="CE157" i="4"/>
  <c r="CF157" i="4" s="1"/>
  <c r="Z136" i="4"/>
  <c r="AA136" i="4"/>
  <c r="BK148" i="4"/>
  <c r="AE137" i="4"/>
  <c r="BG149" i="4"/>
  <c r="BM148" i="4"/>
  <c r="BN148" i="4" s="1"/>
  <c r="BH149" i="4"/>
  <c r="DC153" i="4"/>
  <c r="AX137" i="4"/>
  <c r="AY137" i="4"/>
  <c r="BD136" i="4"/>
  <c r="BE136" i="4" s="1"/>
  <c r="BB136" i="4"/>
  <c r="DH143" i="4"/>
  <c r="DL143" i="4" s="1"/>
  <c r="CW168" i="4"/>
  <c r="CX168" i="4" s="1"/>
  <c r="CR169" i="4"/>
  <c r="CP169" i="4" s="1"/>
  <c r="CU169" i="4" s="1"/>
  <c r="BS159" i="4"/>
  <c r="BQ160" i="4"/>
  <c r="BV159" i="4"/>
  <c r="BW159" i="4" s="1"/>
  <c r="BO160" i="4"/>
  <c r="AP162" i="4"/>
  <c r="AN162" i="4"/>
  <c r="AS162" i="4" s="1"/>
  <c r="AU161" i="4"/>
  <c r="AV161" i="4" s="1"/>
  <c r="R168" i="4"/>
  <c r="T168" i="4"/>
  <c r="U168" i="4" s="1"/>
  <c r="O169" i="4"/>
  <c r="M169" i="4"/>
  <c r="R169" i="4" s="1"/>
  <c r="CZ154" i="4" l="1"/>
  <c r="DA154" i="4"/>
  <c r="CY154" i="4" s="1"/>
  <c r="DD154" i="4" s="1"/>
  <c r="DF153" i="4"/>
  <c r="DG153" i="4" s="1"/>
  <c r="DC154" i="4"/>
  <c r="BF149" i="4"/>
  <c r="BJ149" i="4" s="1"/>
  <c r="W137" i="4"/>
  <c r="X137" i="4"/>
  <c r="AC136" i="4"/>
  <c r="AD136" i="4" s="1"/>
  <c r="BX158" i="4"/>
  <c r="CH143" i="4"/>
  <c r="CG143" i="4" s="1"/>
  <c r="CN142" i="4"/>
  <c r="CO142" i="4" s="1"/>
  <c r="CI143" i="4"/>
  <c r="AJ137" i="4"/>
  <c r="AI137" i="4"/>
  <c r="DM143" i="4"/>
  <c r="AW137" i="4"/>
  <c r="BA137" i="4" s="1"/>
  <c r="DI144" i="4"/>
  <c r="DO143" i="4"/>
  <c r="DP143" i="4" s="1"/>
  <c r="DJ144" i="4"/>
  <c r="CT169" i="4"/>
  <c r="BT160" i="4"/>
  <c r="BS160" i="4"/>
  <c r="AR162" i="4"/>
  <c r="Q169" i="4"/>
  <c r="CK143" i="4" l="1"/>
  <c r="CL143" i="4"/>
  <c r="CB158" i="4"/>
  <c r="CC158" i="4"/>
  <c r="V137" i="4"/>
  <c r="BK149" i="4"/>
  <c r="BH150" i="4"/>
  <c r="BM149" i="4"/>
  <c r="BN149" i="4" s="1"/>
  <c r="BG150" i="4"/>
  <c r="BF150" i="4" s="1"/>
  <c r="BJ150" i="4" s="1"/>
  <c r="CZ155" i="4"/>
  <c r="CY155" i="4" s="1"/>
  <c r="DD155" i="4" s="1"/>
  <c r="DF154" i="4"/>
  <c r="DG154" i="4" s="1"/>
  <c r="DA155" i="4"/>
  <c r="AL137" i="4"/>
  <c r="AM137" i="4" s="1"/>
  <c r="AG138" i="4"/>
  <c r="AF138" i="4"/>
  <c r="AX138" i="4"/>
  <c r="AY138" i="4"/>
  <c r="BD137" i="4"/>
  <c r="BE137" i="4" s="1"/>
  <c r="BB137" i="4"/>
  <c r="DH144" i="4"/>
  <c r="DL144" i="4" s="1"/>
  <c r="CR170" i="4"/>
  <c r="CP170" i="4" s="1"/>
  <c r="CU170" i="4" s="1"/>
  <c r="CW169" i="4"/>
  <c r="CX169" i="4" s="1"/>
  <c r="BQ161" i="4"/>
  <c r="BO161" i="4"/>
  <c r="BV160" i="4"/>
  <c r="BW160" i="4" s="1"/>
  <c r="AU162" i="4"/>
  <c r="AV162" i="4" s="1"/>
  <c r="AP163" i="4"/>
  <c r="O170" i="4"/>
  <c r="T169" i="4"/>
  <c r="U169" i="4" s="1"/>
  <c r="M170" i="4"/>
  <c r="R170" i="4" s="1"/>
  <c r="BH151" i="4" l="1"/>
  <c r="BM150" i="4"/>
  <c r="BN150" i="4" s="1"/>
  <c r="BG151" i="4"/>
  <c r="DC155" i="4"/>
  <c r="BY159" i="4"/>
  <c r="CE158" i="4"/>
  <c r="CF158" i="4" s="1"/>
  <c r="BZ159" i="4"/>
  <c r="DM144" i="4"/>
  <c r="AE138" i="4"/>
  <c r="BK150" i="4"/>
  <c r="Z137" i="4"/>
  <c r="AA137" i="4"/>
  <c r="CH144" i="4"/>
  <c r="CI144" i="4"/>
  <c r="CN143" i="4"/>
  <c r="CO143" i="4" s="1"/>
  <c r="DI145" i="4"/>
  <c r="DH145" i="4" s="1"/>
  <c r="DJ145" i="4"/>
  <c r="DO144" i="4"/>
  <c r="DP144" i="4" s="1"/>
  <c r="CT170" i="4"/>
  <c r="CR171" i="4" s="1"/>
  <c r="CP171" i="4" s="1"/>
  <c r="AW138" i="4"/>
  <c r="BA138" i="4" s="1"/>
  <c r="BT161" i="4"/>
  <c r="BS161" i="4"/>
  <c r="AN163" i="4"/>
  <c r="Q170" i="4"/>
  <c r="W138" i="4" l="1"/>
  <c r="V138" i="4" s="1"/>
  <c r="AA138" i="4" s="1"/>
  <c r="X138" i="4"/>
  <c r="H16" i="2" a="1"/>
  <c r="H16" i="2" s="1"/>
  <c r="AC137" i="4"/>
  <c r="AD137" i="4" s="1"/>
  <c r="Z138" i="4"/>
  <c r="AJ138" i="4"/>
  <c r="AI138" i="4"/>
  <c r="BX159" i="4"/>
  <c r="BF151" i="4"/>
  <c r="BJ151" i="4" s="1"/>
  <c r="CZ156" i="4"/>
  <c r="DF155" i="4"/>
  <c r="DG155" i="4" s="1"/>
  <c r="DA156" i="4"/>
  <c r="CY156" i="4" s="1"/>
  <c r="DD156" i="4" s="1"/>
  <c r="BB138" i="4"/>
  <c r="BB139" i="4" s="1"/>
  <c r="CG144" i="4"/>
  <c r="DL145" i="4"/>
  <c r="DM145" i="4"/>
  <c r="CT171" i="4"/>
  <c r="CU171" i="4"/>
  <c r="CW170" i="4"/>
  <c r="CX170" i="4" s="1"/>
  <c r="AX139" i="4"/>
  <c r="AW139" i="4" s="1"/>
  <c r="BA139" i="4" s="1"/>
  <c r="AY139" i="4"/>
  <c r="BD138" i="4"/>
  <c r="BE138" i="4" s="1"/>
  <c r="CR172" i="4"/>
  <c r="CP172" i="4" s="1"/>
  <c r="CT172" i="4" s="1"/>
  <c r="CW171" i="4"/>
  <c r="CX171" i="4" s="1"/>
  <c r="BQ162" i="4"/>
  <c r="BV161" i="4"/>
  <c r="BW161" i="4" s="1"/>
  <c r="BO162" i="4"/>
  <c r="BT162" i="4" s="1"/>
  <c r="AS163" i="4"/>
  <c r="AR163" i="4"/>
  <c r="T170" i="4"/>
  <c r="U170" i="4" s="1"/>
  <c r="O171" i="4"/>
  <c r="BM151" i="4" l="1"/>
  <c r="BN151" i="4" s="1"/>
  <c r="BH152" i="4"/>
  <c r="BG152" i="4"/>
  <c r="BF152" i="4" s="1"/>
  <c r="BJ152" i="4" s="1"/>
  <c r="CB159" i="4"/>
  <c r="CC159" i="4"/>
  <c r="AG139" i="4"/>
  <c r="AL138" i="4"/>
  <c r="AM138" i="4" s="1"/>
  <c r="AF139" i="4"/>
  <c r="AE139" i="4" s="1"/>
  <c r="AJ139" i="4" s="1"/>
  <c r="W139" i="4"/>
  <c r="X139" i="4"/>
  <c r="AC138" i="4"/>
  <c r="AD138" i="4" s="1"/>
  <c r="CK144" i="4"/>
  <c r="CL144" i="4"/>
  <c r="BK151" i="4"/>
  <c r="DC156" i="4"/>
  <c r="AX140" i="4"/>
  <c r="BD139" i="4"/>
  <c r="BE139" i="4" s="1"/>
  <c r="AY140" i="4"/>
  <c r="DI146" i="4"/>
  <c r="DO145" i="4"/>
  <c r="DP145" i="4" s="1"/>
  <c r="DJ146" i="4"/>
  <c r="CW172" i="4"/>
  <c r="CX172" i="4" s="1"/>
  <c r="CR173" i="4"/>
  <c r="CU172" i="4"/>
  <c r="BS162" i="4"/>
  <c r="BV162" i="4" s="1"/>
  <c r="BW162" i="4" s="1"/>
  <c r="AP164" i="4"/>
  <c r="AU163" i="4"/>
  <c r="AV163" i="4" s="1"/>
  <c r="AN164" i="4"/>
  <c r="AR164" i="4" s="1"/>
  <c r="M171" i="4"/>
  <c r="R171" i="4" s="1"/>
  <c r="Q171" i="4"/>
  <c r="V139" i="4" l="1"/>
  <c r="AI139" i="4"/>
  <c r="CZ157" i="4"/>
  <c r="CY157" i="4" s="1"/>
  <c r="DD157" i="4" s="1"/>
  <c r="DA157" i="4"/>
  <c r="DF156" i="4"/>
  <c r="DG156" i="4" s="1"/>
  <c r="CE159" i="4"/>
  <c r="CF159" i="4" s="1"/>
  <c r="BY160" i="4"/>
  <c r="BZ160" i="4"/>
  <c r="BG153" i="4"/>
  <c r="BF153" i="4" s="1"/>
  <c r="BH153" i="4"/>
  <c r="BM152" i="4"/>
  <c r="BN152" i="4" s="1"/>
  <c r="BJ153" i="4"/>
  <c r="CH145" i="4"/>
  <c r="CN144" i="4"/>
  <c r="CO144" i="4" s="1"/>
  <c r="CI145" i="4"/>
  <c r="BK152" i="4"/>
  <c r="DH146" i="4"/>
  <c r="DL146" i="4" s="1"/>
  <c r="DI147" i="4"/>
  <c r="DJ147" i="4"/>
  <c r="DO146" i="4"/>
  <c r="DP146" i="4" s="1"/>
  <c r="BQ163" i="4"/>
  <c r="AW140" i="4"/>
  <c r="CP173" i="4"/>
  <c r="CT173" i="4" s="1"/>
  <c r="AS164" i="4"/>
  <c r="AP165" i="4"/>
  <c r="AN165" i="4" s="1"/>
  <c r="AR165" i="4" s="1"/>
  <c r="AU164" i="4"/>
  <c r="AV164" i="4" s="1"/>
  <c r="O172" i="4"/>
  <c r="T171" i="4"/>
  <c r="U171" i="4" s="1"/>
  <c r="M172" i="4"/>
  <c r="R172" i="4" s="1"/>
  <c r="BO163" i="4"/>
  <c r="DC157" i="4" l="1"/>
  <c r="BX160" i="4"/>
  <c r="BK153" i="4"/>
  <c r="BG154" i="4"/>
  <c r="BH154" i="4"/>
  <c r="BM153" i="4"/>
  <c r="BN153" i="4" s="1"/>
  <c r="AG140" i="4"/>
  <c r="AF140" i="4"/>
  <c r="AL139" i="4"/>
  <c r="AM139" i="4" s="1"/>
  <c r="DM146" i="4"/>
  <c r="DH147" i="4" s="1"/>
  <c r="DL147" i="4" s="1"/>
  <c r="CG145" i="4"/>
  <c r="AA139" i="4"/>
  <c r="Z139" i="4"/>
  <c r="BA140" i="4"/>
  <c r="BB140" i="4"/>
  <c r="CW173" i="4"/>
  <c r="CX173" i="4" s="1"/>
  <c r="CR174" i="4"/>
  <c r="CU173" i="4"/>
  <c r="AP166" i="4"/>
  <c r="AU165" i="4"/>
  <c r="AV165" i="4" s="1"/>
  <c r="AS165" i="4"/>
  <c r="Q172" i="4"/>
  <c r="BT163" i="4"/>
  <c r="BS163" i="4"/>
  <c r="BF154" i="4" l="1"/>
  <c r="BJ154" i="4" s="1"/>
  <c r="DM147" i="4"/>
  <c r="CK145" i="4"/>
  <c r="CL145" i="4"/>
  <c r="AE140" i="4"/>
  <c r="CB160" i="4"/>
  <c r="CC160" i="4"/>
  <c r="W140" i="4"/>
  <c r="X140" i="4"/>
  <c r="AC139" i="4"/>
  <c r="AD139" i="4" s="1"/>
  <c r="CZ158" i="4"/>
  <c r="DF157" i="4"/>
  <c r="DG157" i="4" s="1"/>
  <c r="DA158" i="4"/>
  <c r="AX141" i="4"/>
  <c r="AY141" i="4"/>
  <c r="BD140" i="4"/>
  <c r="BE140" i="4" s="1"/>
  <c r="DI148" i="4"/>
  <c r="DO147" i="4"/>
  <c r="DP147" i="4" s="1"/>
  <c r="DJ148" i="4"/>
  <c r="CP174" i="4"/>
  <c r="CT174" i="4" s="1"/>
  <c r="AN166" i="4"/>
  <c r="AR166" i="4" s="1"/>
  <c r="O173" i="4"/>
  <c r="T172" i="4"/>
  <c r="U172" i="4" s="1"/>
  <c r="BV163" i="4"/>
  <c r="BW163" i="4" s="1"/>
  <c r="BQ164" i="4"/>
  <c r="BO164" i="4"/>
  <c r="BS164" i="4" s="1"/>
  <c r="BG155" i="4" l="1"/>
  <c r="BM154" i="4"/>
  <c r="BN154" i="4" s="1"/>
  <c r="BH155" i="4"/>
  <c r="V140" i="4"/>
  <c r="CY158" i="4"/>
  <c r="DH148" i="4"/>
  <c r="DL148" i="4" s="1"/>
  <c r="DI149" i="4" s="1"/>
  <c r="CE160" i="4"/>
  <c r="CF160" i="4" s="1"/>
  <c r="BZ161" i="4"/>
  <c r="BY161" i="4"/>
  <c r="BX161" i="4" s="1"/>
  <c r="CB161" i="4" s="1"/>
  <c r="BK154" i="4"/>
  <c r="AJ140" i="4"/>
  <c r="AI140" i="4"/>
  <c r="CH146" i="4"/>
  <c r="CG146" i="4" s="1"/>
  <c r="CK146" i="4" s="1"/>
  <c r="CI146" i="4"/>
  <c r="CN145" i="4"/>
  <c r="CO145" i="4" s="1"/>
  <c r="DM148" i="4"/>
  <c r="AW141" i="4"/>
  <c r="CW174" i="4"/>
  <c r="CX174" i="4" s="1"/>
  <c r="CR175" i="4"/>
  <c r="CU174" i="4"/>
  <c r="AP167" i="4"/>
  <c r="AU166" i="4"/>
  <c r="AV166" i="4" s="1"/>
  <c r="AS166" i="4"/>
  <c r="BQ165" i="4"/>
  <c r="BV164" i="4"/>
  <c r="BW164" i="4" s="1"/>
  <c r="BT164" i="4"/>
  <c r="BO165" i="4" s="1"/>
  <c r="BS165" i="4" s="1"/>
  <c r="M173" i="4"/>
  <c r="AF141" i="4" l="1"/>
  <c r="AL140" i="4"/>
  <c r="AM140" i="4" s="1"/>
  <c r="AG141" i="4"/>
  <c r="DO148" i="4"/>
  <c r="DP148" i="4" s="1"/>
  <c r="CL146" i="4"/>
  <c r="DJ149" i="4"/>
  <c r="DH149" i="4" s="1"/>
  <c r="CC161" i="4"/>
  <c r="BY162" i="4"/>
  <c r="BX162" i="4" s="1"/>
  <c r="CB162" i="4" s="1"/>
  <c r="CE161" i="4"/>
  <c r="CF161" i="4" s="1"/>
  <c r="BZ162" i="4"/>
  <c r="AA140" i="4"/>
  <c r="Z140" i="4"/>
  <c r="DC158" i="4"/>
  <c r="DD158" i="4"/>
  <c r="CH147" i="4"/>
  <c r="CI147" i="4"/>
  <c r="CN146" i="4"/>
  <c r="CO146" i="4" s="1"/>
  <c r="BF155" i="4"/>
  <c r="BJ155" i="4" s="1"/>
  <c r="BA141" i="4"/>
  <c r="BB141" i="4"/>
  <c r="CP175" i="4"/>
  <c r="CT175" i="4" s="1"/>
  <c r="BT165" i="4"/>
  <c r="BO166" i="4" s="1"/>
  <c r="BS166" i="4" s="1"/>
  <c r="AN167" i="4"/>
  <c r="AR167" i="4" s="1"/>
  <c r="AU167" i="4" s="1"/>
  <c r="AV167" i="4" s="1"/>
  <c r="BQ166" i="4"/>
  <c r="BV165" i="4"/>
  <c r="BW165" i="4" s="1"/>
  <c r="R173" i="4"/>
  <c r="Q173" i="4"/>
  <c r="DL149" i="4" l="1"/>
  <c r="DM149" i="4"/>
  <c r="AE141" i="4"/>
  <c r="CC162" i="4"/>
  <c r="BH156" i="4"/>
  <c r="BM155" i="4"/>
  <c r="BN155" i="4" s="1"/>
  <c r="BG156" i="4"/>
  <c r="BK155" i="4"/>
  <c r="CZ159" i="4"/>
  <c r="DA159" i="4"/>
  <c r="DF158" i="4"/>
  <c r="DG158" i="4" s="1"/>
  <c r="W141" i="4"/>
  <c r="X141" i="4"/>
  <c r="AC140" i="4"/>
  <c r="AD140" i="4" s="1"/>
  <c r="BY163" i="4"/>
  <c r="BZ163" i="4"/>
  <c r="CE162" i="4"/>
  <c r="CF162" i="4" s="1"/>
  <c r="CG147" i="4"/>
  <c r="AX142" i="4"/>
  <c r="BD141" i="4"/>
  <c r="BE141" i="4" s="1"/>
  <c r="AY142" i="4"/>
  <c r="DI150" i="4"/>
  <c r="DH150" i="4" s="1"/>
  <c r="DL150" i="4" s="1"/>
  <c r="DJ150" i="4"/>
  <c r="DO149" i="4"/>
  <c r="DP149" i="4" s="1"/>
  <c r="CR176" i="4"/>
  <c r="CW175" i="4"/>
  <c r="CX175" i="4" s="1"/>
  <c r="CU175" i="4"/>
  <c r="AP168" i="4"/>
  <c r="AS167" i="4"/>
  <c r="BQ167" i="4"/>
  <c r="BV166" i="4"/>
  <c r="BW166" i="4" s="1"/>
  <c r="BT166" i="4"/>
  <c r="BO167" i="4" s="1"/>
  <c r="BS167" i="4" s="1"/>
  <c r="O174" i="4"/>
  <c r="T173" i="4"/>
  <c r="U173" i="4" s="1"/>
  <c r="M174" i="4"/>
  <c r="R174" i="4" s="1"/>
  <c r="CY159" i="4" l="1"/>
  <c r="CL147" i="4"/>
  <c r="CK147" i="4"/>
  <c r="V141" i="4"/>
  <c r="BF156" i="4"/>
  <c r="BJ156" i="4" s="1"/>
  <c r="BX163" i="4"/>
  <c r="CB163" i="4" s="1"/>
  <c r="AI141" i="4"/>
  <c r="AJ141" i="4"/>
  <c r="DM150" i="4"/>
  <c r="DI151" i="4"/>
  <c r="DO150" i="4"/>
  <c r="DP150" i="4" s="1"/>
  <c r="DJ151" i="4"/>
  <c r="AW142" i="4"/>
  <c r="AN168" i="4"/>
  <c r="CP176" i="4"/>
  <c r="CT176" i="4" s="1"/>
  <c r="BT167" i="4"/>
  <c r="BV167" i="4"/>
  <c r="BW167" i="4" s="1"/>
  <c r="BQ168" i="4"/>
  <c r="Q174" i="4"/>
  <c r="BG157" i="4" l="1"/>
  <c r="BM156" i="4"/>
  <c r="BN156" i="4" s="1"/>
  <c r="BH157" i="4"/>
  <c r="AL141" i="4"/>
  <c r="AM141" i="4" s="1"/>
  <c r="AF142" i="4"/>
  <c r="AG142" i="4"/>
  <c r="CE163" i="4"/>
  <c r="CF163" i="4" s="1"/>
  <c r="BY164" i="4"/>
  <c r="BZ164" i="4"/>
  <c r="CC163" i="4"/>
  <c r="AA141" i="4"/>
  <c r="Z141" i="4"/>
  <c r="CH148" i="4"/>
  <c r="CG148" i="4" s="1"/>
  <c r="CK148" i="4" s="1"/>
  <c r="CN147" i="4"/>
  <c r="CO147" i="4" s="1"/>
  <c r="CI148" i="4"/>
  <c r="BK156" i="4"/>
  <c r="DC159" i="4"/>
  <c r="DD159" i="4"/>
  <c r="AS168" i="4"/>
  <c r="AR168" i="4"/>
  <c r="BA142" i="4"/>
  <c r="BB142" i="4"/>
  <c r="DH151" i="4"/>
  <c r="DL151" i="4" s="1"/>
  <c r="CR177" i="4"/>
  <c r="CW176" i="4"/>
  <c r="CX176" i="4" s="1"/>
  <c r="CU176" i="4"/>
  <c r="T174" i="4"/>
  <c r="U174" i="4" s="1"/>
  <c r="O175" i="4"/>
  <c r="BO168" i="4"/>
  <c r="CH149" i="4" l="1"/>
  <c r="CI149" i="4"/>
  <c r="CN148" i="4"/>
  <c r="CO148" i="4" s="1"/>
  <c r="W142" i="4"/>
  <c r="V142" i="4" s="1"/>
  <c r="Z142" i="4" s="1"/>
  <c r="AC141" i="4"/>
  <c r="AD141" i="4" s="1"/>
  <c r="X142" i="4"/>
  <c r="AA142" i="4"/>
  <c r="BX164" i="4"/>
  <c r="CB164" i="4" s="1"/>
  <c r="CZ160" i="4"/>
  <c r="CY160" i="4" s="1"/>
  <c r="DC160" i="4" s="1"/>
  <c r="DF159" i="4"/>
  <c r="DG159" i="4" s="1"/>
  <c r="DA160" i="4"/>
  <c r="AE142" i="4"/>
  <c r="CL148" i="4"/>
  <c r="BF157" i="4"/>
  <c r="BJ157" i="4" s="1"/>
  <c r="DI152" i="4"/>
  <c r="DO151" i="4"/>
  <c r="DP151" i="4" s="1"/>
  <c r="DJ152" i="4"/>
  <c r="AX143" i="4"/>
  <c r="AW143" i="4" s="1"/>
  <c r="BA143" i="4" s="1"/>
  <c r="BD142" i="4"/>
  <c r="BE142" i="4" s="1"/>
  <c r="AY143" i="4"/>
  <c r="AU168" i="4"/>
  <c r="AV168" i="4" s="1"/>
  <c r="AP169" i="4"/>
  <c r="AN169" i="4" s="1"/>
  <c r="DM151" i="4"/>
  <c r="CP177" i="4"/>
  <c r="CT177" i="4" s="1"/>
  <c r="M175" i="4"/>
  <c r="BT168" i="4"/>
  <c r="BS168" i="4"/>
  <c r="W143" i="4" l="1"/>
  <c r="V143" i="4" s="1"/>
  <c r="AA143" i="4" s="1"/>
  <c r="X143" i="4"/>
  <c r="AC142" i="4"/>
  <c r="AD142" i="4" s="1"/>
  <c r="Z143" i="4"/>
  <c r="CE164" i="4"/>
  <c r="CF164" i="4" s="1"/>
  <c r="BZ165" i="4"/>
  <c r="BY165" i="4"/>
  <c r="BX165" i="4" s="1"/>
  <c r="CB165" i="4" s="1"/>
  <c r="AI142" i="4"/>
  <c r="AJ142" i="4"/>
  <c r="CZ161" i="4"/>
  <c r="DA161" i="4"/>
  <c r="CY161" i="4" s="1"/>
  <c r="DC161" i="4" s="1"/>
  <c r="DF160" i="4"/>
  <c r="DG160" i="4" s="1"/>
  <c r="DD160" i="4"/>
  <c r="CC164" i="4"/>
  <c r="BM157" i="4"/>
  <c r="BN157" i="4" s="1"/>
  <c r="BG158" i="4"/>
  <c r="BF158" i="4" s="1"/>
  <c r="BJ158" i="4" s="1"/>
  <c r="BH158" i="4"/>
  <c r="BK157" i="4"/>
  <c r="CG149" i="4"/>
  <c r="CK149" i="4" s="1"/>
  <c r="BB143" i="4"/>
  <c r="AX144" i="4"/>
  <c r="AY144" i="4"/>
  <c r="BD143" i="4"/>
  <c r="BE143" i="4" s="1"/>
  <c r="AS169" i="4"/>
  <c r="AR169" i="4"/>
  <c r="DH152" i="4"/>
  <c r="DL152" i="4" s="1"/>
  <c r="CR178" i="4"/>
  <c r="CW177" i="4"/>
  <c r="CX177" i="4" s="1"/>
  <c r="CU177" i="4"/>
  <c r="R175" i="4"/>
  <c r="Q175" i="4"/>
  <c r="BQ169" i="4"/>
  <c r="BV168" i="4"/>
  <c r="BW168" i="4" s="1"/>
  <c r="BO169" i="4"/>
  <c r="BS169" i="4" s="1"/>
  <c r="CE165" i="4" l="1"/>
  <c r="CF165" i="4" s="1"/>
  <c r="BY166" i="4"/>
  <c r="BZ166" i="4"/>
  <c r="CZ162" i="4"/>
  <c r="DF161" i="4"/>
  <c r="DG161" i="4" s="1"/>
  <c r="DA162" i="4"/>
  <c r="CH150" i="4"/>
  <c r="CN149" i="4"/>
  <c r="CO149" i="4" s="1"/>
  <c r="CI150" i="4"/>
  <c r="AW144" i="4"/>
  <c r="BA144" i="4" s="1"/>
  <c r="AX145" i="4" s="1"/>
  <c r="AF143" i="4"/>
  <c r="AG143" i="4"/>
  <c r="AL142" i="4"/>
  <c r="AM142" i="4" s="1"/>
  <c r="BK158" i="4"/>
  <c r="CL149" i="4"/>
  <c r="BM158" i="4"/>
  <c r="BN158" i="4" s="1"/>
  <c r="BG159" i="4"/>
  <c r="BH159" i="4"/>
  <c r="BF159" i="4" s="1"/>
  <c r="BK159" i="4" s="1"/>
  <c r="BJ159" i="4"/>
  <c r="W144" i="4"/>
  <c r="AC143" i="4"/>
  <c r="AD143" i="4" s="1"/>
  <c r="X144" i="4"/>
  <c r="V144" i="4" s="1"/>
  <c r="AA144" i="4" s="1"/>
  <c r="Z144" i="4"/>
  <c r="CC165" i="4"/>
  <c r="DD161" i="4"/>
  <c r="DI153" i="4"/>
  <c r="DJ153" i="4"/>
  <c r="DO152" i="4"/>
  <c r="DP152" i="4" s="1"/>
  <c r="AU169" i="4"/>
  <c r="AV169" i="4" s="1"/>
  <c r="AP170" i="4"/>
  <c r="AN170" i="4" s="1"/>
  <c r="AS170" i="4" s="1"/>
  <c r="DM152" i="4"/>
  <c r="CP178" i="4"/>
  <c r="CT178" i="4" s="1"/>
  <c r="BQ170" i="4"/>
  <c r="BV169" i="4"/>
  <c r="BW169" i="4" s="1"/>
  <c r="O176" i="4"/>
  <c r="T175" i="4"/>
  <c r="U175" i="4" s="1"/>
  <c r="BT169" i="4"/>
  <c r="DD162" i="4" l="1"/>
  <c r="AE143" i="4"/>
  <c r="BM159" i="4"/>
  <c r="BN159" i="4" s="1"/>
  <c r="BH160" i="4"/>
  <c r="BG160" i="4"/>
  <c r="CG150" i="4"/>
  <c r="CK150" i="4" s="1"/>
  <c r="W145" i="4"/>
  <c r="X145" i="4"/>
  <c r="AC144" i="4"/>
  <c r="AD144" i="4" s="1"/>
  <c r="DH153" i="4"/>
  <c r="DL153" i="4" s="1"/>
  <c r="DI154" i="4" s="1"/>
  <c r="CY162" i="4"/>
  <c r="DC162" i="4" s="1"/>
  <c r="AY145" i="4"/>
  <c r="AW145" i="4" s="1"/>
  <c r="BA145" i="4" s="1"/>
  <c r="BD144" i="4"/>
  <c r="BE144" i="4" s="1"/>
  <c r="BB144" i="4"/>
  <c r="BX166" i="4"/>
  <c r="CB166" i="4" s="1"/>
  <c r="AR170" i="4"/>
  <c r="CW178" i="4"/>
  <c r="CX178" i="4" s="1"/>
  <c r="CR179" i="4"/>
  <c r="CU178" i="4"/>
  <c r="BO170" i="4"/>
  <c r="BS170" i="4" s="1"/>
  <c r="BV170" i="4" s="1"/>
  <c r="BW170" i="4" s="1"/>
  <c r="BQ171" i="4"/>
  <c r="M176" i="4"/>
  <c r="CZ163" i="4" l="1"/>
  <c r="CY163" i="4" s="1"/>
  <c r="DC163" i="4" s="1"/>
  <c r="DA163" i="4"/>
  <c r="DF162" i="4"/>
  <c r="DG162" i="4" s="1"/>
  <c r="DJ154" i="4"/>
  <c r="DH154" i="4" s="1"/>
  <c r="DO153" i="4"/>
  <c r="DP153" i="4" s="1"/>
  <c r="V145" i="4"/>
  <c r="DM153" i="4"/>
  <c r="CE166" i="4"/>
  <c r="CF166" i="4" s="1"/>
  <c r="BZ167" i="4"/>
  <c r="BY167" i="4"/>
  <c r="BX167" i="4" s="1"/>
  <c r="CB167" i="4" s="1"/>
  <c r="BT170" i="4"/>
  <c r="CH151" i="4"/>
  <c r="CN150" i="4"/>
  <c r="CO150" i="4" s="1"/>
  <c r="CI151" i="4"/>
  <c r="BF160" i="4"/>
  <c r="CL150" i="4"/>
  <c r="AI143" i="4"/>
  <c r="AJ143" i="4"/>
  <c r="CC166" i="4"/>
  <c r="AX146" i="4"/>
  <c r="AY146" i="4"/>
  <c r="BD145" i="4"/>
  <c r="BE145" i="4" s="1"/>
  <c r="BB145" i="4"/>
  <c r="AP171" i="4"/>
  <c r="AN171" i="4" s="1"/>
  <c r="AS171" i="4" s="1"/>
  <c r="AU170" i="4"/>
  <c r="AV170" i="4" s="1"/>
  <c r="AR171" i="4"/>
  <c r="AU171" i="4" s="1"/>
  <c r="AV171" i="4" s="1"/>
  <c r="CP179" i="4"/>
  <c r="CT179" i="4" s="1"/>
  <c r="Q176" i="4"/>
  <c r="R176" i="4"/>
  <c r="DL154" i="4" l="1"/>
  <c r="DM154" i="4"/>
  <c r="CE167" i="4"/>
  <c r="CF167" i="4" s="1"/>
  <c r="BY168" i="4"/>
  <c r="BX168" i="4" s="1"/>
  <c r="CB168" i="4" s="1"/>
  <c r="BZ168" i="4"/>
  <c r="AA145" i="4"/>
  <c r="Z145" i="4"/>
  <c r="AL143" i="4"/>
  <c r="AM143" i="4" s="1"/>
  <c r="AF144" i="4"/>
  <c r="AG144" i="4"/>
  <c r="CL151" i="4"/>
  <c r="CZ164" i="4"/>
  <c r="CY164" i="4" s="1"/>
  <c r="DC164" i="4" s="1"/>
  <c r="DA164" i="4"/>
  <c r="DF163" i="4"/>
  <c r="DG163" i="4" s="1"/>
  <c r="BO171" i="4"/>
  <c r="BS171" i="4" s="1"/>
  <c r="CC167" i="4"/>
  <c r="BK160" i="4"/>
  <c r="BJ160" i="4"/>
  <c r="DD163" i="4"/>
  <c r="CG151" i="4"/>
  <c r="CK151" i="4" s="1"/>
  <c r="AP172" i="4"/>
  <c r="AN172" i="4" s="1"/>
  <c r="AS172" i="4" s="1"/>
  <c r="AW146" i="4"/>
  <c r="BA146" i="4" s="1"/>
  <c r="CW179" i="4"/>
  <c r="CX179" i="4" s="1"/>
  <c r="CR180" i="4"/>
  <c r="CU179" i="4"/>
  <c r="O177" i="4"/>
  <c r="T176" i="4"/>
  <c r="U176" i="4" s="1"/>
  <c r="M177" i="4"/>
  <c r="R177" i="4" s="1"/>
  <c r="BH161" i="4" l="1"/>
  <c r="BG161" i="4"/>
  <c r="BM160" i="4"/>
  <c r="BN160" i="4" s="1"/>
  <c r="CZ165" i="4"/>
  <c r="DF164" i="4"/>
  <c r="DG164" i="4" s="1"/>
  <c r="DA165" i="4"/>
  <c r="AE144" i="4"/>
  <c r="CH152" i="4"/>
  <c r="CG152" i="4" s="1"/>
  <c r="CN151" i="4"/>
  <c r="CO151" i="4" s="1"/>
  <c r="CI152" i="4"/>
  <c r="BY169" i="4"/>
  <c r="CE168" i="4"/>
  <c r="CF168" i="4" s="1"/>
  <c r="BZ169" i="4"/>
  <c r="CC168" i="4"/>
  <c r="DO154" i="4"/>
  <c r="DP154" i="4" s="1"/>
  <c r="DJ155" i="4"/>
  <c r="DI155" i="4"/>
  <c r="DH155" i="4" s="1"/>
  <c r="DM155" i="4" s="1"/>
  <c r="AR172" i="4"/>
  <c r="W146" i="4"/>
  <c r="AC145" i="4"/>
  <c r="AD145" i="4" s="1"/>
  <c r="X146" i="4"/>
  <c r="V146" i="4" s="1"/>
  <c r="AA146" i="4" s="1"/>
  <c r="Z146" i="4"/>
  <c r="DD164" i="4"/>
  <c r="BV171" i="4"/>
  <c r="BW171" i="4" s="1"/>
  <c r="BQ172" i="4"/>
  <c r="BT171" i="4"/>
  <c r="AX147" i="4"/>
  <c r="BD146" i="4"/>
  <c r="BE146" i="4" s="1"/>
  <c r="AY147" i="4"/>
  <c r="BB146" i="4"/>
  <c r="CP180" i="4"/>
  <c r="AU172" i="4"/>
  <c r="AV172" i="4" s="1"/>
  <c r="AP173" i="4"/>
  <c r="Q177" i="4"/>
  <c r="CK152" i="4" l="1"/>
  <c r="CL152" i="4"/>
  <c r="AJ144" i="4"/>
  <c r="AI144" i="4"/>
  <c r="W147" i="4"/>
  <c r="V147" i="4" s="1"/>
  <c r="AA147" i="4" s="1"/>
  <c r="X147" i="4"/>
  <c r="AC146" i="4"/>
  <c r="AD146" i="4" s="1"/>
  <c r="CY165" i="4"/>
  <c r="DC165" i="4" s="1"/>
  <c r="BX169" i="4"/>
  <c r="CB169" i="4" s="1"/>
  <c r="DL155" i="4"/>
  <c r="DJ156" i="4" s="1"/>
  <c r="BO172" i="4"/>
  <c r="BS172" i="4" s="1"/>
  <c r="CC169" i="4"/>
  <c r="BF161" i="4"/>
  <c r="AW147" i="4"/>
  <c r="BA147" i="4" s="1"/>
  <c r="BB147" i="4"/>
  <c r="CU180" i="4"/>
  <c r="CT180" i="4"/>
  <c r="AN173" i="4"/>
  <c r="T177" i="4"/>
  <c r="U177" i="4" s="1"/>
  <c r="O178" i="4"/>
  <c r="M178" i="4"/>
  <c r="R178" i="4" s="1"/>
  <c r="BT172" i="4" l="1"/>
  <c r="DO155" i="4"/>
  <c r="DP155" i="4" s="1"/>
  <c r="BQ173" i="4"/>
  <c r="BV172" i="4"/>
  <c r="BW172" i="4" s="1"/>
  <c r="DI156" i="4"/>
  <c r="DD165" i="4"/>
  <c r="CH153" i="4"/>
  <c r="CN152" i="4"/>
  <c r="CO152" i="4" s="1"/>
  <c r="CI153" i="4"/>
  <c r="CZ166" i="4"/>
  <c r="DA166" i="4"/>
  <c r="DF165" i="4"/>
  <c r="DG165" i="4" s="1"/>
  <c r="BZ170" i="4"/>
  <c r="BY170" i="4"/>
  <c r="BX170" i="4" s="1"/>
  <c r="CB170" i="4" s="1"/>
  <c r="CE169" i="4"/>
  <c r="CF169" i="4" s="1"/>
  <c r="Z147" i="4"/>
  <c r="AG145" i="4"/>
  <c r="AF145" i="4"/>
  <c r="AE145" i="4" s="1"/>
  <c r="AJ145" i="4" s="1"/>
  <c r="AL144" i="4"/>
  <c r="AM144" i="4" s="1"/>
  <c r="BK161" i="4"/>
  <c r="BJ161" i="4"/>
  <c r="DH156" i="4"/>
  <c r="AX148" i="4"/>
  <c r="AY148" i="4"/>
  <c r="BD147" i="4"/>
  <c r="BE147" i="4" s="1"/>
  <c r="CR181" i="4"/>
  <c r="CP181" i="4" s="1"/>
  <c r="CU181" i="4" s="1"/>
  <c r="CW180" i="4"/>
  <c r="CX180" i="4" s="1"/>
  <c r="AS173" i="4"/>
  <c r="AR173" i="4"/>
  <c r="Q178" i="4"/>
  <c r="BO173" i="4" l="1"/>
  <c r="BS173" i="4" s="1"/>
  <c r="BT173" i="4"/>
  <c r="CC170" i="4"/>
  <c r="AI145" i="4"/>
  <c r="CG153" i="4"/>
  <c r="BZ171" i="4"/>
  <c r="CE170" i="4"/>
  <c r="CF170" i="4" s="1"/>
  <c r="BY171" i="4"/>
  <c r="BG162" i="4"/>
  <c r="BF162" i="4" s="1"/>
  <c r="BK162" i="4" s="1"/>
  <c r="BH162" i="4"/>
  <c r="BM161" i="4"/>
  <c r="BN161" i="4" s="1"/>
  <c r="CY166" i="4"/>
  <c r="DC166" i="4" s="1"/>
  <c r="W148" i="4"/>
  <c r="V148" i="4" s="1"/>
  <c r="X148" i="4"/>
  <c r="AC147" i="4"/>
  <c r="AD147" i="4" s="1"/>
  <c r="AW148" i="4"/>
  <c r="CT181" i="4"/>
  <c r="CW181" i="4" s="1"/>
  <c r="CX181" i="4" s="1"/>
  <c r="DM156" i="4"/>
  <c r="DL156" i="4"/>
  <c r="CR182" i="4"/>
  <c r="CP182" i="4" s="1"/>
  <c r="CU182" i="4" s="1"/>
  <c r="AU173" i="4"/>
  <c r="AV173" i="4" s="1"/>
  <c r="AP174" i="4"/>
  <c r="AN174" i="4" s="1"/>
  <c r="AS174" i="4" s="1"/>
  <c r="T178" i="4"/>
  <c r="U178" i="4" s="1"/>
  <c r="O179" i="4"/>
  <c r="M179" i="4" s="1"/>
  <c r="R179" i="4" s="1"/>
  <c r="CC171" i="4" l="1"/>
  <c r="BJ162" i="4"/>
  <c r="CZ167" i="4"/>
  <c r="DF166" i="4"/>
  <c r="DG166" i="4" s="1"/>
  <c r="DA167" i="4"/>
  <c r="BQ174" i="4"/>
  <c r="BO174" i="4" s="1"/>
  <c r="BT174" i="4" s="1"/>
  <c r="BV173" i="4"/>
  <c r="BW173" i="4" s="1"/>
  <c r="BS174" i="4"/>
  <c r="CT182" i="4"/>
  <c r="CW182" i="4" s="1"/>
  <c r="CX182" i="4" s="1"/>
  <c r="Z148" i="4"/>
  <c r="AA148" i="4"/>
  <c r="DD166" i="4"/>
  <c r="BX171" i="4"/>
  <c r="CB171" i="4" s="1"/>
  <c r="CK153" i="4"/>
  <c r="CL153" i="4"/>
  <c r="AL145" i="4"/>
  <c r="AM145" i="4" s="1"/>
  <c r="AG146" i="4"/>
  <c r="AF146" i="4"/>
  <c r="AE146" i="4" s="1"/>
  <c r="AJ146" i="4" s="1"/>
  <c r="DI157" i="4"/>
  <c r="DH157" i="4" s="1"/>
  <c r="DM157" i="4" s="1"/>
  <c r="DJ157" i="4"/>
  <c r="DO156" i="4"/>
  <c r="DP156" i="4" s="1"/>
  <c r="BA148" i="4"/>
  <c r="BB148" i="4"/>
  <c r="CR183" i="4"/>
  <c r="CP183" i="4" s="1"/>
  <c r="CU183" i="4" s="1"/>
  <c r="AR174" i="4"/>
  <c r="Q179" i="4"/>
  <c r="CE171" i="4" l="1"/>
  <c r="CF171" i="4" s="1"/>
  <c r="BZ172" i="4"/>
  <c r="BY172" i="4"/>
  <c r="BX172" i="4" s="1"/>
  <c r="CC172" i="4" s="1"/>
  <c r="CB172" i="4"/>
  <c r="CH154" i="4"/>
  <c r="CN153" i="4"/>
  <c r="CO153" i="4" s="1"/>
  <c r="CI154" i="4"/>
  <c r="CG154" i="4" s="1"/>
  <c r="CL154" i="4" s="1"/>
  <c r="CK154" i="4"/>
  <c r="BV174" i="4"/>
  <c r="BW174" i="4" s="1"/>
  <c r="BQ175" i="4"/>
  <c r="BO175" i="4" s="1"/>
  <c r="BT175" i="4" s="1"/>
  <c r="AI146" i="4"/>
  <c r="W149" i="4"/>
  <c r="AC148" i="4"/>
  <c r="AD148" i="4" s="1"/>
  <c r="X149" i="4"/>
  <c r="CY167" i="4"/>
  <c r="DC167" i="4" s="1"/>
  <c r="BG163" i="4"/>
  <c r="BF163" i="4" s="1"/>
  <c r="BK163" i="4" s="1"/>
  <c r="BM162" i="4"/>
  <c r="BN162" i="4" s="1"/>
  <c r="BH163" i="4"/>
  <c r="AX149" i="4"/>
  <c r="AY149" i="4"/>
  <c r="BD148" i="4"/>
  <c r="BE148" i="4" s="1"/>
  <c r="CT183" i="4"/>
  <c r="CW183" i="4" s="1"/>
  <c r="CX183" i="4" s="1"/>
  <c r="DL157" i="4"/>
  <c r="AP175" i="4"/>
  <c r="AN175" i="4"/>
  <c r="AS175" i="4" s="1"/>
  <c r="AU174" i="4"/>
  <c r="AV174" i="4" s="1"/>
  <c r="T179" i="4"/>
  <c r="U179" i="4" s="1"/>
  <c r="O180" i="4"/>
  <c r="AG147" i="4" l="1"/>
  <c r="AL146" i="4"/>
  <c r="AM146" i="4" s="1"/>
  <c r="AF147" i="4"/>
  <c r="AE147" i="4" s="1"/>
  <c r="AJ147" i="4" s="1"/>
  <c r="BJ163" i="4"/>
  <c r="CN154" i="4"/>
  <c r="CO154" i="4" s="1"/>
  <c r="CI155" i="4"/>
  <c r="CH155" i="4"/>
  <c r="CG155" i="4" s="1"/>
  <c r="CK155" i="4" s="1"/>
  <c r="CZ168" i="4"/>
  <c r="CY168" i="4" s="1"/>
  <c r="DC168" i="4" s="1"/>
  <c r="DA168" i="4"/>
  <c r="DF167" i="4"/>
  <c r="DG167" i="4" s="1"/>
  <c r="DD167" i="4"/>
  <c r="BS175" i="4"/>
  <c r="BY173" i="4"/>
  <c r="BZ173" i="4"/>
  <c r="BX173" i="4" s="1"/>
  <c r="CB173" i="4" s="1"/>
  <c r="CE172" i="4"/>
  <c r="CF172" i="4" s="1"/>
  <c r="V149" i="4"/>
  <c r="DI158" i="4"/>
  <c r="DJ158" i="4"/>
  <c r="DH158" i="4" s="1"/>
  <c r="DM158" i="4" s="1"/>
  <c r="DO157" i="4"/>
  <c r="DP157" i="4" s="1"/>
  <c r="CR184" i="4"/>
  <c r="CP184" i="4" s="1"/>
  <c r="CU184" i="4" s="1"/>
  <c r="AW149" i="4"/>
  <c r="AR175" i="4"/>
  <c r="M180" i="4"/>
  <c r="CZ169" i="4" l="1"/>
  <c r="DF168" i="4"/>
  <c r="DG168" i="4" s="1"/>
  <c r="DA169" i="4"/>
  <c r="CH156" i="4"/>
  <c r="CN155" i="4"/>
  <c r="CO155" i="4" s="1"/>
  <c r="CI156" i="4"/>
  <c r="BH164" i="4"/>
  <c r="BM163" i="4"/>
  <c r="BN163" i="4" s="1"/>
  <c r="BG164" i="4"/>
  <c r="BF164" i="4" s="1"/>
  <c r="BK164" i="4" s="1"/>
  <c r="AI147" i="4"/>
  <c r="Z149" i="4"/>
  <c r="AA149" i="4"/>
  <c r="CE173" i="4"/>
  <c r="CF173" i="4" s="1"/>
  <c r="BY174" i="4"/>
  <c r="BX174" i="4" s="1"/>
  <c r="CB174" i="4" s="1"/>
  <c r="BZ174" i="4"/>
  <c r="BV175" i="4"/>
  <c r="BW175" i="4" s="1"/>
  <c r="BQ176" i="4"/>
  <c r="BO176" i="4" s="1"/>
  <c r="CC173" i="4"/>
  <c r="DD168" i="4"/>
  <c r="CL155" i="4"/>
  <c r="DL158" i="4"/>
  <c r="BA149" i="4"/>
  <c r="BB149" i="4"/>
  <c r="CT184" i="4"/>
  <c r="AP176" i="4"/>
  <c r="AU175" i="4"/>
  <c r="AV175" i="4" s="1"/>
  <c r="R180" i="4"/>
  <c r="Q180" i="4"/>
  <c r="W150" i="4" l="1"/>
  <c r="V150" i="4" s="1"/>
  <c r="Z150" i="4" s="1"/>
  <c r="H17" i="2" a="1"/>
  <c r="H17" i="2" s="1"/>
  <c r="AC149" i="4"/>
  <c r="AD149" i="4" s="1"/>
  <c r="X150" i="4"/>
  <c r="BJ164" i="4"/>
  <c r="CY169" i="4"/>
  <c r="DC169" i="4" s="1"/>
  <c r="DD169" i="4"/>
  <c r="BZ175" i="4"/>
  <c r="BY175" i="4"/>
  <c r="BX175" i="4" s="1"/>
  <c r="CB175" i="4" s="1"/>
  <c r="BY176" i="4" s="1"/>
  <c r="CE174" i="4"/>
  <c r="CF174" i="4" s="1"/>
  <c r="AF148" i="4"/>
  <c r="AE148" i="4" s="1"/>
  <c r="AJ148" i="4" s="1"/>
  <c r="AG148" i="4"/>
  <c r="AL147" i="4"/>
  <c r="AM147" i="4" s="1"/>
  <c r="CG156" i="4"/>
  <c r="CK156" i="4" s="1"/>
  <c r="CC174" i="4"/>
  <c r="BS176" i="4"/>
  <c r="BT176" i="4"/>
  <c r="CW184" i="4"/>
  <c r="CX184" i="4" s="1"/>
  <c r="CR185" i="4"/>
  <c r="CP185" i="4" s="1"/>
  <c r="AY150" i="4"/>
  <c r="AX150" i="4"/>
  <c r="AW150" i="4" s="1"/>
  <c r="BA150" i="4" s="1"/>
  <c r="BD149" i="4"/>
  <c r="BE149" i="4" s="1"/>
  <c r="CE175" i="4"/>
  <c r="CF175" i="4" s="1"/>
  <c r="DI159" i="4"/>
  <c r="DJ159" i="4"/>
  <c r="DH159" i="4" s="1"/>
  <c r="DM159" i="4" s="1"/>
  <c r="DO158" i="4"/>
  <c r="DP158" i="4" s="1"/>
  <c r="AN176" i="4"/>
  <c r="T180" i="4"/>
  <c r="U180" i="4" s="1"/>
  <c r="O181" i="4"/>
  <c r="M181" i="4"/>
  <c r="Q181" i="4" s="1"/>
  <c r="W151" i="4" l="1"/>
  <c r="AC150" i="4"/>
  <c r="AD150" i="4" s="1"/>
  <c r="X151" i="4"/>
  <c r="AA150" i="4"/>
  <c r="AI148" i="4"/>
  <c r="CZ170" i="4"/>
  <c r="DF169" i="4"/>
  <c r="DG169" i="4" s="1"/>
  <c r="DA170" i="4"/>
  <c r="BQ177" i="4"/>
  <c r="BV176" i="4"/>
  <c r="BW176" i="4" s="1"/>
  <c r="BZ176" i="4"/>
  <c r="BX176" i="4" s="1"/>
  <c r="BO177" i="4"/>
  <c r="BS177" i="4" s="1"/>
  <c r="BT177" i="4"/>
  <c r="BG165" i="4"/>
  <c r="BF165" i="4" s="1"/>
  <c r="BK165" i="4" s="1"/>
  <c r="BH165" i="4"/>
  <c r="BM164" i="4"/>
  <c r="BN164" i="4" s="1"/>
  <c r="CC175" i="4"/>
  <c r="CL156" i="4"/>
  <c r="CH157" i="4"/>
  <c r="CN156" i="4"/>
  <c r="CO156" i="4" s="1"/>
  <c r="CI157" i="4"/>
  <c r="DL159" i="4"/>
  <c r="BB150" i="4"/>
  <c r="AY151" i="4"/>
  <c r="AX151" i="4"/>
  <c r="BD150" i="4"/>
  <c r="BE150" i="4" s="1"/>
  <c r="CU185" i="4"/>
  <c r="CT185" i="4"/>
  <c r="AS176" i="4"/>
  <c r="AR176" i="4"/>
  <c r="O182" i="4"/>
  <c r="T181" i="4"/>
  <c r="U181" i="4" s="1"/>
  <c r="R181" i="4"/>
  <c r="M182" i="4" s="1"/>
  <c r="Q182" i="4" s="1"/>
  <c r="BT178" i="4" l="1"/>
  <c r="BJ165" i="4"/>
  <c r="AF149" i="4"/>
  <c r="AG149" i="4"/>
  <c r="AL148" i="4"/>
  <c r="AM148" i="4" s="1"/>
  <c r="CG157" i="4"/>
  <c r="CY170" i="4"/>
  <c r="BV177" i="4"/>
  <c r="BW177" i="4" s="1"/>
  <c r="BQ178" i="4"/>
  <c r="BO178" i="4" s="1"/>
  <c r="BS178" i="4" s="1"/>
  <c r="V151" i="4"/>
  <c r="CW185" i="4"/>
  <c r="CX185" i="4" s="1"/>
  <c r="CR186" i="4"/>
  <c r="CP186" i="4" s="1"/>
  <c r="CU186" i="4" s="1"/>
  <c r="AW151" i="4"/>
  <c r="BA151" i="4" s="1"/>
  <c r="CB176" i="4"/>
  <c r="CC176" i="4"/>
  <c r="DI160" i="4"/>
  <c r="DO159" i="4"/>
  <c r="DP159" i="4" s="1"/>
  <c r="DJ160" i="4"/>
  <c r="AU176" i="4"/>
  <c r="AV176" i="4" s="1"/>
  <c r="AP177" i="4"/>
  <c r="AN177" i="4" s="1"/>
  <c r="AS177" i="4" s="1"/>
  <c r="R182" i="4"/>
  <c r="O183" i="4"/>
  <c r="T182" i="4"/>
  <c r="U182" i="4" s="1"/>
  <c r="M183" i="4"/>
  <c r="Q183" i="4" s="1"/>
  <c r="BB151" i="4" l="1"/>
  <c r="DD170" i="4"/>
  <c r="DC170" i="4"/>
  <c r="AA151" i="4"/>
  <c r="Z151" i="4"/>
  <c r="CT186" i="4"/>
  <c r="CR187" i="4" s="1"/>
  <c r="CP187" i="4" s="1"/>
  <c r="CU187" i="4" s="1"/>
  <c r="BQ179" i="4"/>
  <c r="BO179" i="4" s="1"/>
  <c r="BT179" i="4" s="1"/>
  <c r="BV178" i="4"/>
  <c r="BW178" i="4" s="1"/>
  <c r="CL157" i="4"/>
  <c r="CK157" i="4"/>
  <c r="AE149" i="4"/>
  <c r="BS179" i="4"/>
  <c r="BG166" i="4"/>
  <c r="BH166" i="4"/>
  <c r="BM165" i="4"/>
  <c r="BN165" i="4" s="1"/>
  <c r="BY177" i="4"/>
  <c r="BX177" i="4" s="1"/>
  <c r="CB177" i="4" s="1"/>
  <c r="CE176" i="4"/>
  <c r="CF176" i="4" s="1"/>
  <c r="BZ177" i="4"/>
  <c r="DH160" i="4"/>
  <c r="AX152" i="4"/>
  <c r="AW152" i="4" s="1"/>
  <c r="BB152" i="4" s="1"/>
  <c r="BD151" i="4"/>
  <c r="BE151" i="4" s="1"/>
  <c r="AY152" i="4"/>
  <c r="AR177" i="4"/>
  <c r="T183" i="4"/>
  <c r="U183" i="4" s="1"/>
  <c r="O184" i="4"/>
  <c r="R183" i="4"/>
  <c r="CW186" i="4" l="1"/>
  <c r="CX186" i="4" s="1"/>
  <c r="CZ171" i="4"/>
  <c r="DA171" i="4"/>
  <c r="DF170" i="4"/>
  <c r="DG170" i="4" s="1"/>
  <c r="AJ149" i="4"/>
  <c r="AI149" i="4"/>
  <c r="CT187" i="4"/>
  <c r="CR188" i="4" s="1"/>
  <c r="CP188" i="4" s="1"/>
  <c r="BV179" i="4"/>
  <c r="BW179" i="4" s="1"/>
  <c r="BQ180" i="4"/>
  <c r="BO180" i="4" s="1"/>
  <c r="BT180" i="4" s="1"/>
  <c r="CH158" i="4"/>
  <c r="CN157" i="4"/>
  <c r="CO157" i="4" s="1"/>
  <c r="CI158" i="4"/>
  <c r="W152" i="4"/>
  <c r="AC151" i="4"/>
  <c r="AD151" i="4" s="1"/>
  <c r="X152" i="4"/>
  <c r="BF166" i="4"/>
  <c r="BY178" i="4"/>
  <c r="CE177" i="4"/>
  <c r="CF177" i="4" s="1"/>
  <c r="BZ178" i="4"/>
  <c r="CC177" i="4"/>
  <c r="BA152" i="4"/>
  <c r="DM160" i="4"/>
  <c r="DL160" i="4"/>
  <c r="AU177" i="4"/>
  <c r="AV177" i="4" s="1"/>
  <c r="AP178" i="4"/>
  <c r="AN178" i="4" s="1"/>
  <c r="AS178" i="4" s="1"/>
  <c r="M184" i="4"/>
  <c r="Q184" i="4" s="1"/>
  <c r="T184" i="4" s="1"/>
  <c r="U184" i="4" s="1"/>
  <c r="O185" i="4"/>
  <c r="CU188" i="4" l="1"/>
  <c r="CT188" i="4"/>
  <c r="CW188" i="4" s="1"/>
  <c r="CX188" i="4" s="1"/>
  <c r="BS180" i="4"/>
  <c r="BK166" i="4"/>
  <c r="BJ166" i="4"/>
  <c r="V152" i="4"/>
  <c r="CW187" i="4"/>
  <c r="CX187" i="4" s="1"/>
  <c r="AF150" i="4"/>
  <c r="AE150" i="4" s="1"/>
  <c r="AJ150" i="4" s="1"/>
  <c r="AG150" i="4"/>
  <c r="AL149" i="4"/>
  <c r="AM149" i="4" s="1"/>
  <c r="CG158" i="4"/>
  <c r="CY171" i="4"/>
  <c r="AX153" i="4"/>
  <c r="BD152" i="4"/>
  <c r="BE152" i="4" s="1"/>
  <c r="AY153" i="4"/>
  <c r="DI161" i="4"/>
  <c r="DJ161" i="4"/>
  <c r="DO160" i="4"/>
  <c r="DP160" i="4" s="1"/>
  <c r="BX178" i="4"/>
  <c r="CB178" i="4" s="1"/>
  <c r="CR189" i="4"/>
  <c r="CP189" i="4" s="1"/>
  <c r="CU189" i="4" s="1"/>
  <c r="AR178" i="4"/>
  <c r="R184" i="4"/>
  <c r="M185" i="4" s="1"/>
  <c r="Q185" i="4" s="1"/>
  <c r="T185" i="4" s="1"/>
  <c r="U185" i="4" s="1"/>
  <c r="AI150" i="4" l="1"/>
  <c r="BG167" i="4"/>
  <c r="BM166" i="4"/>
  <c r="BN166" i="4" s="1"/>
  <c r="BH167" i="4"/>
  <c r="DD171" i="4"/>
  <c r="DC171" i="4"/>
  <c r="CL158" i="4"/>
  <c r="CK158" i="4"/>
  <c r="AA152" i="4"/>
  <c r="Z152" i="4"/>
  <c r="DH161" i="4"/>
  <c r="DM161" i="4" s="1"/>
  <c r="BV180" i="4"/>
  <c r="BW180" i="4" s="1"/>
  <c r="BQ181" i="4"/>
  <c r="BO181" i="4" s="1"/>
  <c r="BY179" i="4"/>
  <c r="CE178" i="4"/>
  <c r="CF178" i="4" s="1"/>
  <c r="BZ179" i="4"/>
  <c r="R185" i="4"/>
  <c r="AW153" i="4"/>
  <c r="CC178" i="4"/>
  <c r="CT189" i="4"/>
  <c r="CW189" i="4"/>
  <c r="CX189" i="4" s="1"/>
  <c r="CR190" i="4"/>
  <c r="CP190" i="4" s="1"/>
  <c r="CT190" i="4"/>
  <c r="CU190" i="4"/>
  <c r="AU178" i="4"/>
  <c r="AV178" i="4" s="1"/>
  <c r="AP179" i="4"/>
  <c r="O186" i="4"/>
  <c r="CH159" i="4" l="1"/>
  <c r="CI159" i="4"/>
  <c r="CN158" i="4"/>
  <c r="CO158" i="4" s="1"/>
  <c r="CZ172" i="4"/>
  <c r="CY172" i="4" s="1"/>
  <c r="DD172" i="4" s="1"/>
  <c r="DF171" i="4"/>
  <c r="DG171" i="4" s="1"/>
  <c r="DA172" i="4"/>
  <c r="DC172" i="4"/>
  <c r="DL161" i="4"/>
  <c r="DI162" i="4" s="1"/>
  <c r="W153" i="4"/>
  <c r="AC152" i="4"/>
  <c r="AD152" i="4" s="1"/>
  <c r="X153" i="4"/>
  <c r="M186" i="4"/>
  <c r="Q186" i="4" s="1"/>
  <c r="BF167" i="4"/>
  <c r="BT181" i="4"/>
  <c r="BS181" i="4"/>
  <c r="AL150" i="4"/>
  <c r="AM150" i="4" s="1"/>
  <c r="AF151" i="4"/>
  <c r="AE151" i="4" s="1"/>
  <c r="AJ151" i="4" s="1"/>
  <c r="AG151" i="4"/>
  <c r="BB153" i="4"/>
  <c r="BA153" i="4"/>
  <c r="BX179" i="4"/>
  <c r="CB179" i="4" s="1"/>
  <c r="CR191" i="4"/>
  <c r="CP191" i="4" s="1"/>
  <c r="CU191" i="4" s="1"/>
  <c r="CW190" i="4"/>
  <c r="CX190" i="4" s="1"/>
  <c r="AN179" i="4"/>
  <c r="AI151" i="4" l="1"/>
  <c r="V153" i="4"/>
  <c r="CT191" i="4"/>
  <c r="CZ173" i="4"/>
  <c r="CY173" i="4" s="1"/>
  <c r="DD173" i="4" s="1"/>
  <c r="DF172" i="4"/>
  <c r="DG172" i="4" s="1"/>
  <c r="DA173" i="4"/>
  <c r="BV181" i="4"/>
  <c r="BW181" i="4" s="1"/>
  <c r="BQ182" i="4"/>
  <c r="BO182" i="4" s="1"/>
  <c r="BS182" i="4" s="1"/>
  <c r="DJ162" i="4"/>
  <c r="DH162" i="4" s="1"/>
  <c r="BJ167" i="4"/>
  <c r="BK167" i="4"/>
  <c r="DO161" i="4"/>
  <c r="DP161" i="4" s="1"/>
  <c r="T186" i="4"/>
  <c r="U186" i="4" s="1"/>
  <c r="O187" i="4"/>
  <c r="CG159" i="4"/>
  <c r="R186" i="4"/>
  <c r="AX154" i="4"/>
  <c r="BD153" i="4"/>
  <c r="BE153" i="4" s="1"/>
  <c r="AY154" i="4"/>
  <c r="BY180" i="4"/>
  <c r="BX180" i="4" s="1"/>
  <c r="CB180" i="4" s="1"/>
  <c r="BZ180" i="4"/>
  <c r="CE179" i="4"/>
  <c r="CF179" i="4" s="1"/>
  <c r="CC179" i="4"/>
  <c r="CW191" i="4"/>
  <c r="CX191" i="4" s="1"/>
  <c r="CR192" i="4"/>
  <c r="CP192" i="4" s="1"/>
  <c r="CU192" i="4" s="1"/>
  <c r="AS179" i="4"/>
  <c r="AR179" i="4"/>
  <c r="BG168" i="4" l="1"/>
  <c r="BH168" i="4"/>
  <c r="BM167" i="4"/>
  <c r="BN167" i="4" s="1"/>
  <c r="BT182" i="4"/>
  <c r="AL151" i="4"/>
  <c r="AM151" i="4" s="1"/>
  <c r="AG152" i="4"/>
  <c r="AF152" i="4"/>
  <c r="AE152" i="4" s="1"/>
  <c r="AJ152" i="4" s="1"/>
  <c r="DC173" i="4"/>
  <c r="CL159" i="4"/>
  <c r="CK159" i="4"/>
  <c r="Z153" i="4"/>
  <c r="AA153" i="4"/>
  <c r="M187" i="4"/>
  <c r="BY181" i="4"/>
  <c r="BZ181" i="4"/>
  <c r="CE180" i="4"/>
  <c r="CF180" i="4" s="1"/>
  <c r="DM162" i="4"/>
  <c r="DL162" i="4"/>
  <c r="CC180" i="4"/>
  <c r="AW154" i="4"/>
  <c r="CT192" i="4"/>
  <c r="AP180" i="4"/>
  <c r="AU179" i="4"/>
  <c r="AV179" i="4" s="1"/>
  <c r="AN180" i="4"/>
  <c r="AR180" i="4" s="1"/>
  <c r="BV182" i="4"/>
  <c r="BW182" i="4" s="1"/>
  <c r="BQ183" i="4"/>
  <c r="CH160" i="4" l="1"/>
  <c r="CG160" i="4" s="1"/>
  <c r="CL160" i="4" s="1"/>
  <c r="CI160" i="4"/>
  <c r="CN159" i="4"/>
  <c r="CO159" i="4" s="1"/>
  <c r="W154" i="4"/>
  <c r="V154" i="4" s="1"/>
  <c r="AA154" i="4" s="1"/>
  <c r="X154" i="4"/>
  <c r="AC153" i="4"/>
  <c r="AD153" i="4" s="1"/>
  <c r="CZ174" i="4"/>
  <c r="DA174" i="4"/>
  <c r="DF173" i="4"/>
  <c r="DG173" i="4" s="1"/>
  <c r="AI152" i="4"/>
  <c r="R187" i="4"/>
  <c r="Q187" i="4"/>
  <c r="BF168" i="4"/>
  <c r="BB154" i="4"/>
  <c r="BA154" i="4"/>
  <c r="DI163" i="4"/>
  <c r="DO162" i="4"/>
  <c r="DP162" i="4" s="1"/>
  <c r="DJ163" i="4"/>
  <c r="DH163" i="4" s="1"/>
  <c r="DL163" i="4" s="1"/>
  <c r="DM163" i="4"/>
  <c r="BX181" i="4"/>
  <c r="CR193" i="4"/>
  <c r="CP193" i="4" s="1"/>
  <c r="CU193" i="4" s="1"/>
  <c r="CW192" i="4"/>
  <c r="CX192" i="4" s="1"/>
  <c r="CT193" i="4"/>
  <c r="AP181" i="4"/>
  <c r="AU180" i="4"/>
  <c r="AV180" i="4" s="1"/>
  <c r="AS180" i="4"/>
  <c r="AN181" i="4" s="1"/>
  <c r="AR181" i="4" s="1"/>
  <c r="BO183" i="4"/>
  <c r="AF153" i="4" l="1"/>
  <c r="AE153" i="4" s="1"/>
  <c r="AG153" i="4"/>
  <c r="AL152" i="4"/>
  <c r="AM152" i="4" s="1"/>
  <c r="CY174" i="4"/>
  <c r="Z154" i="4"/>
  <c r="CK160" i="4"/>
  <c r="BK168" i="4"/>
  <c r="BJ168" i="4"/>
  <c r="T187" i="4"/>
  <c r="U187" i="4" s="1"/>
  <c r="O188" i="4"/>
  <c r="M188" i="4" s="1"/>
  <c r="R188" i="4" s="1"/>
  <c r="CC181" i="4"/>
  <c r="CB181" i="4"/>
  <c r="AX155" i="4"/>
  <c r="AY155" i="4"/>
  <c r="BD154" i="4"/>
  <c r="BE154" i="4" s="1"/>
  <c r="DI164" i="4"/>
  <c r="DJ164" i="4"/>
  <c r="DO163" i="4"/>
  <c r="DP163" i="4" s="1"/>
  <c r="CW193" i="4"/>
  <c r="CX193" i="4" s="1"/>
  <c r="CR194" i="4"/>
  <c r="CP194" i="4" s="1"/>
  <c r="AP182" i="4"/>
  <c r="AU181" i="4"/>
  <c r="AV181" i="4" s="1"/>
  <c r="AS181" i="4"/>
  <c r="AN182" i="4" s="1"/>
  <c r="AR182" i="4" s="1"/>
  <c r="BS183" i="4"/>
  <c r="BT183" i="4"/>
  <c r="Q188" i="4" l="1"/>
  <c r="BG169" i="4"/>
  <c r="BF169" i="4" s="1"/>
  <c r="BJ169" i="4" s="1"/>
  <c r="BM168" i="4"/>
  <c r="BN168" i="4" s="1"/>
  <c r="BH169" i="4"/>
  <c r="CH161" i="4"/>
  <c r="CN160" i="4"/>
  <c r="CO160" i="4" s="1"/>
  <c r="CI161" i="4"/>
  <c r="W155" i="4"/>
  <c r="V155" i="4" s="1"/>
  <c r="AA155" i="4" s="1"/>
  <c r="X155" i="4"/>
  <c r="AC154" i="4"/>
  <c r="AD154" i="4" s="1"/>
  <c r="Z155" i="4"/>
  <c r="AI153" i="4"/>
  <c r="AJ153" i="4"/>
  <c r="DD174" i="4"/>
  <c r="DC174" i="4"/>
  <c r="DH164" i="4"/>
  <c r="AW155" i="4"/>
  <c r="BY182" i="4"/>
  <c r="CE181" i="4"/>
  <c r="CF181" i="4" s="1"/>
  <c r="BZ182" i="4"/>
  <c r="CT194" i="4"/>
  <c r="CU194" i="4"/>
  <c r="AP183" i="4"/>
  <c r="AU182" i="4"/>
  <c r="AV182" i="4" s="1"/>
  <c r="AS182" i="4"/>
  <c r="AN183" i="4" s="1"/>
  <c r="AR183" i="4" s="1"/>
  <c r="BV183" i="4"/>
  <c r="BW183" i="4" s="1"/>
  <c r="BQ184" i="4"/>
  <c r="BO184" i="4" s="1"/>
  <c r="BS184" i="4" s="1"/>
  <c r="BH170" i="4" l="1"/>
  <c r="BG170" i="4"/>
  <c r="BF170" i="4" s="1"/>
  <c r="BJ170" i="4" s="1"/>
  <c r="BM169" i="4"/>
  <c r="BN169" i="4" s="1"/>
  <c r="W156" i="4"/>
  <c r="AC155" i="4"/>
  <c r="AD155" i="4" s="1"/>
  <c r="X156" i="4"/>
  <c r="O189" i="4"/>
  <c r="M189" i="4" s="1"/>
  <c r="R189" i="4" s="1"/>
  <c r="T188" i="4"/>
  <c r="U188" i="4" s="1"/>
  <c r="Q189" i="4"/>
  <c r="T189" i="4" s="1"/>
  <c r="U189" i="4" s="1"/>
  <c r="AF154" i="4"/>
  <c r="AE154" i="4" s="1"/>
  <c r="AI154" i="4" s="1"/>
  <c r="AG154" i="4"/>
  <c r="AL153" i="4"/>
  <c r="AM153" i="4" s="1"/>
  <c r="BK169" i="4"/>
  <c r="CG161" i="4"/>
  <c r="CZ175" i="4"/>
  <c r="CY175" i="4" s="1"/>
  <c r="DF174" i="4"/>
  <c r="DG174" i="4" s="1"/>
  <c r="DA175" i="4"/>
  <c r="DC175" i="4"/>
  <c r="DD175" i="4"/>
  <c r="BX182" i="4"/>
  <c r="DL164" i="4"/>
  <c r="DM164" i="4"/>
  <c r="BB155" i="4"/>
  <c r="BA155" i="4"/>
  <c r="CR195" i="4"/>
  <c r="CP195" i="4" s="1"/>
  <c r="CW194" i="4"/>
  <c r="CX194" i="4" s="1"/>
  <c r="BT184" i="4"/>
  <c r="AU183" i="4"/>
  <c r="AV183" i="4" s="1"/>
  <c r="AP184" i="4"/>
  <c r="AS183" i="4"/>
  <c r="AN184" i="4" s="1"/>
  <c r="AS184" i="4" s="1"/>
  <c r="BQ185" i="4"/>
  <c r="BO185" i="4" s="1"/>
  <c r="BS185" i="4" s="1"/>
  <c r="BV184" i="4"/>
  <c r="BW184" i="4" s="1"/>
  <c r="BH171" i="4" l="1"/>
  <c r="BG171" i="4"/>
  <c r="BM170" i="4"/>
  <c r="BN170" i="4" s="1"/>
  <c r="AL154" i="4"/>
  <c r="AM154" i="4" s="1"/>
  <c r="AF155" i="4"/>
  <c r="AG155" i="4"/>
  <c r="CZ176" i="4"/>
  <c r="DF175" i="4"/>
  <c r="DG175" i="4" s="1"/>
  <c r="DA176" i="4"/>
  <c r="CY176" i="4" s="1"/>
  <c r="DD176" i="4" s="1"/>
  <c r="DC176" i="4"/>
  <c r="AJ154" i="4"/>
  <c r="V156" i="4"/>
  <c r="CL161" i="4"/>
  <c r="CK161" i="4"/>
  <c r="O190" i="4"/>
  <c r="BK170" i="4"/>
  <c r="AX156" i="4"/>
  <c r="AW156" i="4" s="1"/>
  <c r="BB156" i="4" s="1"/>
  <c r="BD155" i="4"/>
  <c r="BE155" i="4" s="1"/>
  <c r="AY156" i="4"/>
  <c r="DI165" i="4"/>
  <c r="DJ165" i="4"/>
  <c r="DO164" i="4"/>
  <c r="DP164" i="4" s="1"/>
  <c r="CB182" i="4"/>
  <c r="CC182" i="4"/>
  <c r="CU195" i="4"/>
  <c r="CT195" i="4"/>
  <c r="BT185" i="4"/>
  <c r="AR184" i="4"/>
  <c r="M190" i="4"/>
  <c r="R190" i="4" s="1"/>
  <c r="BQ186" i="4"/>
  <c r="BV185" i="4"/>
  <c r="BW185" i="4" s="1"/>
  <c r="BO186" i="4"/>
  <c r="BT186" i="4" s="1"/>
  <c r="CZ177" i="4" l="1"/>
  <c r="DF176" i="4"/>
  <c r="DG176" i="4" s="1"/>
  <c r="DA177" i="4"/>
  <c r="CY177" i="4" s="1"/>
  <c r="DD177" i="4" s="1"/>
  <c r="AA156" i="4"/>
  <c r="Z156" i="4"/>
  <c r="AE155" i="4"/>
  <c r="AI155" i="4" s="1"/>
  <c r="CH162" i="4"/>
  <c r="CG162" i="4" s="1"/>
  <c r="CL162" i="4" s="1"/>
  <c r="CI162" i="4"/>
  <c r="CN161" i="4"/>
  <c r="CO161" i="4" s="1"/>
  <c r="BF171" i="4"/>
  <c r="BA156" i="4"/>
  <c r="DH165" i="4"/>
  <c r="BY183" i="4"/>
  <c r="CE182" i="4"/>
  <c r="CF182" i="4" s="1"/>
  <c r="BZ183" i="4"/>
  <c r="Q190" i="4"/>
  <c r="T190" i="4" s="1"/>
  <c r="U190" i="4" s="1"/>
  <c r="CW195" i="4"/>
  <c r="CX195" i="4" s="1"/>
  <c r="CR196" i="4"/>
  <c r="CP196" i="4" s="1"/>
  <c r="CU196" i="4" s="1"/>
  <c r="AU184" i="4"/>
  <c r="AV184" i="4" s="1"/>
  <c r="AP185" i="4"/>
  <c r="AN185" i="4" s="1"/>
  <c r="AS185" i="4" s="1"/>
  <c r="BS186" i="4"/>
  <c r="BK171" i="4" l="1"/>
  <c r="BJ171" i="4"/>
  <c r="AF156" i="4"/>
  <c r="AL155" i="4"/>
  <c r="AM155" i="4" s="1"/>
  <c r="AG156" i="4"/>
  <c r="W157" i="4"/>
  <c r="X157" i="4"/>
  <c r="V157" i="4" s="1"/>
  <c r="AC156" i="4"/>
  <c r="AD156" i="4" s="1"/>
  <c r="Z157" i="4"/>
  <c r="CK162" i="4"/>
  <c r="AA157" i="4"/>
  <c r="DC177" i="4"/>
  <c r="BX183" i="4"/>
  <c r="CC183" i="4" s="1"/>
  <c r="AJ155" i="4"/>
  <c r="O191" i="4"/>
  <c r="M191" i="4" s="1"/>
  <c r="R191" i="4" s="1"/>
  <c r="CT196" i="4"/>
  <c r="CR197" i="4" s="1"/>
  <c r="DM165" i="4"/>
  <c r="DL165" i="4"/>
  <c r="AX157" i="4"/>
  <c r="AW157" i="4" s="1"/>
  <c r="BB157" i="4" s="1"/>
  <c r="BD156" i="4"/>
  <c r="BE156" i="4" s="1"/>
  <c r="AY157" i="4"/>
  <c r="CW196" i="4"/>
  <c r="CX196" i="4" s="1"/>
  <c r="AR185" i="4"/>
  <c r="Q191" i="4"/>
  <c r="BV186" i="4"/>
  <c r="BW186" i="4" s="1"/>
  <c r="BQ187" i="4"/>
  <c r="BO187" i="4"/>
  <c r="BT187" i="4" s="1"/>
  <c r="W158" i="4" l="1"/>
  <c r="V158" i="4" s="1"/>
  <c r="AA158" i="4" s="1"/>
  <c r="AC157" i="4"/>
  <c r="AD157" i="4" s="1"/>
  <c r="X158" i="4"/>
  <c r="Z158" i="4"/>
  <c r="AE156" i="4"/>
  <c r="AI156" i="4" s="1"/>
  <c r="CZ178" i="4"/>
  <c r="DA178" i="4"/>
  <c r="DF177" i="4"/>
  <c r="DG177" i="4" s="1"/>
  <c r="CH163" i="4"/>
  <c r="CG163" i="4" s="1"/>
  <c r="CL163" i="4" s="1"/>
  <c r="CI163" i="4"/>
  <c r="CN162" i="4"/>
  <c r="CO162" i="4" s="1"/>
  <c r="CB183" i="4"/>
  <c r="BM171" i="4"/>
  <c r="BN171" i="4" s="1"/>
  <c r="BH172" i="4"/>
  <c r="BG172" i="4"/>
  <c r="BF172" i="4" s="1"/>
  <c r="BK172" i="4" s="1"/>
  <c r="BJ172" i="4"/>
  <c r="BY184" i="4"/>
  <c r="CE183" i="4"/>
  <c r="CF183" i="4" s="1"/>
  <c r="BZ184" i="4"/>
  <c r="DI166" i="4"/>
  <c r="DJ166" i="4"/>
  <c r="DO165" i="4"/>
  <c r="DP165" i="4" s="1"/>
  <c r="BA157" i="4"/>
  <c r="CP197" i="4"/>
  <c r="AU185" i="4"/>
  <c r="AV185" i="4" s="1"/>
  <c r="AP186" i="4"/>
  <c r="AN186" i="4"/>
  <c r="AS186" i="4" s="1"/>
  <c r="O192" i="4"/>
  <c r="M192" i="4" s="1"/>
  <c r="R192" i="4" s="1"/>
  <c r="T191" i="4"/>
  <c r="U191" i="4" s="1"/>
  <c r="BS187" i="4"/>
  <c r="CY178" i="4" l="1"/>
  <c r="BX184" i="4"/>
  <c r="CC184" i="4" s="1"/>
  <c r="AF157" i="4"/>
  <c r="AG157" i="4"/>
  <c r="AL156" i="4"/>
  <c r="AM156" i="4" s="1"/>
  <c r="BG173" i="4"/>
  <c r="BF173" i="4" s="1"/>
  <c r="BK173" i="4" s="1"/>
  <c r="BM172" i="4"/>
  <c r="BN172" i="4" s="1"/>
  <c r="BH173" i="4"/>
  <c r="DH166" i="4"/>
  <c r="DM166" i="4" s="1"/>
  <c r="AJ156" i="4"/>
  <c r="W159" i="4"/>
  <c r="V159" i="4" s="1"/>
  <c r="AA159" i="4" s="1"/>
  <c r="X159" i="4"/>
  <c r="AC158" i="4"/>
  <c r="AD158" i="4" s="1"/>
  <c r="Z159" i="4"/>
  <c r="CK163" i="4"/>
  <c r="CB184" i="4"/>
  <c r="AX158" i="4"/>
  <c r="BD157" i="4"/>
  <c r="BE157" i="4" s="1"/>
  <c r="AY158" i="4"/>
  <c r="CU197" i="4"/>
  <c r="CT197" i="4"/>
  <c r="AR186" i="4"/>
  <c r="Q192" i="4"/>
  <c r="BQ188" i="4"/>
  <c r="BO188" i="4" s="1"/>
  <c r="BT188" i="4" s="1"/>
  <c r="BV187" i="4"/>
  <c r="BW187" i="4" s="1"/>
  <c r="DL166" i="4" l="1"/>
  <c r="BJ173" i="4"/>
  <c r="AE157" i="4"/>
  <c r="AI157" i="4" s="1"/>
  <c r="W160" i="4"/>
  <c r="V160" i="4" s="1"/>
  <c r="AA160" i="4" s="1"/>
  <c r="X160" i="4"/>
  <c r="AC159" i="4"/>
  <c r="AD159" i="4" s="1"/>
  <c r="Z160" i="4"/>
  <c r="AW158" i="4"/>
  <c r="BB158" i="4" s="1"/>
  <c r="DD178" i="4"/>
  <c r="DC178" i="4"/>
  <c r="CH164" i="4"/>
  <c r="CG164" i="4" s="1"/>
  <c r="CL164" i="4" s="1"/>
  <c r="CI164" i="4"/>
  <c r="CN163" i="4"/>
  <c r="CO163" i="4" s="1"/>
  <c r="BY185" i="4"/>
  <c r="BX185" i="4" s="1"/>
  <c r="CC185" i="4" s="1"/>
  <c r="BZ185" i="4"/>
  <c r="CE184" i="4"/>
  <c r="CF184" i="4" s="1"/>
  <c r="DI167" i="4"/>
  <c r="DO166" i="4"/>
  <c r="DP166" i="4" s="1"/>
  <c r="DJ167" i="4"/>
  <c r="CR198" i="4"/>
  <c r="CW197" i="4"/>
  <c r="CX197" i="4" s="1"/>
  <c r="CP198" i="4"/>
  <c r="CU198" i="4" s="1"/>
  <c r="AU186" i="4"/>
  <c r="AV186" i="4" s="1"/>
  <c r="AP187" i="4"/>
  <c r="AN187" i="4" s="1"/>
  <c r="AS187" i="4" s="1"/>
  <c r="O193" i="4"/>
  <c r="T192" i="4"/>
  <c r="U192" i="4" s="1"/>
  <c r="M193" i="4"/>
  <c r="R193" i="4" s="1"/>
  <c r="BS188" i="4"/>
  <c r="CZ179" i="4" l="1"/>
  <c r="DF178" i="4"/>
  <c r="DG178" i="4" s="1"/>
  <c r="DA179" i="4"/>
  <c r="CY179" i="4" s="1"/>
  <c r="DD179" i="4" s="1"/>
  <c r="DC179" i="4"/>
  <c r="BM173" i="4"/>
  <c r="BN173" i="4" s="1"/>
  <c r="BH174" i="4"/>
  <c r="BG174" i="4"/>
  <c r="BF174" i="4" s="1"/>
  <c r="BA158" i="4"/>
  <c r="BD158" i="4" s="1"/>
  <c r="BE158" i="4" s="1"/>
  <c r="W161" i="4"/>
  <c r="V161" i="4" s="1"/>
  <c r="AA161" i="4" s="1"/>
  <c r="X161" i="4"/>
  <c r="AC160" i="4"/>
  <c r="AD160" i="4" s="1"/>
  <c r="Z161" i="4"/>
  <c r="AL157" i="4"/>
  <c r="AM157" i="4" s="1"/>
  <c r="AG158" i="4"/>
  <c r="AF158" i="4"/>
  <c r="DH167" i="4"/>
  <c r="DM167" i="4" s="1"/>
  <c r="AJ157" i="4"/>
  <c r="CK164" i="4"/>
  <c r="AX159" i="4"/>
  <c r="CB185" i="4"/>
  <c r="CT198" i="4"/>
  <c r="AR187" i="4"/>
  <c r="BQ189" i="4"/>
  <c r="BV188" i="4"/>
  <c r="BW188" i="4" s="1"/>
  <c r="BO189" i="4"/>
  <c r="BT189" i="4" s="1"/>
  <c r="Q193" i="4"/>
  <c r="BJ174" i="4" l="1"/>
  <c r="BK174" i="4"/>
  <c r="CZ180" i="4"/>
  <c r="CY180" i="4" s="1"/>
  <c r="DD180" i="4" s="1"/>
  <c r="DA180" i="4"/>
  <c r="DF179" i="4"/>
  <c r="DG179" i="4" s="1"/>
  <c r="AY159" i="4"/>
  <c r="DL167" i="4"/>
  <c r="DJ168" i="4" s="1"/>
  <c r="W162" i="4"/>
  <c r="X162" i="4"/>
  <c r="AC161" i="4"/>
  <c r="AD161" i="4" s="1"/>
  <c r="CH165" i="4"/>
  <c r="CI165" i="4"/>
  <c r="CN164" i="4"/>
  <c r="CO164" i="4" s="1"/>
  <c r="AE158" i="4"/>
  <c r="DI168" i="4"/>
  <c r="BY186" i="4"/>
  <c r="BZ186" i="4"/>
  <c r="CE185" i="4"/>
  <c r="CF185" i="4" s="1"/>
  <c r="AW159" i="4"/>
  <c r="CW198" i="4"/>
  <c r="CX198" i="4" s="1"/>
  <c r="CR199" i="4"/>
  <c r="CP199" i="4"/>
  <c r="CU199" i="4" s="1"/>
  <c r="AP188" i="4"/>
  <c r="AN188" i="4" s="1"/>
  <c r="AS188" i="4" s="1"/>
  <c r="AU187" i="4"/>
  <c r="AV187" i="4" s="1"/>
  <c r="BS189" i="4"/>
  <c r="O194" i="4"/>
  <c r="T193" i="4"/>
  <c r="U193" i="4" s="1"/>
  <c r="M194" i="4"/>
  <c r="R194" i="4" s="1"/>
  <c r="CG165" i="4" l="1"/>
  <c r="BH175" i="4"/>
  <c r="BM174" i="4"/>
  <c r="BN174" i="4" s="1"/>
  <c r="BG175" i="4"/>
  <c r="BF175" i="4" s="1"/>
  <c r="BJ175" i="4" s="1"/>
  <c r="AJ158" i="4"/>
  <c r="AI158" i="4"/>
  <c r="V162" i="4"/>
  <c r="BX186" i="4"/>
  <c r="DO167" i="4"/>
  <c r="DP167" i="4" s="1"/>
  <c r="DC180" i="4"/>
  <c r="BA159" i="4"/>
  <c r="BB159" i="4"/>
  <c r="DH168" i="4"/>
  <c r="CT199" i="4"/>
  <c r="AR188" i="4"/>
  <c r="BV189" i="4"/>
  <c r="BW189" i="4" s="1"/>
  <c r="BQ190" i="4"/>
  <c r="BO190" i="4"/>
  <c r="BT190" i="4" s="1"/>
  <c r="Q194" i="4"/>
  <c r="BH176" i="4" l="1"/>
  <c r="BG176" i="4"/>
  <c r="BM175" i="4"/>
  <c r="BN175" i="4" s="1"/>
  <c r="AG159" i="4"/>
  <c r="AL158" i="4"/>
  <c r="AM158" i="4" s="1"/>
  <c r="AF159" i="4"/>
  <c r="AE159" i="4" s="1"/>
  <c r="AI159" i="4" s="1"/>
  <c r="CZ181" i="4"/>
  <c r="CY181" i="4" s="1"/>
  <c r="DD181" i="4" s="1"/>
  <c r="DA181" i="4"/>
  <c r="DF180" i="4"/>
  <c r="DG180" i="4" s="1"/>
  <c r="DC181" i="4"/>
  <c r="AA162" i="4"/>
  <c r="Z162" i="4"/>
  <c r="CC186" i="4"/>
  <c r="CB186" i="4"/>
  <c r="BK175" i="4"/>
  <c r="CL165" i="4"/>
  <c r="CK165" i="4"/>
  <c r="DL168" i="4"/>
  <c r="DM168" i="4"/>
  <c r="AX160" i="4"/>
  <c r="AY160" i="4"/>
  <c r="BD159" i="4"/>
  <c r="BE159" i="4" s="1"/>
  <c r="CR200" i="4"/>
  <c r="CP200" i="4" s="1"/>
  <c r="CU200" i="4" s="1"/>
  <c r="CW199" i="4"/>
  <c r="CX199" i="4" s="1"/>
  <c r="AU188" i="4"/>
  <c r="AV188" i="4" s="1"/>
  <c r="AP189" i="4"/>
  <c r="AN189" i="4" s="1"/>
  <c r="AS189" i="4" s="1"/>
  <c r="BS190" i="4"/>
  <c r="O195" i="4"/>
  <c r="T194" i="4"/>
  <c r="U194" i="4" s="1"/>
  <c r="AF160" i="4" l="1"/>
  <c r="AG160" i="4"/>
  <c r="AL159" i="4"/>
  <c r="AM159" i="4" s="1"/>
  <c r="AW160" i="4"/>
  <c r="BA160" i="4" s="1"/>
  <c r="BD160" i="4" s="1"/>
  <c r="BE160" i="4" s="1"/>
  <c r="AJ159" i="4"/>
  <c r="W163" i="4"/>
  <c r="AC162" i="4"/>
  <c r="AD162" i="4" s="1"/>
  <c r="X163" i="4"/>
  <c r="CH166" i="4"/>
  <c r="CN165" i="4"/>
  <c r="CO165" i="4" s="1"/>
  <c r="CI166" i="4"/>
  <c r="BF176" i="4"/>
  <c r="BJ176" i="4" s="1"/>
  <c r="CZ182" i="4"/>
  <c r="CY182" i="4" s="1"/>
  <c r="DD182" i="4" s="1"/>
  <c r="DF181" i="4"/>
  <c r="DG181" i="4" s="1"/>
  <c r="DA182" i="4"/>
  <c r="BK176" i="4"/>
  <c r="CE186" i="4"/>
  <c r="CF186" i="4" s="1"/>
  <c r="BZ187" i="4"/>
  <c r="BY187" i="4"/>
  <c r="BB160" i="4"/>
  <c r="AX161" i="4"/>
  <c r="DI169" i="4"/>
  <c r="DO168" i="4"/>
  <c r="DP168" i="4" s="1"/>
  <c r="DJ169" i="4"/>
  <c r="CT200" i="4"/>
  <c r="AR189" i="4"/>
  <c r="M195" i="4"/>
  <c r="R195" i="4" s="1"/>
  <c r="BQ191" i="4"/>
  <c r="BV190" i="4"/>
  <c r="BW190" i="4" s="1"/>
  <c r="AE160" i="4" l="1"/>
  <c r="AI160" i="4" s="1"/>
  <c r="BX187" i="4"/>
  <c r="V163" i="4"/>
  <c r="AY161" i="4"/>
  <c r="DC182" i="4"/>
  <c r="AJ160" i="4"/>
  <c r="CG166" i="4"/>
  <c r="DH169" i="4"/>
  <c r="BH177" i="4"/>
  <c r="BM176" i="4"/>
  <c r="BN176" i="4" s="1"/>
  <c r="BG177" i="4"/>
  <c r="BF177" i="4" s="1"/>
  <c r="BJ177" i="4" s="1"/>
  <c r="Q195" i="4"/>
  <c r="AW161" i="4"/>
  <c r="BA161" i="4" s="1"/>
  <c r="CW200" i="4"/>
  <c r="CX200" i="4" s="1"/>
  <c r="CR201" i="4"/>
  <c r="CP201" i="4" s="1"/>
  <c r="CU201" i="4" s="1"/>
  <c r="AP190" i="4"/>
  <c r="AU189" i="4"/>
  <c r="AV189" i="4" s="1"/>
  <c r="AN190" i="4"/>
  <c r="AS190" i="4" s="1"/>
  <c r="O196" i="4"/>
  <c r="T195" i="4"/>
  <c r="U195" i="4" s="1"/>
  <c r="M196" i="4"/>
  <c r="R196" i="4" s="1"/>
  <c r="BO191" i="4"/>
  <c r="BG178" i="4" l="1"/>
  <c r="BF178" i="4" s="1"/>
  <c r="BJ178" i="4" s="1"/>
  <c r="BM177" i="4"/>
  <c r="BN177" i="4" s="1"/>
  <c r="BH178" i="4"/>
  <c r="DL169" i="4"/>
  <c r="DM169" i="4"/>
  <c r="CL166" i="4"/>
  <c r="CK166" i="4"/>
  <c r="CZ183" i="4"/>
  <c r="CY183" i="4" s="1"/>
  <c r="DF182" i="4"/>
  <c r="DG182" i="4" s="1"/>
  <c r="DA183" i="4"/>
  <c r="AA163" i="4"/>
  <c r="Z163" i="4"/>
  <c r="BK177" i="4"/>
  <c r="CC187" i="4"/>
  <c r="CB187" i="4"/>
  <c r="AL160" i="4"/>
  <c r="AM160" i="4" s="1"/>
  <c r="AF161" i="4"/>
  <c r="AG161" i="4"/>
  <c r="AX162" i="4"/>
  <c r="AW162" i="4" s="1"/>
  <c r="BA162" i="4" s="1"/>
  <c r="AY162" i="4"/>
  <c r="BD161" i="4"/>
  <c r="BE161" i="4" s="1"/>
  <c r="BB161" i="4"/>
  <c r="CT201" i="4"/>
  <c r="AR190" i="4"/>
  <c r="BT191" i="4"/>
  <c r="BS191" i="4"/>
  <c r="Q196" i="4"/>
  <c r="BK178" i="4" l="1"/>
  <c r="W164" i="4"/>
  <c r="X164" i="4"/>
  <c r="AC163" i="4"/>
  <c r="AD163" i="4" s="1"/>
  <c r="DC183" i="4"/>
  <c r="DD183" i="4"/>
  <c r="CH167" i="4"/>
  <c r="CN166" i="4"/>
  <c r="CO166" i="4" s="1"/>
  <c r="CI167" i="4"/>
  <c r="CG167" i="4" s="1"/>
  <c r="CL167" i="4" s="1"/>
  <c r="AE161" i="4"/>
  <c r="DI170" i="4"/>
  <c r="DH170" i="4" s="1"/>
  <c r="DO169" i="4"/>
  <c r="DP169" i="4" s="1"/>
  <c r="DJ170" i="4"/>
  <c r="CE187" i="4"/>
  <c r="CF187" i="4" s="1"/>
  <c r="BY188" i="4"/>
  <c r="BZ188" i="4"/>
  <c r="BH179" i="4"/>
  <c r="BM178" i="4"/>
  <c r="BN178" i="4" s="1"/>
  <c r="BG179" i="4"/>
  <c r="BF179" i="4" s="1"/>
  <c r="BJ179" i="4" s="1"/>
  <c r="AX163" i="4"/>
  <c r="AY163" i="4"/>
  <c r="BD162" i="4"/>
  <c r="BE162" i="4" s="1"/>
  <c r="BB162" i="4"/>
  <c r="CR202" i="4"/>
  <c r="CW201" i="4"/>
  <c r="CX201" i="4" s="1"/>
  <c r="AU190" i="4"/>
  <c r="AV190" i="4" s="1"/>
  <c r="AP191" i="4"/>
  <c r="AN191" i="4" s="1"/>
  <c r="AS191" i="4" s="1"/>
  <c r="BQ192" i="4"/>
  <c r="BV191" i="4"/>
  <c r="BW191" i="4" s="1"/>
  <c r="T196" i="4"/>
  <c r="U196" i="4" s="1"/>
  <c r="O197" i="4"/>
  <c r="AW163" i="4" l="1"/>
  <c r="BA163" i="4" s="1"/>
  <c r="AX164" i="4" s="1"/>
  <c r="AI161" i="4"/>
  <c r="AJ161" i="4"/>
  <c r="DL170" i="4"/>
  <c r="DM170" i="4"/>
  <c r="BG180" i="4"/>
  <c r="BF180" i="4" s="1"/>
  <c r="BJ180" i="4" s="1"/>
  <c r="BH180" i="4"/>
  <c r="BM179" i="4"/>
  <c r="BN179" i="4" s="1"/>
  <c r="CK167" i="4"/>
  <c r="CZ184" i="4"/>
  <c r="CY184" i="4" s="1"/>
  <c r="DF183" i="4"/>
  <c r="DG183" i="4" s="1"/>
  <c r="DA184" i="4"/>
  <c r="BX188" i="4"/>
  <c r="V164" i="4"/>
  <c r="BK179" i="4"/>
  <c r="BG181" i="4"/>
  <c r="BH181" i="4"/>
  <c r="BM180" i="4"/>
  <c r="BN180" i="4" s="1"/>
  <c r="CP202" i="4"/>
  <c r="BO192" i="4"/>
  <c r="BT192" i="4" s="1"/>
  <c r="AR191" i="4"/>
  <c r="M197" i="4"/>
  <c r="R197" i="4" s="1"/>
  <c r="Q197" i="4"/>
  <c r="DC184" i="4" l="1"/>
  <c r="DD184" i="4"/>
  <c r="AY164" i="4"/>
  <c r="DM171" i="4"/>
  <c r="CC188" i="4"/>
  <c r="CB188" i="4"/>
  <c r="BD163" i="4"/>
  <c r="BE163" i="4" s="1"/>
  <c r="DI171" i="4"/>
  <c r="DH171" i="4" s="1"/>
  <c r="DL171" i="4" s="1"/>
  <c r="DJ171" i="4"/>
  <c r="DO170" i="4"/>
  <c r="DP170" i="4" s="1"/>
  <c r="BK180" i="4"/>
  <c r="BF181" i="4" s="1"/>
  <c r="BJ181" i="4" s="1"/>
  <c r="BB163" i="4"/>
  <c r="AW164" i="4" s="1"/>
  <c r="BA164" i="4" s="1"/>
  <c r="CH168" i="4"/>
  <c r="CG168" i="4" s="1"/>
  <c r="CL168" i="4" s="1"/>
  <c r="CI168" i="4"/>
  <c r="CN167" i="4"/>
  <c r="CO167" i="4" s="1"/>
  <c r="Z164" i="4"/>
  <c r="AA164" i="4"/>
  <c r="AF162" i="4"/>
  <c r="AG162" i="4"/>
  <c r="AL161" i="4"/>
  <c r="AM161" i="4" s="1"/>
  <c r="BS192" i="4"/>
  <c r="BQ193" i="4" s="1"/>
  <c r="CU202" i="4"/>
  <c r="CT202" i="4"/>
  <c r="AU191" i="4"/>
  <c r="AV191" i="4" s="1"/>
  <c r="AP192" i="4"/>
  <c r="T197" i="4"/>
  <c r="U197" i="4" s="1"/>
  <c r="O198" i="4"/>
  <c r="M198" i="4"/>
  <c r="R198" i="4" s="1"/>
  <c r="BM181" i="4" l="1"/>
  <c r="BN181" i="4" s="1"/>
  <c r="BG182" i="4"/>
  <c r="BH182" i="4"/>
  <c r="CZ185" i="4"/>
  <c r="CY185" i="4" s="1"/>
  <c r="DF184" i="4"/>
  <c r="DG184" i="4" s="1"/>
  <c r="DA185" i="4"/>
  <c r="DO171" i="4"/>
  <c r="DP171" i="4" s="1"/>
  <c r="DJ172" i="4"/>
  <c r="DI172" i="4"/>
  <c r="DH172" i="4" s="1"/>
  <c r="DL172" i="4" s="1"/>
  <c r="BK181" i="4"/>
  <c r="W165" i="4"/>
  <c r="AC164" i="4"/>
  <c r="AD164" i="4" s="1"/>
  <c r="X165" i="4"/>
  <c r="CK168" i="4"/>
  <c r="BB164" i="4"/>
  <c r="AE162" i="4"/>
  <c r="BY189" i="4"/>
  <c r="BX189" i="4" s="1"/>
  <c r="CB189" i="4" s="1"/>
  <c r="CE188" i="4"/>
  <c r="CF188" i="4" s="1"/>
  <c r="BZ189" i="4"/>
  <c r="CC189" i="4"/>
  <c r="AX165" i="4"/>
  <c r="AW165" i="4" s="1"/>
  <c r="BA165" i="4" s="1"/>
  <c r="AY165" i="4"/>
  <c r="BD164" i="4"/>
  <c r="BE164" i="4" s="1"/>
  <c r="BF182" i="4"/>
  <c r="BJ182" i="4" s="1"/>
  <c r="BV192" i="4"/>
  <c r="BW192" i="4" s="1"/>
  <c r="CR203" i="4"/>
  <c r="CP203" i="4"/>
  <c r="CU203" i="4" s="1"/>
  <c r="CW202" i="4"/>
  <c r="CX202" i="4" s="1"/>
  <c r="AN192" i="4"/>
  <c r="Q198" i="4"/>
  <c r="BO193" i="4"/>
  <c r="DI173" i="4" l="1"/>
  <c r="DH173" i="4" s="1"/>
  <c r="DM173" i="4" s="1"/>
  <c r="DO172" i="4"/>
  <c r="DP172" i="4" s="1"/>
  <c r="DJ173" i="4"/>
  <c r="DC185" i="4"/>
  <c r="DD185" i="4"/>
  <c r="BY190" i="4"/>
  <c r="CE189" i="4"/>
  <c r="CF189" i="4" s="1"/>
  <c r="BZ190" i="4"/>
  <c r="BK182" i="4"/>
  <c r="DM172" i="4"/>
  <c r="AI162" i="4"/>
  <c r="AJ162" i="4"/>
  <c r="CH169" i="4"/>
  <c r="CG169" i="4" s="1"/>
  <c r="CL169" i="4" s="1"/>
  <c r="CN168" i="4"/>
  <c r="CO168" i="4" s="1"/>
  <c r="CI169" i="4"/>
  <c r="V165" i="4"/>
  <c r="BB165" i="4"/>
  <c r="AX166" i="4"/>
  <c r="AW166" i="4" s="1"/>
  <c r="BA166" i="4" s="1"/>
  <c r="BD165" i="4"/>
  <c r="BE165" i="4" s="1"/>
  <c r="AY166" i="4"/>
  <c r="BG183" i="4"/>
  <c r="BH183" i="4"/>
  <c r="BM182" i="4"/>
  <c r="BN182" i="4" s="1"/>
  <c r="CT203" i="4"/>
  <c r="AS192" i="4"/>
  <c r="AR192" i="4"/>
  <c r="BT193" i="4"/>
  <c r="BS193" i="4"/>
  <c r="O199" i="4"/>
  <c r="T198" i="4"/>
  <c r="U198" i="4" s="1"/>
  <c r="BX190" i="4" l="1"/>
  <c r="CZ186" i="4"/>
  <c r="DF185" i="4"/>
  <c r="DG185" i="4" s="1"/>
  <c r="DA186" i="4"/>
  <c r="CY186" i="4" s="1"/>
  <c r="AF163" i="4"/>
  <c r="AL162" i="4"/>
  <c r="AM162" i="4" s="1"/>
  <c r="AG163" i="4"/>
  <c r="BF183" i="4"/>
  <c r="BK183" i="4" s="1"/>
  <c r="Z165" i="4"/>
  <c r="AA165" i="4"/>
  <c r="CK169" i="4"/>
  <c r="DL173" i="4"/>
  <c r="BB166" i="4"/>
  <c r="AX167" i="4"/>
  <c r="AY167" i="4"/>
  <c r="BD166" i="4"/>
  <c r="BE166" i="4" s="1"/>
  <c r="CR204" i="4"/>
  <c r="CP204" i="4" s="1"/>
  <c r="CU204" i="4" s="1"/>
  <c r="CW203" i="4"/>
  <c r="CX203" i="4" s="1"/>
  <c r="AP193" i="4"/>
  <c r="AU192" i="4"/>
  <c r="AV192" i="4" s="1"/>
  <c r="AN193" i="4"/>
  <c r="AS193" i="4" s="1"/>
  <c r="M199" i="4"/>
  <c r="R199" i="4" s="1"/>
  <c r="BV193" i="4"/>
  <c r="BW193" i="4" s="1"/>
  <c r="BQ194" i="4"/>
  <c r="BO194" i="4"/>
  <c r="BS194" i="4" s="1"/>
  <c r="DC186" i="4" l="1"/>
  <c r="DD186" i="4"/>
  <c r="W166" i="4"/>
  <c r="X166" i="4"/>
  <c r="V166" i="4" s="1"/>
  <c r="AA166" i="4" s="1"/>
  <c r="AC165" i="4"/>
  <c r="AD165" i="4" s="1"/>
  <c r="Z166" i="4"/>
  <c r="AE163" i="4"/>
  <c r="BJ183" i="4"/>
  <c r="DJ174" i="4"/>
  <c r="DI174" i="4"/>
  <c r="DH174" i="4" s="1"/>
  <c r="DO173" i="4"/>
  <c r="DP173" i="4" s="1"/>
  <c r="CC190" i="4"/>
  <c r="CB190" i="4"/>
  <c r="CH170" i="4"/>
  <c r="CG170" i="4" s="1"/>
  <c r="CL170" i="4" s="1"/>
  <c r="CN169" i="4"/>
  <c r="CO169" i="4" s="1"/>
  <c r="CI170" i="4"/>
  <c r="BG184" i="4"/>
  <c r="BF184" i="4" s="1"/>
  <c r="BK184" i="4" s="1"/>
  <c r="BH184" i="4"/>
  <c r="BM183" i="4"/>
  <c r="BN183" i="4" s="1"/>
  <c r="AW167" i="4"/>
  <c r="BA167" i="4" s="1"/>
  <c r="BB167" i="4"/>
  <c r="Q199" i="4"/>
  <c r="O200" i="4" s="1"/>
  <c r="M200" i="4" s="1"/>
  <c r="R200" i="4" s="1"/>
  <c r="CT204" i="4"/>
  <c r="AR193" i="4"/>
  <c r="BQ195" i="4"/>
  <c r="BV194" i="4"/>
  <c r="BW194" i="4" s="1"/>
  <c r="BT194" i="4"/>
  <c r="BY191" i="4" l="1"/>
  <c r="BZ191" i="4"/>
  <c r="CE190" i="4"/>
  <c r="CF190" i="4" s="1"/>
  <c r="AJ163" i="4"/>
  <c r="AI163" i="4"/>
  <c r="DM174" i="4"/>
  <c r="DL174" i="4"/>
  <c r="W167" i="4"/>
  <c r="V167" i="4" s="1"/>
  <c r="AA167" i="4" s="1"/>
  <c r="AC166" i="4"/>
  <c r="AD166" i="4" s="1"/>
  <c r="X167" i="4"/>
  <c r="CK170" i="4"/>
  <c r="T199" i="4"/>
  <c r="U199" i="4" s="1"/>
  <c r="CZ187" i="4"/>
  <c r="DF186" i="4"/>
  <c r="DG186" i="4" s="1"/>
  <c r="DA187" i="4"/>
  <c r="AX168" i="4"/>
  <c r="BD167" i="4"/>
  <c r="BE167" i="4" s="1"/>
  <c r="AY168" i="4"/>
  <c r="BJ184" i="4"/>
  <c r="CR205" i="4"/>
  <c r="CP205" i="4"/>
  <c r="CU205" i="4" s="1"/>
  <c r="CW204" i="4"/>
  <c r="CX204" i="4" s="1"/>
  <c r="AP194" i="4"/>
  <c r="AN194" i="4"/>
  <c r="AS194" i="4" s="1"/>
  <c r="AU193" i="4"/>
  <c r="AV193" i="4" s="1"/>
  <c r="Q200" i="4"/>
  <c r="BO195" i="4"/>
  <c r="BS195" i="4" s="1"/>
  <c r="CH171" i="4" l="1"/>
  <c r="CI171" i="4"/>
  <c r="CN170" i="4"/>
  <c r="CO170" i="4" s="1"/>
  <c r="Z167" i="4"/>
  <c r="DI175" i="4"/>
  <c r="DO174" i="4"/>
  <c r="DP174" i="4" s="1"/>
  <c r="DJ175" i="4"/>
  <c r="AL163" i="4"/>
  <c r="AM163" i="4" s="1"/>
  <c r="AF164" i="4"/>
  <c r="AE164" i="4" s="1"/>
  <c r="AJ164" i="4" s="1"/>
  <c r="AG164" i="4"/>
  <c r="CY187" i="4"/>
  <c r="BX191" i="4"/>
  <c r="AW168" i="4"/>
  <c r="BG185" i="4"/>
  <c r="BF185" i="4" s="1"/>
  <c r="BK185" i="4" s="1"/>
  <c r="BM184" i="4"/>
  <c r="BN184" i="4" s="1"/>
  <c r="BH185" i="4"/>
  <c r="CT205" i="4"/>
  <c r="CR206" i="4" s="1"/>
  <c r="CP206" i="4" s="1"/>
  <c r="CU206" i="4" s="1"/>
  <c r="BT195" i="4"/>
  <c r="AR194" i="4"/>
  <c r="O201" i="4"/>
  <c r="M201" i="4" s="1"/>
  <c r="R201" i="4" s="1"/>
  <c r="T200" i="4"/>
  <c r="U200" i="4" s="1"/>
  <c r="BQ196" i="4"/>
  <c r="BV195" i="4"/>
  <c r="BW195" i="4" s="1"/>
  <c r="BO196" i="4"/>
  <c r="BT196" i="4" s="1"/>
  <c r="CC191" i="4" l="1"/>
  <c r="CB191" i="4"/>
  <c r="AI164" i="4"/>
  <c r="DC187" i="4"/>
  <c r="DD187" i="4"/>
  <c r="BJ185" i="4"/>
  <c r="BH186" i="4" s="1"/>
  <c r="W168" i="4"/>
  <c r="X168" i="4"/>
  <c r="AC167" i="4"/>
  <c r="AD167" i="4" s="1"/>
  <c r="DH175" i="4"/>
  <c r="CG171" i="4"/>
  <c r="BG186" i="4"/>
  <c r="BM185" i="4"/>
  <c r="BN185" i="4" s="1"/>
  <c r="CW205" i="4"/>
  <c r="CX205" i="4" s="1"/>
  <c r="BB168" i="4"/>
  <c r="BA168" i="4"/>
  <c r="CT206" i="4"/>
  <c r="AU194" i="4"/>
  <c r="AV194" i="4" s="1"/>
  <c r="AP195" i="4"/>
  <c r="AN195" i="4" s="1"/>
  <c r="AS195" i="4" s="1"/>
  <c r="BS196" i="4"/>
  <c r="Q201" i="4"/>
  <c r="CL171" i="4" l="1"/>
  <c r="CK171" i="4"/>
  <c r="DL175" i="4"/>
  <c r="DM175" i="4"/>
  <c r="V168" i="4"/>
  <c r="CZ188" i="4"/>
  <c r="CY188" i="4" s="1"/>
  <c r="DC188" i="4" s="1"/>
  <c r="DA188" i="4"/>
  <c r="DF187" i="4"/>
  <c r="DG187" i="4" s="1"/>
  <c r="AF165" i="4"/>
  <c r="AL164" i="4"/>
  <c r="AM164" i="4" s="1"/>
  <c r="AG165" i="4"/>
  <c r="BY192" i="4"/>
  <c r="BX192" i="4" s="1"/>
  <c r="BZ192" i="4"/>
  <c r="CE191" i="4"/>
  <c r="CF191" i="4" s="1"/>
  <c r="AX169" i="4"/>
  <c r="AW169" i="4" s="1"/>
  <c r="BB169" i="4" s="1"/>
  <c r="AY169" i="4"/>
  <c r="BD168" i="4"/>
  <c r="BE168" i="4" s="1"/>
  <c r="BF186" i="4"/>
  <c r="CR207" i="4"/>
  <c r="CP207" i="4" s="1"/>
  <c r="CU207" i="4" s="1"/>
  <c r="CW206" i="4"/>
  <c r="CX206" i="4" s="1"/>
  <c r="AR195" i="4"/>
  <c r="BQ197" i="4"/>
  <c r="BV196" i="4"/>
  <c r="BW196" i="4" s="1"/>
  <c r="BO197" i="4"/>
  <c r="BT197" i="4" s="1"/>
  <c r="O202" i="4"/>
  <c r="M202" i="4" s="1"/>
  <c r="R202" i="4" s="1"/>
  <c r="T201" i="4"/>
  <c r="U201" i="4" s="1"/>
  <c r="CC192" i="4" l="1"/>
  <c r="CB192" i="4"/>
  <c r="AA168" i="4"/>
  <c r="Z168" i="4"/>
  <c r="CZ189" i="4"/>
  <c r="DA189" i="4"/>
  <c r="DF188" i="4"/>
  <c r="DG188" i="4" s="1"/>
  <c r="AE165" i="4"/>
  <c r="DD188" i="4"/>
  <c r="DI176" i="4"/>
  <c r="DO175" i="4"/>
  <c r="DP175" i="4" s="1"/>
  <c r="DJ176" i="4"/>
  <c r="CH172" i="4"/>
  <c r="CG172" i="4" s="1"/>
  <c r="CK172" i="4" s="1"/>
  <c r="CI172" i="4"/>
  <c r="CN171" i="4"/>
  <c r="CO171" i="4" s="1"/>
  <c r="BA169" i="4"/>
  <c r="BK186" i="4"/>
  <c r="BJ186" i="4"/>
  <c r="CT207" i="4"/>
  <c r="AP196" i="4"/>
  <c r="AU195" i="4"/>
  <c r="AV195" i="4" s="1"/>
  <c r="AN196" i="4"/>
  <c r="AS196" i="4" s="1"/>
  <c r="Q202" i="4"/>
  <c r="BS197" i="4"/>
  <c r="CH173" i="4" l="1"/>
  <c r="CI173" i="4"/>
  <c r="CN172" i="4"/>
  <c r="CO172" i="4" s="1"/>
  <c r="DH176" i="4"/>
  <c r="AJ165" i="4"/>
  <c r="AI165" i="4"/>
  <c r="CY189" i="4"/>
  <c r="DC189" i="4" s="1"/>
  <c r="W169" i="4"/>
  <c r="X169" i="4"/>
  <c r="AC168" i="4"/>
  <c r="AD168" i="4" s="1"/>
  <c r="CL172" i="4"/>
  <c r="BY193" i="4"/>
  <c r="BX193" i="4" s="1"/>
  <c r="CE192" i="4"/>
  <c r="CF192" i="4" s="1"/>
  <c r="BZ193" i="4"/>
  <c r="BG187" i="4"/>
  <c r="BH187" i="4"/>
  <c r="BM186" i="4"/>
  <c r="BN186" i="4" s="1"/>
  <c r="AX170" i="4"/>
  <c r="AY170" i="4"/>
  <c r="BD169" i="4"/>
  <c r="BE169" i="4" s="1"/>
  <c r="CW207" i="4"/>
  <c r="CX207" i="4" s="1"/>
  <c r="CR208" i="4"/>
  <c r="CP208" i="4" s="1"/>
  <c r="CU208" i="4" s="1"/>
  <c r="AR196" i="4"/>
  <c r="BV197" i="4"/>
  <c r="BW197" i="4" s="1"/>
  <c r="BQ198" i="4"/>
  <c r="O203" i="4"/>
  <c r="T202" i="4"/>
  <c r="U202" i="4" s="1"/>
  <c r="M203" i="4"/>
  <c r="R203" i="4" s="1"/>
  <c r="CZ190" i="4" l="1"/>
  <c r="DF189" i="4"/>
  <c r="DG189" i="4" s="1"/>
  <c r="DA190" i="4"/>
  <c r="AF166" i="4"/>
  <c r="AL165" i="4"/>
  <c r="AM165" i="4" s="1"/>
  <c r="AG166" i="4"/>
  <c r="DM176" i="4"/>
  <c r="DL176" i="4"/>
  <c r="DD189" i="4"/>
  <c r="V169" i="4"/>
  <c r="CC193" i="4"/>
  <c r="CB193" i="4"/>
  <c r="CG173" i="4"/>
  <c r="BF187" i="4"/>
  <c r="AW170" i="4"/>
  <c r="CT208" i="4"/>
  <c r="AP197" i="4"/>
  <c r="AN197" i="4" s="1"/>
  <c r="AS197" i="4" s="1"/>
  <c r="AU196" i="4"/>
  <c r="AV196" i="4" s="1"/>
  <c r="Q203" i="4"/>
  <c r="BO198" i="4"/>
  <c r="BY194" i="4" l="1"/>
  <c r="CE193" i="4"/>
  <c r="CF193" i="4" s="1"/>
  <c r="BZ194" i="4"/>
  <c r="AA169" i="4"/>
  <c r="Z169" i="4"/>
  <c r="DJ177" i="4"/>
  <c r="DO176" i="4"/>
  <c r="DP176" i="4" s="1"/>
  <c r="DI177" i="4"/>
  <c r="DH177" i="4" s="1"/>
  <c r="DM177" i="4" s="1"/>
  <c r="AE166" i="4"/>
  <c r="CL173" i="4"/>
  <c r="CK173" i="4"/>
  <c r="CY190" i="4"/>
  <c r="DC190" i="4" s="1"/>
  <c r="BJ187" i="4"/>
  <c r="BK187" i="4"/>
  <c r="BB170" i="4"/>
  <c r="BA170" i="4"/>
  <c r="CW208" i="4"/>
  <c r="CX208" i="4" s="1"/>
  <c r="CR209" i="4"/>
  <c r="AR197" i="4"/>
  <c r="AU197" i="4"/>
  <c r="AV197" i="4" s="1"/>
  <c r="AP198" i="4"/>
  <c r="O204" i="4"/>
  <c r="M204" i="4" s="1"/>
  <c r="R204" i="4" s="1"/>
  <c r="T203" i="4"/>
  <c r="U203" i="4" s="1"/>
  <c r="BT198" i="4"/>
  <c r="BS198" i="4"/>
  <c r="CH174" i="4" l="1"/>
  <c r="CN173" i="4"/>
  <c r="CO173" i="4" s="1"/>
  <c r="CI174" i="4"/>
  <c r="CZ191" i="4"/>
  <c r="DF190" i="4"/>
  <c r="DG190" i="4" s="1"/>
  <c r="DA191" i="4"/>
  <c r="AJ166" i="4"/>
  <c r="AI166" i="4"/>
  <c r="DL177" i="4"/>
  <c r="W170" i="4"/>
  <c r="V170" i="4" s="1"/>
  <c r="Z170" i="4" s="1"/>
  <c r="X170" i="4"/>
  <c r="AC169" i="4"/>
  <c r="AD169" i="4" s="1"/>
  <c r="BX194" i="4"/>
  <c r="DD190" i="4"/>
  <c r="AX171" i="4"/>
  <c r="AY171" i="4"/>
  <c r="BD170" i="4"/>
  <c r="BE170" i="4" s="1"/>
  <c r="BG188" i="4"/>
  <c r="BM187" i="4"/>
  <c r="BN187" i="4" s="1"/>
  <c r="BH188" i="4"/>
  <c r="CP209" i="4"/>
  <c r="AN198" i="4"/>
  <c r="BQ199" i="4"/>
  <c r="BV198" i="4"/>
  <c r="BW198" i="4" s="1"/>
  <c r="Q204" i="4"/>
  <c r="W171" i="4" l="1"/>
  <c r="X171" i="4"/>
  <c r="AC170" i="4"/>
  <c r="AD170" i="4" s="1"/>
  <c r="DI178" i="4"/>
  <c r="DJ178" i="4"/>
  <c r="DO177" i="4"/>
  <c r="DP177" i="4" s="1"/>
  <c r="AL166" i="4"/>
  <c r="AM166" i="4" s="1"/>
  <c r="AF167" i="4"/>
  <c r="AG167" i="4"/>
  <c r="AE167" i="4" s="1"/>
  <c r="AJ167" i="4" s="1"/>
  <c r="CY191" i="4"/>
  <c r="DC191" i="4" s="1"/>
  <c r="AA170" i="4"/>
  <c r="AW171" i="4"/>
  <c r="BB171" i="4" s="1"/>
  <c r="CC194" i="4"/>
  <c r="CB194" i="4"/>
  <c r="CG174" i="4"/>
  <c r="BF188" i="4"/>
  <c r="CU209" i="4"/>
  <c r="CT209" i="4"/>
  <c r="AR198" i="4"/>
  <c r="AS198" i="4"/>
  <c r="T204" i="4"/>
  <c r="U204" i="4" s="1"/>
  <c r="O205" i="4"/>
  <c r="BO199" i="4"/>
  <c r="CZ192" i="4" l="1"/>
  <c r="DF191" i="4"/>
  <c r="DG191" i="4" s="1"/>
  <c r="DA192" i="4"/>
  <c r="V171" i="4"/>
  <c r="Z171" i="4" s="1"/>
  <c r="AI167" i="4"/>
  <c r="BA171" i="4"/>
  <c r="CL174" i="4"/>
  <c r="CK174" i="4"/>
  <c r="DH178" i="4"/>
  <c r="BZ195" i="4"/>
  <c r="CE194" i="4"/>
  <c r="CF194" i="4" s="1"/>
  <c r="BY195" i="4"/>
  <c r="BX195" i="4" s="1"/>
  <c r="CC195" i="4" s="1"/>
  <c r="DD191" i="4"/>
  <c r="AX172" i="4"/>
  <c r="BD171" i="4"/>
  <c r="BE171" i="4" s="1"/>
  <c r="AY172" i="4"/>
  <c r="BK188" i="4"/>
  <c r="BJ188" i="4"/>
  <c r="CW209" i="4"/>
  <c r="CX209" i="4" s="1"/>
  <c r="CR210" i="4"/>
  <c r="CP210" i="4" s="1"/>
  <c r="CT210" i="4" s="1"/>
  <c r="AP199" i="4"/>
  <c r="AU198" i="4"/>
  <c r="AV198" i="4" s="1"/>
  <c r="M205" i="4"/>
  <c r="R205" i="4" s="1"/>
  <c r="BT199" i="4"/>
  <c r="BS199" i="4"/>
  <c r="Q205" i="4"/>
  <c r="W172" i="4" l="1"/>
  <c r="AC171" i="4"/>
  <c r="AD171" i="4" s="1"/>
  <c r="X172" i="4"/>
  <c r="CY192" i="4"/>
  <c r="DC192" i="4" s="1"/>
  <c r="AA171" i="4"/>
  <c r="DD192" i="4"/>
  <c r="DM178" i="4"/>
  <c r="DL178" i="4"/>
  <c r="CH175" i="4"/>
  <c r="CN174" i="4"/>
  <c r="CO174" i="4" s="1"/>
  <c r="CI175" i="4"/>
  <c r="CG175" i="4" s="1"/>
  <c r="CL175" i="4" s="1"/>
  <c r="CK175" i="4"/>
  <c r="CB195" i="4"/>
  <c r="BY196" i="4" s="1"/>
  <c r="AF168" i="4"/>
  <c r="AE168" i="4" s="1"/>
  <c r="AJ168" i="4" s="1"/>
  <c r="AG168" i="4"/>
  <c r="AL167" i="4"/>
  <c r="AM167" i="4" s="1"/>
  <c r="AW172" i="4"/>
  <c r="BB172" i="4" s="1"/>
  <c r="BA172" i="4"/>
  <c r="BG189" i="4"/>
  <c r="BM188" i="4"/>
  <c r="BN188" i="4" s="1"/>
  <c r="BH189" i="4"/>
  <c r="CR211" i="4"/>
  <c r="CW210" i="4"/>
  <c r="CX210" i="4" s="1"/>
  <c r="CU210" i="4"/>
  <c r="AN199" i="4"/>
  <c r="O206" i="4"/>
  <c r="T205" i="4"/>
  <c r="U205" i="4" s="1"/>
  <c r="BQ200" i="4"/>
  <c r="BV199" i="4"/>
  <c r="BW199" i="4" s="1"/>
  <c r="BO200" i="4"/>
  <c r="BS200" i="4" s="1"/>
  <c r="CH176" i="4" l="1"/>
  <c r="CN175" i="4"/>
  <c r="CO175" i="4" s="1"/>
  <c r="CI176" i="4"/>
  <c r="CG176" i="4" s="1"/>
  <c r="CL176" i="4" s="1"/>
  <c r="CK176" i="4"/>
  <c r="CE195" i="4"/>
  <c r="CF195" i="4" s="1"/>
  <c r="DI179" i="4"/>
  <c r="DJ179" i="4"/>
  <c r="DO178" i="4"/>
  <c r="DP178" i="4" s="1"/>
  <c r="BZ196" i="4"/>
  <c r="AA172" i="4"/>
  <c r="CZ193" i="4"/>
  <c r="DA193" i="4"/>
  <c r="CY193" i="4" s="1"/>
  <c r="DC193" i="4" s="1"/>
  <c r="DF192" i="4"/>
  <c r="DG192" i="4" s="1"/>
  <c r="AI168" i="4"/>
  <c r="V172" i="4"/>
  <c r="Z172" i="4" s="1"/>
  <c r="BF189" i="4"/>
  <c r="CP211" i="4"/>
  <c r="CT211" i="4" s="1"/>
  <c r="CW211" i="4" s="1"/>
  <c r="CX211" i="4" s="1"/>
  <c r="BX196" i="4"/>
  <c r="AX173" i="4"/>
  <c r="BD172" i="4"/>
  <c r="BE172" i="4" s="1"/>
  <c r="AY173" i="4"/>
  <c r="BT200" i="4"/>
  <c r="AR199" i="4"/>
  <c r="AS199" i="4"/>
  <c r="BV200" i="4"/>
  <c r="BW200" i="4" s="1"/>
  <c r="BQ201" i="4"/>
  <c r="M206" i="4"/>
  <c r="CZ194" i="4" l="1"/>
  <c r="DA194" i="4"/>
  <c r="DF193" i="4"/>
  <c r="DG193" i="4" s="1"/>
  <c r="AW173" i="4"/>
  <c r="BB173" i="4" s="1"/>
  <c r="BO201" i="4"/>
  <c r="BS201" i="4" s="1"/>
  <c r="W173" i="4"/>
  <c r="X173" i="4"/>
  <c r="AC172" i="4"/>
  <c r="AD172" i="4" s="1"/>
  <c r="CL177" i="4"/>
  <c r="AL168" i="4"/>
  <c r="AM168" i="4" s="1"/>
  <c r="AG169" i="4"/>
  <c r="AF169" i="4"/>
  <c r="AE169" i="4" s="1"/>
  <c r="AJ169" i="4" s="1"/>
  <c r="V173" i="4"/>
  <c r="Z173" i="4" s="1"/>
  <c r="AA173" i="4"/>
  <c r="DD193" i="4"/>
  <c r="DH179" i="4"/>
  <c r="CH177" i="4"/>
  <c r="CI177" i="4"/>
  <c r="CG177" i="4" s="1"/>
  <c r="CN176" i="4"/>
  <c r="CO176" i="4" s="1"/>
  <c r="CK177" i="4"/>
  <c r="BA173" i="4"/>
  <c r="CB196" i="4"/>
  <c r="CC196" i="4"/>
  <c r="BK189" i="4"/>
  <c r="BJ189" i="4"/>
  <c r="CU211" i="4"/>
  <c r="CR212" i="4"/>
  <c r="BT201" i="4"/>
  <c r="AU199" i="4"/>
  <c r="AV199" i="4" s="1"/>
  <c r="AP200" i="4"/>
  <c r="AN200" i="4" s="1"/>
  <c r="AR200" i="4" s="1"/>
  <c r="BQ202" i="4"/>
  <c r="BV201" i="4"/>
  <c r="BW201" i="4" s="1"/>
  <c r="R206" i="4"/>
  <c r="Q206" i="4"/>
  <c r="W174" i="4" l="1"/>
  <c r="AC173" i="4"/>
  <c r="AD173" i="4" s="1"/>
  <c r="X174" i="4"/>
  <c r="AI169" i="4"/>
  <c r="CY194" i="4"/>
  <c r="DC194" i="4" s="1"/>
  <c r="DD194" i="4"/>
  <c r="BO202" i="4"/>
  <c r="BS202" i="4" s="1"/>
  <c r="BV202" i="4" s="1"/>
  <c r="BW202" i="4" s="1"/>
  <c r="CH178" i="4"/>
  <c r="CG178" i="4" s="1"/>
  <c r="CL178" i="4" s="1"/>
  <c r="CI178" i="4"/>
  <c r="CN177" i="4"/>
  <c r="CO177" i="4" s="1"/>
  <c r="CK178" i="4"/>
  <c r="CP212" i="4"/>
  <c r="CU212" i="4" s="1"/>
  <c r="DM179" i="4"/>
  <c r="DL179" i="4"/>
  <c r="AX174" i="4"/>
  <c r="AW174" i="4" s="1"/>
  <c r="BB174" i="4" s="1"/>
  <c r="AY174" i="4"/>
  <c r="BD173" i="4"/>
  <c r="BE173" i="4" s="1"/>
  <c r="BG190" i="4"/>
  <c r="BF190" i="4" s="1"/>
  <c r="BK190" i="4" s="1"/>
  <c r="BH190" i="4"/>
  <c r="BM189" i="4"/>
  <c r="BN189" i="4" s="1"/>
  <c r="BY197" i="4"/>
  <c r="BX197" i="4" s="1"/>
  <c r="CC197" i="4" s="1"/>
  <c r="CE196" i="4"/>
  <c r="CF196" i="4" s="1"/>
  <c r="BZ197" i="4"/>
  <c r="CT212" i="4"/>
  <c r="CW212" i="4" s="1"/>
  <c r="CX212" i="4" s="1"/>
  <c r="CR213" i="4"/>
  <c r="CP213" i="4"/>
  <c r="CU213" i="4" s="1"/>
  <c r="BT202" i="4"/>
  <c r="AU200" i="4"/>
  <c r="AV200" i="4" s="1"/>
  <c r="AP201" i="4"/>
  <c r="AS200" i="4"/>
  <c r="AN201" i="4" s="1"/>
  <c r="AR201" i="4" s="1"/>
  <c r="T206" i="4"/>
  <c r="U206" i="4" s="1"/>
  <c r="O207" i="4"/>
  <c r="M207" i="4"/>
  <c r="Q207" i="4" s="1"/>
  <c r="CH179" i="4" l="1"/>
  <c r="CI179" i="4"/>
  <c r="CN178" i="4"/>
  <c r="CO178" i="4" s="1"/>
  <c r="CZ195" i="4"/>
  <c r="DA195" i="4"/>
  <c r="DF194" i="4"/>
  <c r="DG194" i="4" s="1"/>
  <c r="AF170" i="4"/>
  <c r="AG170" i="4"/>
  <c r="AL169" i="4"/>
  <c r="AM169" i="4" s="1"/>
  <c r="BQ203" i="4"/>
  <c r="BO203" i="4" s="1"/>
  <c r="DI180" i="4"/>
  <c r="DH180" i="4" s="1"/>
  <c r="DL180" i="4" s="1"/>
  <c r="DO179" i="4"/>
  <c r="DP179" i="4" s="1"/>
  <c r="DJ180" i="4"/>
  <c r="V174" i="4"/>
  <c r="BJ190" i="4"/>
  <c r="BA174" i="4"/>
  <c r="R207" i="4"/>
  <c r="M208" i="4" s="1"/>
  <c r="R208" i="4" s="1"/>
  <c r="CB197" i="4"/>
  <c r="CT213" i="4"/>
  <c r="AS201" i="4"/>
  <c r="AU201" i="4"/>
  <c r="AV201" i="4" s="1"/>
  <c r="AP202" i="4"/>
  <c r="AN202" i="4"/>
  <c r="AR202" i="4" s="1"/>
  <c r="O208" i="4"/>
  <c r="T207" i="4"/>
  <c r="U207" i="4" s="1"/>
  <c r="DI181" i="4" l="1"/>
  <c r="DO180" i="4"/>
  <c r="DP180" i="4" s="1"/>
  <c r="DJ181" i="4"/>
  <c r="BS203" i="4"/>
  <c r="BT203" i="4"/>
  <c r="DM180" i="4"/>
  <c r="AE170" i="4"/>
  <c r="CY195" i="4"/>
  <c r="Z174" i="4"/>
  <c r="AA174" i="4"/>
  <c r="CG179" i="4"/>
  <c r="BY198" i="4"/>
  <c r="BZ198" i="4"/>
  <c r="CE197" i="4"/>
  <c r="CF197" i="4" s="1"/>
  <c r="AX175" i="4"/>
  <c r="BD174" i="4"/>
  <c r="BE174" i="4" s="1"/>
  <c r="AY175" i="4"/>
  <c r="BG191" i="4"/>
  <c r="BH191" i="4"/>
  <c r="BM190" i="4"/>
  <c r="BN190" i="4" s="1"/>
  <c r="CR214" i="4"/>
  <c r="CP214" i="4" s="1"/>
  <c r="CU214" i="4" s="1"/>
  <c r="CW213" i="4"/>
  <c r="CX213" i="4" s="1"/>
  <c r="AP203" i="4"/>
  <c r="AU202" i="4"/>
  <c r="AV202" i="4" s="1"/>
  <c r="AS202" i="4"/>
  <c r="AN203" i="4" s="1"/>
  <c r="AR203" i="4" s="1"/>
  <c r="Q208" i="4"/>
  <c r="AC174" i="4" l="1"/>
  <c r="AD174" i="4" s="1"/>
  <c r="W175" i="4"/>
  <c r="X175" i="4"/>
  <c r="AJ170" i="4"/>
  <c r="AI170" i="4"/>
  <c r="BV203" i="4"/>
  <c r="BW203" i="4" s="1"/>
  <c r="BQ204" i="4"/>
  <c r="BO204" i="4" s="1"/>
  <c r="BS204" i="4" s="1"/>
  <c r="CL179" i="4"/>
  <c r="CK179" i="4"/>
  <c r="BF191" i="4"/>
  <c r="BK191" i="4" s="1"/>
  <c r="DC195" i="4"/>
  <c r="DD195" i="4"/>
  <c r="DH181" i="4"/>
  <c r="AW175" i="4"/>
  <c r="BX198" i="4"/>
  <c r="CT214" i="4"/>
  <c r="AS203" i="4"/>
  <c r="AP204" i="4"/>
  <c r="AU203" i="4"/>
  <c r="AV203" i="4" s="1"/>
  <c r="T208" i="4"/>
  <c r="U208" i="4" s="1"/>
  <c r="O209" i="4"/>
  <c r="M209" i="4"/>
  <c r="R209" i="4" s="1"/>
  <c r="CZ196" i="4" l="1"/>
  <c r="DF195" i="4"/>
  <c r="DG195" i="4" s="1"/>
  <c r="DA196" i="4"/>
  <c r="BT204" i="4"/>
  <c r="CH180" i="4"/>
  <c r="CI180" i="4"/>
  <c r="CN179" i="4"/>
  <c r="CO179" i="4" s="1"/>
  <c r="CY196" i="4"/>
  <c r="DC196" i="4" s="1"/>
  <c r="DD196" i="4"/>
  <c r="BJ191" i="4"/>
  <c r="BG192" i="4" s="1"/>
  <c r="AF171" i="4"/>
  <c r="AG171" i="4"/>
  <c r="AL170" i="4"/>
  <c r="AM170" i="4" s="1"/>
  <c r="V175" i="4"/>
  <c r="DM181" i="4"/>
  <c r="DL181" i="4"/>
  <c r="CC198" i="4"/>
  <c r="CB198" i="4"/>
  <c r="BB175" i="4"/>
  <c r="BA175" i="4"/>
  <c r="CW214" i="4"/>
  <c r="CX214" i="4" s="1"/>
  <c r="CR215" i="4"/>
  <c r="BQ205" i="4"/>
  <c r="BV204" i="4"/>
  <c r="BW204" i="4" s="1"/>
  <c r="BO205" i="4"/>
  <c r="BS205" i="4" s="1"/>
  <c r="AN204" i="4"/>
  <c r="Q209" i="4"/>
  <c r="BH192" i="4" l="1"/>
  <c r="BF192" i="4" s="1"/>
  <c r="DI182" i="4"/>
  <c r="DH182" i="4" s="1"/>
  <c r="DL182" i="4" s="1"/>
  <c r="DO181" i="4"/>
  <c r="DP181" i="4" s="1"/>
  <c r="DJ182" i="4"/>
  <c r="AE171" i="4"/>
  <c r="CZ197" i="4"/>
  <c r="DA197" i="4"/>
  <c r="DF196" i="4"/>
  <c r="DG196" i="4" s="1"/>
  <c r="BM191" i="4"/>
  <c r="BN191" i="4" s="1"/>
  <c r="CG180" i="4"/>
  <c r="Z175" i="4"/>
  <c r="AA175" i="4"/>
  <c r="AX176" i="4"/>
  <c r="BD175" i="4"/>
  <c r="BE175" i="4" s="1"/>
  <c r="AY176" i="4"/>
  <c r="BY199" i="4"/>
  <c r="BX199" i="4" s="1"/>
  <c r="CC199" i="4" s="1"/>
  <c r="BZ199" i="4"/>
  <c r="CE198" i="4"/>
  <c r="CF198" i="4" s="1"/>
  <c r="CP215" i="4"/>
  <c r="BQ206" i="4"/>
  <c r="BV205" i="4"/>
  <c r="BW205" i="4" s="1"/>
  <c r="BT205" i="4"/>
  <c r="AR204" i="4"/>
  <c r="AS204" i="4"/>
  <c r="O210" i="4"/>
  <c r="T209" i="4"/>
  <c r="U209" i="4" s="1"/>
  <c r="M210" i="4"/>
  <c r="R210" i="4" s="1"/>
  <c r="DO182" i="4" l="1"/>
  <c r="DP182" i="4" s="1"/>
  <c r="DJ183" i="4"/>
  <c r="DI183" i="4"/>
  <c r="DM182" i="4"/>
  <c r="W176" i="4"/>
  <c r="X176" i="4"/>
  <c r="AC175" i="4"/>
  <c r="AD175" i="4" s="1"/>
  <c r="CL180" i="4"/>
  <c r="CK180" i="4"/>
  <c r="CY197" i="4"/>
  <c r="AJ171" i="4"/>
  <c r="AI171" i="4"/>
  <c r="CB199" i="4"/>
  <c r="BK192" i="4"/>
  <c r="BJ192" i="4"/>
  <c r="AW176" i="4"/>
  <c r="CU215" i="4"/>
  <c r="CT215" i="4"/>
  <c r="BO206" i="4"/>
  <c r="BS206" i="4" s="1"/>
  <c r="BV206" i="4" s="1"/>
  <c r="BW206" i="4" s="1"/>
  <c r="AU204" i="4"/>
  <c r="AV204" i="4" s="1"/>
  <c r="AP205" i="4"/>
  <c r="AN205" i="4" s="1"/>
  <c r="AS205" i="4" s="1"/>
  <c r="Q210" i="4"/>
  <c r="AL171" i="4" l="1"/>
  <c r="AM171" i="4" s="1"/>
  <c r="AF172" i="4"/>
  <c r="AE172" i="4" s="1"/>
  <c r="AJ172" i="4" s="1"/>
  <c r="AG172" i="4"/>
  <c r="AI172" i="4"/>
  <c r="CH181" i="4"/>
  <c r="CG181" i="4" s="1"/>
  <c r="CK181" i="4" s="1"/>
  <c r="CI181" i="4"/>
  <c r="CN180" i="4"/>
  <c r="CO180" i="4" s="1"/>
  <c r="V176" i="4"/>
  <c r="DC197" i="4"/>
  <c r="DD197" i="4"/>
  <c r="DH183" i="4"/>
  <c r="BB176" i="4"/>
  <c r="BA176" i="4"/>
  <c r="BG193" i="4"/>
  <c r="BH193" i="4"/>
  <c r="BM192" i="4"/>
  <c r="BN192" i="4" s="1"/>
  <c r="BY200" i="4"/>
  <c r="BX200" i="4" s="1"/>
  <c r="CC200" i="4" s="1"/>
  <c r="CE199" i="4"/>
  <c r="CF199" i="4" s="1"/>
  <c r="BZ200" i="4"/>
  <c r="CR216" i="4"/>
  <c r="CP216" i="4" s="1"/>
  <c r="CU216" i="4" s="1"/>
  <c r="CW215" i="4"/>
  <c r="CX215" i="4" s="1"/>
  <c r="BQ207" i="4"/>
  <c r="BO207" i="4" s="1"/>
  <c r="BT206" i="4"/>
  <c r="AR205" i="4"/>
  <c r="T210" i="4"/>
  <c r="U210" i="4" s="1"/>
  <c r="O211" i="4"/>
  <c r="M211" i="4"/>
  <c r="R211" i="4" s="1"/>
  <c r="CH182" i="4" l="1"/>
  <c r="CI182" i="4"/>
  <c r="CN181" i="4"/>
  <c r="CO181" i="4" s="1"/>
  <c r="AA176" i="4"/>
  <c r="Z176" i="4"/>
  <c r="BF193" i="4"/>
  <c r="BK193" i="4" s="1"/>
  <c r="CZ198" i="4"/>
  <c r="DF197" i="4"/>
  <c r="DG197" i="4" s="1"/>
  <c r="DA198" i="4"/>
  <c r="CY198" i="4" s="1"/>
  <c r="DC198" i="4" s="1"/>
  <c r="AL172" i="4"/>
  <c r="AM172" i="4" s="1"/>
  <c r="AG173" i="4"/>
  <c r="AF173" i="4"/>
  <c r="AE173" i="4" s="1"/>
  <c r="AJ173" i="4" s="1"/>
  <c r="CL181" i="4"/>
  <c r="DM183" i="4"/>
  <c r="DL183" i="4"/>
  <c r="BJ193" i="4"/>
  <c r="AX177" i="4"/>
  <c r="BD176" i="4"/>
  <c r="BE176" i="4" s="1"/>
  <c r="AY177" i="4"/>
  <c r="CB200" i="4"/>
  <c r="CT216" i="4"/>
  <c r="BS207" i="4"/>
  <c r="BT207" i="4"/>
  <c r="AU205" i="4"/>
  <c r="AV205" i="4" s="1"/>
  <c r="AP206" i="4"/>
  <c r="AN206" i="4" s="1"/>
  <c r="AS206" i="4" s="1"/>
  <c r="Q211" i="4"/>
  <c r="CZ199" i="4" l="1"/>
  <c r="DF198" i="4"/>
  <c r="DG198" i="4" s="1"/>
  <c r="DA199" i="4"/>
  <c r="AC176" i="4"/>
  <c r="AD176" i="4" s="1"/>
  <c r="W177" i="4"/>
  <c r="X177" i="4"/>
  <c r="DD198" i="4"/>
  <c r="DI184" i="4"/>
  <c r="DH184" i="4" s="1"/>
  <c r="DJ184" i="4"/>
  <c r="DO183" i="4"/>
  <c r="DP183" i="4" s="1"/>
  <c r="AI173" i="4"/>
  <c r="CL182" i="4"/>
  <c r="CG182" i="4"/>
  <c r="CK182" i="4" s="1"/>
  <c r="BY201" i="4"/>
  <c r="BX201" i="4" s="1"/>
  <c r="CC201" i="4" s="1"/>
  <c r="CE200" i="4"/>
  <c r="CF200" i="4" s="1"/>
  <c r="BZ201" i="4"/>
  <c r="AW177" i="4"/>
  <c r="BG194" i="4"/>
  <c r="BH194" i="4"/>
  <c r="BM193" i="4"/>
  <c r="BN193" i="4" s="1"/>
  <c r="CR217" i="4"/>
  <c r="CP217" i="4" s="1"/>
  <c r="CU217" i="4" s="1"/>
  <c r="CW216" i="4"/>
  <c r="CX216" i="4" s="1"/>
  <c r="BQ208" i="4"/>
  <c r="BV207" i="4"/>
  <c r="BW207" i="4" s="1"/>
  <c r="BO208" i="4"/>
  <c r="BS208" i="4" s="1"/>
  <c r="AR206" i="4"/>
  <c r="T211" i="4"/>
  <c r="U211" i="4" s="1"/>
  <c r="O212" i="4"/>
  <c r="M212" i="4" s="1"/>
  <c r="R212" i="4" s="1"/>
  <c r="DM184" i="4" l="1"/>
  <c r="DL184" i="4"/>
  <c r="AF174" i="4"/>
  <c r="AL173" i="4"/>
  <c r="AM173" i="4" s="1"/>
  <c r="AG174" i="4"/>
  <c r="BF194" i="4"/>
  <c r="V177" i="4"/>
  <c r="CY199" i="4"/>
  <c r="DC199" i="4" s="1"/>
  <c r="CH183" i="4"/>
  <c r="CI183" i="4"/>
  <c r="CN182" i="4"/>
  <c r="CO182" i="4" s="1"/>
  <c r="BA177" i="4"/>
  <c r="BB177" i="4"/>
  <c r="CB201" i="4"/>
  <c r="CT217" i="4"/>
  <c r="BQ209" i="4"/>
  <c r="BV208" i="4"/>
  <c r="BW208" i="4" s="1"/>
  <c r="BT208" i="4"/>
  <c r="AU206" i="4"/>
  <c r="AV206" i="4" s="1"/>
  <c r="AP207" i="4"/>
  <c r="AN207" i="4"/>
  <c r="AS207" i="4" s="1"/>
  <c r="Q212" i="4"/>
  <c r="BK194" i="4" l="1"/>
  <c r="BJ194" i="4"/>
  <c r="CZ200" i="4"/>
  <c r="DA200" i="4"/>
  <c r="DF199" i="4"/>
  <c r="DG199" i="4" s="1"/>
  <c r="AE174" i="4"/>
  <c r="DO184" i="4"/>
  <c r="DP184" i="4" s="1"/>
  <c r="DI185" i="4"/>
  <c r="DJ185" i="4"/>
  <c r="CG183" i="4"/>
  <c r="AA177" i="4"/>
  <c r="Z177" i="4"/>
  <c r="DD199" i="4"/>
  <c r="BY202" i="4"/>
  <c r="BZ202" i="4"/>
  <c r="CE201" i="4"/>
  <c r="CF201" i="4" s="1"/>
  <c r="AX178" i="4"/>
  <c r="BD177" i="4"/>
  <c r="BE177" i="4" s="1"/>
  <c r="AY178" i="4"/>
  <c r="CW217" i="4"/>
  <c r="CX217" i="4" s="1"/>
  <c r="CR218" i="4"/>
  <c r="CP218" i="4" s="1"/>
  <c r="CU218" i="4" s="1"/>
  <c r="BO209" i="4"/>
  <c r="BS209" i="4" s="1"/>
  <c r="BV209" i="4" s="1"/>
  <c r="BW209" i="4" s="1"/>
  <c r="AR207" i="4"/>
  <c r="O213" i="4"/>
  <c r="T212" i="4"/>
  <c r="U212" i="4" s="1"/>
  <c r="DH185" i="4" l="1"/>
  <c r="BG195" i="4"/>
  <c r="BH195" i="4"/>
  <c r="BM194" i="4"/>
  <c r="BN194" i="4" s="1"/>
  <c r="W178" i="4"/>
  <c r="AC177" i="4"/>
  <c r="AD177" i="4" s="1"/>
  <c r="X178" i="4"/>
  <c r="CK183" i="4"/>
  <c r="CL183" i="4"/>
  <c r="BX202" i="4"/>
  <c r="CC202" i="4" s="1"/>
  <c r="AJ174" i="4"/>
  <c r="AI174" i="4"/>
  <c r="CY200" i="4"/>
  <c r="DC200" i="4" s="1"/>
  <c r="DD200" i="4"/>
  <c r="CT218" i="4"/>
  <c r="AW178" i="4"/>
  <c r="CW218" i="4"/>
  <c r="CX218" i="4" s="1"/>
  <c r="CR219" i="4"/>
  <c r="CP219" i="4" s="1"/>
  <c r="CU219" i="4" s="1"/>
  <c r="BQ210" i="4"/>
  <c r="BT209" i="4"/>
  <c r="AP208" i="4"/>
  <c r="AU207" i="4"/>
  <c r="AV207" i="4" s="1"/>
  <c r="AN208" i="4"/>
  <c r="M213" i="4"/>
  <c r="CH184" i="4" l="1"/>
  <c r="CN183" i="4"/>
  <c r="CO183" i="4" s="1"/>
  <c r="CI184" i="4"/>
  <c r="CB202" i="4"/>
  <c r="BF195" i="4"/>
  <c r="AG175" i="4"/>
  <c r="AF175" i="4"/>
  <c r="AE175" i="4" s="1"/>
  <c r="AI175" i="4" s="1"/>
  <c r="AL174" i="4"/>
  <c r="AM174" i="4" s="1"/>
  <c r="V178" i="4"/>
  <c r="CZ201" i="4"/>
  <c r="DF200" i="4"/>
  <c r="DG200" i="4" s="1"/>
  <c r="DA201" i="4"/>
  <c r="DM185" i="4"/>
  <c r="DL185" i="4"/>
  <c r="BA178" i="4"/>
  <c r="BB178" i="4"/>
  <c r="BY203" i="4"/>
  <c r="BZ203" i="4"/>
  <c r="CE202" i="4"/>
  <c r="CF202" i="4" s="1"/>
  <c r="CT219" i="4"/>
  <c r="BO210" i="4"/>
  <c r="AR208" i="4"/>
  <c r="AS208" i="4"/>
  <c r="R213" i="4"/>
  <c r="Q213" i="4"/>
  <c r="AF176" i="4" l="1"/>
  <c r="AL175" i="4"/>
  <c r="AM175" i="4" s="1"/>
  <c r="AG176" i="4"/>
  <c r="AA178" i="4"/>
  <c r="Z178" i="4"/>
  <c r="CY201" i="4"/>
  <c r="BK195" i="4"/>
  <c r="BJ195" i="4"/>
  <c r="DI186" i="4"/>
  <c r="DH186" i="4" s="1"/>
  <c r="DM186" i="4" s="1"/>
  <c r="DJ186" i="4"/>
  <c r="DO185" i="4"/>
  <c r="DP185" i="4" s="1"/>
  <c r="CG184" i="4"/>
  <c r="AJ175" i="4"/>
  <c r="BX203" i="4"/>
  <c r="AX179" i="4"/>
  <c r="BD178" i="4"/>
  <c r="BE178" i="4" s="1"/>
  <c r="AY179" i="4"/>
  <c r="CW219" i="4"/>
  <c r="CX219" i="4" s="1"/>
  <c r="CR220" i="4"/>
  <c r="CP220" i="4"/>
  <c r="CU220" i="4" s="1"/>
  <c r="BS210" i="4"/>
  <c r="BT210" i="4"/>
  <c r="AP209" i="4"/>
  <c r="AN209" i="4"/>
  <c r="AR209" i="4" s="1"/>
  <c r="AU208" i="4"/>
  <c r="AV208" i="4" s="1"/>
  <c r="T213" i="4"/>
  <c r="U213" i="4" s="1"/>
  <c r="O214" i="4"/>
  <c r="BG196" i="4" l="1"/>
  <c r="BH196" i="4"/>
  <c r="BM195" i="4"/>
  <c r="BN195" i="4" s="1"/>
  <c r="AC178" i="4"/>
  <c r="AD178" i="4" s="1"/>
  <c r="X179" i="4"/>
  <c r="W179" i="4"/>
  <c r="V179" i="4" s="1"/>
  <c r="AA179" i="4" s="1"/>
  <c r="CK184" i="4"/>
  <c r="CL184" i="4"/>
  <c r="DL186" i="4"/>
  <c r="AW179" i="4"/>
  <c r="BA179" i="4" s="1"/>
  <c r="AX180" i="4" s="1"/>
  <c r="DD201" i="4"/>
  <c r="DC201" i="4"/>
  <c r="AE176" i="4"/>
  <c r="AI176" i="4" s="1"/>
  <c r="CC203" i="4"/>
  <c r="CB203" i="4"/>
  <c r="CT220" i="4"/>
  <c r="BQ211" i="4"/>
  <c r="BO211" i="4" s="1"/>
  <c r="BS211" i="4" s="1"/>
  <c r="BV210" i="4"/>
  <c r="BW210" i="4" s="1"/>
  <c r="AP210" i="4"/>
  <c r="AU209" i="4"/>
  <c r="AV209" i="4" s="1"/>
  <c r="AS209" i="4"/>
  <c r="M214" i="4"/>
  <c r="DI187" i="4" l="1"/>
  <c r="DJ187" i="4"/>
  <c r="DO186" i="4"/>
  <c r="DP186" i="4" s="1"/>
  <c r="CH185" i="4"/>
  <c r="CG185" i="4" s="1"/>
  <c r="CK185" i="4" s="1"/>
  <c r="CI185" i="4"/>
  <c r="CN184" i="4"/>
  <c r="CO184" i="4" s="1"/>
  <c r="CZ202" i="4"/>
  <c r="DF201" i="4"/>
  <c r="DG201" i="4" s="1"/>
  <c r="DA202" i="4"/>
  <c r="CL185" i="4"/>
  <c r="BB179" i="4"/>
  <c r="AW180" i="4" s="1"/>
  <c r="Z179" i="4"/>
  <c r="BD179" i="4"/>
  <c r="BE179" i="4" s="1"/>
  <c r="AY180" i="4"/>
  <c r="AG177" i="4"/>
  <c r="AF177" i="4"/>
  <c r="AL176" i="4"/>
  <c r="AM176" i="4" s="1"/>
  <c r="BF196" i="4"/>
  <c r="AJ176" i="4"/>
  <c r="BY204" i="4"/>
  <c r="BX204" i="4" s="1"/>
  <c r="CC204" i="4" s="1"/>
  <c r="CE203" i="4"/>
  <c r="CF203" i="4" s="1"/>
  <c r="BZ204" i="4"/>
  <c r="CR221" i="4"/>
  <c r="CW220" i="4"/>
  <c r="CX220" i="4" s="1"/>
  <c r="CP221" i="4"/>
  <c r="CU221" i="4" s="1"/>
  <c r="BQ212" i="4"/>
  <c r="BV211" i="4"/>
  <c r="BW211" i="4" s="1"/>
  <c r="BT211" i="4"/>
  <c r="AN210" i="4"/>
  <c r="Q214" i="4"/>
  <c r="R214" i="4"/>
  <c r="CY202" i="4" l="1"/>
  <c r="W180" i="4"/>
  <c r="AC179" i="4"/>
  <c r="AD179" i="4" s="1"/>
  <c r="X180" i="4"/>
  <c r="CH186" i="4"/>
  <c r="CI186" i="4"/>
  <c r="CG186" i="4" s="1"/>
  <c r="CK186" i="4" s="1"/>
  <c r="CN185" i="4"/>
  <c r="CO185" i="4" s="1"/>
  <c r="BK196" i="4"/>
  <c r="BJ196" i="4"/>
  <c r="AE177" i="4"/>
  <c r="AI177" i="4" s="1"/>
  <c r="DH187" i="4"/>
  <c r="BB180" i="4"/>
  <c r="BA180" i="4"/>
  <c r="CB204" i="4"/>
  <c r="CT221" i="4"/>
  <c r="CW221" i="4" s="1"/>
  <c r="CX221" i="4" s="1"/>
  <c r="BO212" i="4"/>
  <c r="BS212" i="4" s="1"/>
  <c r="AS210" i="4"/>
  <c r="AR210" i="4"/>
  <c r="T214" i="4"/>
  <c r="U214" i="4" s="1"/>
  <c r="O215" i="4"/>
  <c r="M215" i="4"/>
  <c r="Q215" i="4" s="1"/>
  <c r="DM187" i="4" l="1"/>
  <c r="DL187" i="4"/>
  <c r="CH187" i="4"/>
  <c r="CI187" i="4"/>
  <c r="CN186" i="4"/>
  <c r="CO186" i="4" s="1"/>
  <c r="AL177" i="4"/>
  <c r="AM177" i="4" s="1"/>
  <c r="AF178" i="4"/>
  <c r="AG178" i="4"/>
  <c r="AJ177" i="4"/>
  <c r="V180" i="4"/>
  <c r="BH197" i="4"/>
  <c r="BM196" i="4"/>
  <c r="BN196" i="4" s="1"/>
  <c r="BG197" i="4"/>
  <c r="BF197" i="4" s="1"/>
  <c r="BK197" i="4" s="1"/>
  <c r="CL186" i="4"/>
  <c r="CR222" i="4"/>
  <c r="CP222" i="4" s="1"/>
  <c r="CU222" i="4" s="1"/>
  <c r="DD202" i="4"/>
  <c r="DC202" i="4"/>
  <c r="BY205" i="4"/>
  <c r="CE204" i="4"/>
  <c r="CF204" i="4" s="1"/>
  <c r="BZ205" i="4"/>
  <c r="AX181" i="4"/>
  <c r="BD180" i="4"/>
  <c r="BE180" i="4" s="1"/>
  <c r="AY181" i="4"/>
  <c r="CT222" i="4"/>
  <c r="BQ213" i="4"/>
  <c r="BV212" i="4"/>
  <c r="BW212" i="4" s="1"/>
  <c r="BT212" i="4"/>
  <c r="AU210" i="4"/>
  <c r="AV210" i="4" s="1"/>
  <c r="AP211" i="4"/>
  <c r="AN211" i="4"/>
  <c r="AR211" i="4" s="1"/>
  <c r="O216" i="4"/>
  <c r="T215" i="4"/>
  <c r="U215" i="4" s="1"/>
  <c r="R215" i="4"/>
  <c r="BJ197" i="4" l="1"/>
  <c r="AA180" i="4"/>
  <c r="Z180" i="4"/>
  <c r="AE178" i="4"/>
  <c r="AI178" i="4" s="1"/>
  <c r="CZ203" i="4"/>
  <c r="DF202" i="4"/>
  <c r="DG202" i="4" s="1"/>
  <c r="DA203" i="4"/>
  <c r="CY203" i="4" s="1"/>
  <c r="DD203" i="4" s="1"/>
  <c r="DC203" i="4"/>
  <c r="DO187" i="4"/>
  <c r="DP187" i="4" s="1"/>
  <c r="DJ188" i="4"/>
  <c r="DI188" i="4"/>
  <c r="DH188" i="4" s="1"/>
  <c r="DM188" i="4" s="1"/>
  <c r="CG187" i="4"/>
  <c r="CK187" i="4" s="1"/>
  <c r="CL187" i="4"/>
  <c r="AW181" i="4"/>
  <c r="M216" i="4"/>
  <c r="Q216" i="4" s="1"/>
  <c r="T216" i="4" s="1"/>
  <c r="U216" i="4" s="1"/>
  <c r="BX205" i="4"/>
  <c r="CR223" i="4"/>
  <c r="CW222" i="4"/>
  <c r="CX222" i="4" s="1"/>
  <c r="BO213" i="4"/>
  <c r="BS213" i="4" s="1"/>
  <c r="AU211" i="4"/>
  <c r="AV211" i="4" s="1"/>
  <c r="AP212" i="4"/>
  <c r="AS211" i="4"/>
  <c r="R216" i="4"/>
  <c r="DL188" i="4" l="1"/>
  <c r="CZ204" i="4"/>
  <c r="DF203" i="4"/>
  <c r="DG203" i="4" s="1"/>
  <c r="DA204" i="4"/>
  <c r="CY204" i="4" s="1"/>
  <c r="DD204" i="4" s="1"/>
  <c r="DC204" i="4"/>
  <c r="AJ178" i="4"/>
  <c r="AF179" i="4"/>
  <c r="AL178" i="4"/>
  <c r="AM178" i="4" s="1"/>
  <c r="AG179" i="4"/>
  <c r="W181" i="4"/>
  <c r="AC180" i="4"/>
  <c r="AD180" i="4" s="1"/>
  <c r="X181" i="4"/>
  <c r="BG198" i="4"/>
  <c r="BM197" i="4"/>
  <c r="BN197" i="4" s="1"/>
  <c r="BH198" i="4"/>
  <c r="CH188" i="4"/>
  <c r="CN187" i="4"/>
  <c r="CO187" i="4" s="1"/>
  <c r="CI188" i="4"/>
  <c r="CG188" i="4" s="1"/>
  <c r="CK188" i="4" s="1"/>
  <c r="AN212" i="4"/>
  <c r="AR212" i="4" s="1"/>
  <c r="AP213" i="4" s="1"/>
  <c r="BB181" i="4"/>
  <c r="BA181" i="4"/>
  <c r="O217" i="4"/>
  <c r="M217" i="4" s="1"/>
  <c r="R217" i="4" s="1"/>
  <c r="CB205" i="4"/>
  <c r="CC205" i="4"/>
  <c r="CP223" i="4"/>
  <c r="BQ214" i="4"/>
  <c r="BV213" i="4"/>
  <c r="BW213" i="4" s="1"/>
  <c r="BT213" i="4"/>
  <c r="AE179" i="4" l="1"/>
  <c r="AI179" i="4" s="1"/>
  <c r="AJ179" i="4"/>
  <c r="CL188" i="4"/>
  <c r="V181" i="4"/>
  <c r="CH189" i="4"/>
  <c r="CN188" i="4"/>
  <c r="CO188" i="4" s="1"/>
  <c r="CI189" i="4"/>
  <c r="CZ205" i="4"/>
  <c r="CY205" i="4" s="1"/>
  <c r="DD205" i="4" s="1"/>
  <c r="DA205" i="4"/>
  <c r="DF204" i="4"/>
  <c r="DG204" i="4" s="1"/>
  <c r="AS212" i="4"/>
  <c r="AN213" i="4" s="1"/>
  <c r="AS213" i="4" s="1"/>
  <c r="AU212" i="4"/>
  <c r="AV212" i="4" s="1"/>
  <c r="BF198" i="4"/>
  <c r="DI189" i="4"/>
  <c r="DO188" i="4"/>
  <c r="DP188" i="4" s="1"/>
  <c r="DJ189" i="4"/>
  <c r="AX182" i="4"/>
  <c r="AY182" i="4"/>
  <c r="BD181" i="4"/>
  <c r="BE181" i="4" s="1"/>
  <c r="BY206" i="4"/>
  <c r="CE205" i="4"/>
  <c r="CF205" i="4" s="1"/>
  <c r="BZ206" i="4"/>
  <c r="Q217" i="4"/>
  <c r="T217" i="4" s="1"/>
  <c r="U217" i="4" s="1"/>
  <c r="CT223" i="4"/>
  <c r="CU223" i="4"/>
  <c r="BO214" i="4"/>
  <c r="BK198" i="4" l="1"/>
  <c r="BJ198" i="4"/>
  <c r="DC205" i="4"/>
  <c r="AA181" i="4"/>
  <c r="Z181" i="4"/>
  <c r="BX206" i="4"/>
  <c r="CC206" i="4" s="1"/>
  <c r="AR213" i="4"/>
  <c r="AP214" i="4" s="1"/>
  <c r="AN214" i="4" s="1"/>
  <c r="AS214" i="4" s="1"/>
  <c r="CG189" i="4"/>
  <c r="CK189" i="4" s="1"/>
  <c r="DH189" i="4"/>
  <c r="AL179" i="4"/>
  <c r="AM179" i="4" s="1"/>
  <c r="AG180" i="4"/>
  <c r="AF180" i="4"/>
  <c r="AE180" i="4" s="1"/>
  <c r="AI180" i="4" s="1"/>
  <c r="O218" i="4"/>
  <c r="M218" i="4" s="1"/>
  <c r="R218" i="4" s="1"/>
  <c r="AW182" i="4"/>
  <c r="CW223" i="4"/>
  <c r="CX223" i="4" s="1"/>
  <c r="CR224" i="4"/>
  <c r="CP224" i="4"/>
  <c r="CT224" i="4" s="1"/>
  <c r="BT214" i="4"/>
  <c r="BS214" i="4"/>
  <c r="AF181" i="4" l="1"/>
  <c r="AG181" i="4"/>
  <c r="AL180" i="4"/>
  <c r="AM180" i="4" s="1"/>
  <c r="DM189" i="4"/>
  <c r="DL189" i="4"/>
  <c r="W182" i="4"/>
  <c r="V182" i="4" s="1"/>
  <c r="AA182" i="4" s="1"/>
  <c r="AC181" i="4"/>
  <c r="AD181" i="4" s="1"/>
  <c r="X182" i="4"/>
  <c r="CH190" i="4"/>
  <c r="CG190" i="4" s="1"/>
  <c r="CK190" i="4" s="1"/>
  <c r="CN189" i="4"/>
  <c r="CO189" i="4" s="1"/>
  <c r="CI190" i="4"/>
  <c r="AU213" i="4"/>
  <c r="AV213" i="4" s="1"/>
  <c r="AJ180" i="4"/>
  <c r="CL189" i="4"/>
  <c r="CB206" i="4"/>
  <c r="CZ206" i="4"/>
  <c r="DA206" i="4"/>
  <c r="DF205" i="4"/>
  <c r="DG205" i="4" s="1"/>
  <c r="BG199" i="4"/>
  <c r="BF199" i="4" s="1"/>
  <c r="BK199" i="4" s="1"/>
  <c r="BM198" i="4"/>
  <c r="BN198" i="4" s="1"/>
  <c r="BH199" i="4"/>
  <c r="BB182" i="4"/>
  <c r="BA182" i="4"/>
  <c r="Q218" i="4"/>
  <c r="T218" i="4" s="1"/>
  <c r="U218" i="4" s="1"/>
  <c r="BY207" i="4"/>
  <c r="BZ207" i="4"/>
  <c r="CE206" i="4"/>
  <c r="CF206" i="4" s="1"/>
  <c r="CW224" i="4"/>
  <c r="CX224" i="4" s="1"/>
  <c r="CR225" i="4"/>
  <c r="CU224" i="4"/>
  <c r="BV214" i="4"/>
  <c r="BW214" i="4" s="1"/>
  <c r="BQ215" i="4"/>
  <c r="BO215" i="4" s="1"/>
  <c r="BS215" i="4" s="1"/>
  <c r="AR214" i="4"/>
  <c r="CH191" i="4" l="1"/>
  <c r="CI191" i="4"/>
  <c r="CN190" i="4"/>
  <c r="CO190" i="4" s="1"/>
  <c r="Z182" i="4"/>
  <c r="CY206" i="4"/>
  <c r="BJ199" i="4"/>
  <c r="DJ190" i="4"/>
  <c r="DI190" i="4"/>
  <c r="DH190" i="4" s="1"/>
  <c r="DO189" i="4"/>
  <c r="DP189" i="4" s="1"/>
  <c r="DL190" i="4"/>
  <c r="DM190" i="4"/>
  <c r="CL190" i="4"/>
  <c r="AE181" i="4"/>
  <c r="AI181" i="4" s="1"/>
  <c r="BX207" i="4"/>
  <c r="O219" i="4"/>
  <c r="M219" i="4" s="1"/>
  <c r="R219" i="4" s="1"/>
  <c r="AX183" i="4"/>
  <c r="AW183" i="4" s="1"/>
  <c r="BB183" i="4" s="1"/>
  <c r="AY183" i="4"/>
  <c r="BD182" i="4"/>
  <c r="BE182" i="4" s="1"/>
  <c r="CP225" i="4"/>
  <c r="CT225" i="4" s="1"/>
  <c r="CW225" i="4"/>
  <c r="CX225" i="4" s="1"/>
  <c r="CR226" i="4"/>
  <c r="CU225" i="4"/>
  <c r="BQ216" i="4"/>
  <c r="BV215" i="4"/>
  <c r="BW215" i="4" s="1"/>
  <c r="BT215" i="4"/>
  <c r="AP215" i="4"/>
  <c r="AU214" i="4"/>
  <c r="AV214" i="4" s="1"/>
  <c r="AN215" i="4"/>
  <c r="AS215" i="4" s="1"/>
  <c r="BO216" i="4" l="1"/>
  <c r="BS216" i="4" s="1"/>
  <c r="DD206" i="4"/>
  <c r="DC206" i="4"/>
  <c r="DI191" i="4"/>
  <c r="DH191" i="4" s="1"/>
  <c r="DM191" i="4" s="1"/>
  <c r="DO190" i="4"/>
  <c r="DP190" i="4" s="1"/>
  <c r="DJ191" i="4"/>
  <c r="BG200" i="4"/>
  <c r="BM199" i="4"/>
  <c r="BN199" i="4" s="1"/>
  <c r="BH200" i="4"/>
  <c r="W183" i="4"/>
  <c r="V183" i="4" s="1"/>
  <c r="AA183" i="4" s="1"/>
  <c r="AC182" i="4"/>
  <c r="AD182" i="4" s="1"/>
  <c r="X183" i="4"/>
  <c r="AL181" i="4"/>
  <c r="AM181" i="4" s="1"/>
  <c r="AF182" i="4"/>
  <c r="AG182" i="4"/>
  <c r="AJ181" i="4"/>
  <c r="CG191" i="4"/>
  <c r="Q219" i="4"/>
  <c r="O220" i="4" s="1"/>
  <c r="M220" i="4" s="1"/>
  <c r="R220" i="4" s="1"/>
  <c r="CC207" i="4"/>
  <c r="CB207" i="4"/>
  <c r="BA183" i="4"/>
  <c r="CP226" i="4"/>
  <c r="CT226" i="4" s="1"/>
  <c r="BQ217" i="4"/>
  <c r="BV216" i="4"/>
  <c r="BW216" i="4" s="1"/>
  <c r="BT216" i="4"/>
  <c r="AR215" i="4"/>
  <c r="DL191" i="4" l="1"/>
  <c r="CZ207" i="4"/>
  <c r="DA207" i="4"/>
  <c r="DF206" i="4"/>
  <c r="DG206" i="4" s="1"/>
  <c r="BF200" i="4"/>
  <c r="CL191" i="4"/>
  <c r="CK191" i="4"/>
  <c r="AE182" i="4"/>
  <c r="Z183" i="4"/>
  <c r="AX184" i="4"/>
  <c r="AY184" i="4"/>
  <c r="BD183" i="4"/>
  <c r="BE183" i="4" s="1"/>
  <c r="T219" i="4"/>
  <c r="U219" i="4" s="1"/>
  <c r="BY208" i="4"/>
  <c r="BX208" i="4" s="1"/>
  <c r="CB208" i="4" s="1"/>
  <c r="BZ208" i="4"/>
  <c r="CE207" i="4"/>
  <c r="CF207" i="4" s="1"/>
  <c r="CC208" i="4"/>
  <c r="CW226" i="4"/>
  <c r="CX226" i="4" s="1"/>
  <c r="CR227" i="4"/>
  <c r="CU226" i="4"/>
  <c r="BO217" i="4"/>
  <c r="BS217" i="4" s="1"/>
  <c r="AU215" i="4"/>
  <c r="AV215" i="4" s="1"/>
  <c r="AP216" i="4"/>
  <c r="AN216" i="4" s="1"/>
  <c r="AS216" i="4" s="1"/>
  <c r="Q220" i="4"/>
  <c r="CH192" i="4" l="1"/>
  <c r="CI192" i="4"/>
  <c r="CN191" i="4"/>
  <c r="CO191" i="4" s="1"/>
  <c r="AJ182" i="4"/>
  <c r="AI182" i="4"/>
  <c r="BK200" i="4"/>
  <c r="BJ200" i="4"/>
  <c r="W184" i="4"/>
  <c r="AC183" i="4"/>
  <c r="AD183" i="4" s="1"/>
  <c r="X184" i="4"/>
  <c r="V184" i="4" s="1"/>
  <c r="AA184" i="4" s="1"/>
  <c r="CY207" i="4"/>
  <c r="DI192" i="4"/>
  <c r="DH192" i="4" s="1"/>
  <c r="DM192" i="4" s="1"/>
  <c r="DJ192" i="4"/>
  <c r="DO191" i="4"/>
  <c r="DP191" i="4" s="1"/>
  <c r="BY209" i="4"/>
  <c r="BX209" i="4" s="1"/>
  <c r="CB209" i="4" s="1"/>
  <c r="BZ209" i="4"/>
  <c r="CE208" i="4"/>
  <c r="CF208" i="4" s="1"/>
  <c r="AW184" i="4"/>
  <c r="CP227" i="4"/>
  <c r="CT227" i="4" s="1"/>
  <c r="CR228" i="4" s="1"/>
  <c r="BQ218" i="4"/>
  <c r="BV217" i="4"/>
  <c r="BW217" i="4" s="1"/>
  <c r="BT217" i="4"/>
  <c r="AR216" i="4"/>
  <c r="O221" i="4"/>
  <c r="M221" i="4" s="1"/>
  <c r="R221" i="4" s="1"/>
  <c r="T220" i="4"/>
  <c r="U220" i="4" s="1"/>
  <c r="DL192" i="4" l="1"/>
  <c r="DD207" i="4"/>
  <c r="DC207" i="4"/>
  <c r="Z184" i="4"/>
  <c r="BM200" i="4"/>
  <c r="BN200" i="4" s="1"/>
  <c r="BG201" i="4"/>
  <c r="BH201" i="4"/>
  <c r="AG183" i="4"/>
  <c r="AL182" i="4"/>
  <c r="AM182" i="4" s="1"/>
  <c r="AF183" i="4"/>
  <c r="AE183" i="4" s="1"/>
  <c r="AI183" i="4" s="1"/>
  <c r="CC209" i="4"/>
  <c r="CG192" i="4"/>
  <c r="CW227" i="4"/>
  <c r="CX227" i="4" s="1"/>
  <c r="BB184" i="4"/>
  <c r="BA184" i="4"/>
  <c r="CU227" i="4"/>
  <c r="CP228" i="4" s="1"/>
  <c r="BY210" i="4"/>
  <c r="BX210" i="4" s="1"/>
  <c r="BZ210" i="4"/>
  <c r="CE209" i="4"/>
  <c r="CF209" i="4" s="1"/>
  <c r="BO218" i="4"/>
  <c r="AP217" i="4"/>
  <c r="AU216" i="4"/>
  <c r="AV216" i="4" s="1"/>
  <c r="AN217" i="4"/>
  <c r="AS217" i="4" s="1"/>
  <c r="Q221" i="4"/>
  <c r="AF184" i="4" l="1"/>
  <c r="AG184" i="4"/>
  <c r="AL183" i="4"/>
  <c r="AM183" i="4" s="1"/>
  <c r="BF201" i="4"/>
  <c r="W185" i="4"/>
  <c r="AC184" i="4"/>
  <c r="AD184" i="4" s="1"/>
  <c r="X185" i="4"/>
  <c r="CZ208" i="4"/>
  <c r="CY208" i="4" s="1"/>
  <c r="DD208" i="4" s="1"/>
  <c r="DA208" i="4"/>
  <c r="DF207" i="4"/>
  <c r="DG207" i="4" s="1"/>
  <c r="DC208" i="4"/>
  <c r="CL192" i="4"/>
  <c r="CK192" i="4"/>
  <c r="DJ193" i="4"/>
  <c r="DO192" i="4"/>
  <c r="DP192" i="4" s="1"/>
  <c r="DI193" i="4"/>
  <c r="DH193" i="4" s="1"/>
  <c r="DM193" i="4" s="1"/>
  <c r="DL193" i="4"/>
  <c r="AJ183" i="4"/>
  <c r="CC210" i="4"/>
  <c r="CB210" i="4"/>
  <c r="CT228" i="4"/>
  <c r="CU228" i="4"/>
  <c r="AX185" i="4"/>
  <c r="BD184" i="4"/>
  <c r="BE184" i="4" s="1"/>
  <c r="AY185" i="4"/>
  <c r="BT218" i="4"/>
  <c r="BS218" i="4"/>
  <c r="AR217" i="4"/>
  <c r="T221" i="4"/>
  <c r="U221" i="4" s="1"/>
  <c r="O222" i="4"/>
  <c r="M222" i="4" s="1"/>
  <c r="R222" i="4" s="1"/>
  <c r="CH193" i="4" l="1"/>
  <c r="CI193" i="4"/>
  <c r="CN192" i="4"/>
  <c r="CO192" i="4" s="1"/>
  <c r="AJ184" i="4"/>
  <c r="V185" i="4"/>
  <c r="BK201" i="4"/>
  <c r="BJ201" i="4"/>
  <c r="CZ209" i="4"/>
  <c r="CY209" i="4" s="1"/>
  <c r="DD209" i="4" s="1"/>
  <c r="DA209" i="4"/>
  <c r="DF208" i="4"/>
  <c r="DG208" i="4" s="1"/>
  <c r="DC209" i="4"/>
  <c r="DO193" i="4"/>
  <c r="DP193" i="4" s="1"/>
  <c r="DJ194" i="4"/>
  <c r="DI194" i="4"/>
  <c r="DH194" i="4" s="1"/>
  <c r="DM194" i="4" s="1"/>
  <c r="DL194" i="4"/>
  <c r="AE184" i="4"/>
  <c r="AI184" i="4" s="1"/>
  <c r="AW185" i="4"/>
  <c r="CW228" i="4"/>
  <c r="CX228" i="4" s="1"/>
  <c r="CR229" i="4"/>
  <c r="CP229" i="4" s="1"/>
  <c r="BY211" i="4"/>
  <c r="BX211" i="4" s="1"/>
  <c r="CC211" i="4" s="1"/>
  <c r="CE210" i="4"/>
  <c r="CF210" i="4" s="1"/>
  <c r="BZ211" i="4"/>
  <c r="BV218" i="4"/>
  <c r="BW218" i="4" s="1"/>
  <c r="BQ219" i="4"/>
  <c r="BO219" i="4" s="1"/>
  <c r="BT219" i="4" s="1"/>
  <c r="AU217" i="4"/>
  <c r="AV217" i="4" s="1"/>
  <c r="AP218" i="4"/>
  <c r="AN218" i="4" s="1"/>
  <c r="AS218" i="4" s="1"/>
  <c r="Q222" i="4"/>
  <c r="CZ210" i="4" l="1"/>
  <c r="DF209" i="4"/>
  <c r="DG209" i="4" s="1"/>
  <c r="DA210" i="4"/>
  <c r="CY210" i="4" s="1"/>
  <c r="DD210" i="4" s="1"/>
  <c r="BM201" i="4"/>
  <c r="BN201" i="4" s="1"/>
  <c r="BG202" i="4"/>
  <c r="BF202" i="4" s="1"/>
  <c r="BK202" i="4" s="1"/>
  <c r="BH202" i="4"/>
  <c r="AA185" i="4"/>
  <c r="Z185" i="4"/>
  <c r="AF185" i="4"/>
  <c r="AE185" i="4" s="1"/>
  <c r="AI185" i="4" s="1"/>
  <c r="AG185" i="4"/>
  <c r="AL184" i="4"/>
  <c r="AM184" i="4" s="1"/>
  <c r="DI195" i="4"/>
  <c r="DO194" i="4"/>
  <c r="DP194" i="4" s="1"/>
  <c r="DJ195" i="4"/>
  <c r="CG193" i="4"/>
  <c r="CB211" i="4"/>
  <c r="CT229" i="4"/>
  <c r="CU229" i="4"/>
  <c r="BA185" i="4"/>
  <c r="BB185" i="4"/>
  <c r="BS219" i="4"/>
  <c r="AR218" i="4"/>
  <c r="T222" i="4"/>
  <c r="U222" i="4" s="1"/>
  <c r="O223" i="4"/>
  <c r="M223" i="4" s="1"/>
  <c r="R223" i="4" s="1"/>
  <c r="AF186" i="4" l="1"/>
  <c r="AL185" i="4"/>
  <c r="AM185" i="4" s="1"/>
  <c r="AG186" i="4"/>
  <c r="AJ185" i="4"/>
  <c r="CK193" i="4"/>
  <c r="CL193" i="4"/>
  <c r="DC210" i="4"/>
  <c r="W186" i="4"/>
  <c r="AC185" i="4"/>
  <c r="AD185" i="4" s="1"/>
  <c r="X186" i="4"/>
  <c r="BJ202" i="4"/>
  <c r="DH195" i="4"/>
  <c r="AX186" i="4"/>
  <c r="AW186" i="4" s="1"/>
  <c r="BA186" i="4" s="1"/>
  <c r="BD185" i="4"/>
  <c r="BE185" i="4" s="1"/>
  <c r="AY186" i="4"/>
  <c r="BB186" i="4"/>
  <c r="CR230" i="4"/>
  <c r="CP230" i="4" s="1"/>
  <c r="CT230" i="4" s="1"/>
  <c r="CW229" i="4"/>
  <c r="CX229" i="4" s="1"/>
  <c r="BY212" i="4"/>
  <c r="BZ212" i="4"/>
  <c r="CE211" i="4"/>
  <c r="CF211" i="4" s="1"/>
  <c r="BV219" i="4"/>
  <c r="BW219" i="4" s="1"/>
  <c r="BQ220" i="4"/>
  <c r="BO220" i="4" s="1"/>
  <c r="BT220" i="4" s="1"/>
  <c r="AP219" i="4"/>
  <c r="AN219" i="4" s="1"/>
  <c r="AS219" i="4" s="1"/>
  <c r="AU218" i="4"/>
  <c r="AV218" i="4" s="1"/>
  <c r="Q223" i="4"/>
  <c r="BH203" i="4" l="1"/>
  <c r="BM202" i="4"/>
  <c r="BN202" i="4" s="1"/>
  <c r="BG203" i="4"/>
  <c r="BF203" i="4" s="1"/>
  <c r="BK203" i="4" s="1"/>
  <c r="BJ203" i="4"/>
  <c r="CZ211" i="4"/>
  <c r="DA211" i="4"/>
  <c r="DF210" i="4"/>
  <c r="DG210" i="4" s="1"/>
  <c r="CH194" i="4"/>
  <c r="CI194" i="4"/>
  <c r="CN193" i="4"/>
  <c r="CO193" i="4" s="1"/>
  <c r="AJ186" i="4"/>
  <c r="V186" i="4"/>
  <c r="DM195" i="4"/>
  <c r="DL195" i="4"/>
  <c r="AE186" i="4"/>
  <c r="AI186" i="4" s="1"/>
  <c r="CW230" i="4"/>
  <c r="CX230" i="4" s="1"/>
  <c r="CR231" i="4"/>
  <c r="AX187" i="4"/>
  <c r="AY187" i="4"/>
  <c r="BD186" i="4"/>
  <c r="BE186" i="4" s="1"/>
  <c r="CU230" i="4"/>
  <c r="BX212" i="4"/>
  <c r="BS220" i="4"/>
  <c r="AR219" i="4"/>
  <c r="T223" i="4"/>
  <c r="U223" i="4" s="1"/>
  <c r="O224" i="4"/>
  <c r="M224" i="4"/>
  <c r="R224" i="4" s="1"/>
  <c r="Z186" i="4" l="1"/>
  <c r="AA186" i="4"/>
  <c r="CG194" i="4"/>
  <c r="CY211" i="4"/>
  <c r="BG204" i="4"/>
  <c r="BM203" i="4"/>
  <c r="BN203" i="4" s="1"/>
  <c r="BH204" i="4"/>
  <c r="AL186" i="4"/>
  <c r="AM186" i="4" s="1"/>
  <c r="AF187" i="4"/>
  <c r="AE187" i="4" s="1"/>
  <c r="AI187" i="4" s="1"/>
  <c r="AG187" i="4"/>
  <c r="DI196" i="4"/>
  <c r="DH196" i="4" s="1"/>
  <c r="DJ196" i="4"/>
  <c r="DO195" i="4"/>
  <c r="DP195" i="4" s="1"/>
  <c r="CC212" i="4"/>
  <c r="CB212" i="4"/>
  <c r="CP231" i="4"/>
  <c r="CT231" i="4" s="1"/>
  <c r="AW187" i="4"/>
  <c r="BQ221" i="4"/>
  <c r="BO221" i="4" s="1"/>
  <c r="BT221" i="4" s="1"/>
  <c r="BV220" i="4"/>
  <c r="BW220" i="4" s="1"/>
  <c r="AU219" i="4"/>
  <c r="AV219" i="4" s="1"/>
  <c r="AP220" i="4"/>
  <c r="AN220" i="4"/>
  <c r="AS220" i="4" s="1"/>
  <c r="Q224" i="4"/>
  <c r="T224" i="4" s="1"/>
  <c r="U224" i="4" s="1"/>
  <c r="DD211" i="4" l="1"/>
  <c r="DC211" i="4"/>
  <c r="O225" i="4"/>
  <c r="M225" i="4" s="1"/>
  <c r="R225" i="4" s="1"/>
  <c r="CK194" i="4"/>
  <c r="CL194" i="4"/>
  <c r="DM196" i="4"/>
  <c r="DL196" i="4"/>
  <c r="W187" i="4"/>
  <c r="AC186" i="4"/>
  <c r="AD186" i="4" s="1"/>
  <c r="X187" i="4"/>
  <c r="AL187" i="4"/>
  <c r="AM187" i="4" s="1"/>
  <c r="AG188" i="4"/>
  <c r="AF188" i="4"/>
  <c r="AE188" i="4" s="1"/>
  <c r="AI188" i="4" s="1"/>
  <c r="BF204" i="4"/>
  <c r="AJ187" i="4"/>
  <c r="CU231" i="4"/>
  <c r="BS221" i="4"/>
  <c r="CR232" i="4"/>
  <c r="CW231" i="4"/>
  <c r="CX231" i="4" s="1"/>
  <c r="BY213" i="4"/>
  <c r="CE212" i="4"/>
  <c r="CF212" i="4" s="1"/>
  <c r="BZ213" i="4"/>
  <c r="BA187" i="4"/>
  <c r="BB187" i="4"/>
  <c r="BQ222" i="4"/>
  <c r="BO222" i="4" s="1"/>
  <c r="BT222" i="4" s="1"/>
  <c r="BV221" i="4"/>
  <c r="BW221" i="4" s="1"/>
  <c r="AR220" i="4"/>
  <c r="Q225" i="4"/>
  <c r="DJ197" i="4" l="1"/>
  <c r="DO196" i="4"/>
  <c r="DP196" i="4" s="1"/>
  <c r="DI197" i="4"/>
  <c r="DH197" i="4" s="1"/>
  <c r="DM197" i="4" s="1"/>
  <c r="AF189" i="4"/>
  <c r="AE189" i="4" s="1"/>
  <c r="AI189" i="4" s="1"/>
  <c r="AL188" i="4"/>
  <c r="AM188" i="4" s="1"/>
  <c r="AG189" i="4"/>
  <c r="BX213" i="4"/>
  <c r="CC213" i="4" s="1"/>
  <c r="V187" i="4"/>
  <c r="DL197" i="4"/>
  <c r="DI198" i="4" s="1"/>
  <c r="CH195" i="4"/>
  <c r="CG195" i="4" s="1"/>
  <c r="CI195" i="4"/>
  <c r="CN194" i="4"/>
  <c r="CO194" i="4" s="1"/>
  <c r="AJ188" i="4"/>
  <c r="CZ212" i="4"/>
  <c r="DF211" i="4"/>
  <c r="DG211" i="4" s="1"/>
  <c r="DA212" i="4"/>
  <c r="BK204" i="4"/>
  <c r="BJ204" i="4"/>
  <c r="CB213" i="4"/>
  <c r="AX188" i="4"/>
  <c r="BD187" i="4"/>
  <c r="BE187" i="4" s="1"/>
  <c r="AY188" i="4"/>
  <c r="CP232" i="4"/>
  <c r="CT232" i="4" s="1"/>
  <c r="BS222" i="4"/>
  <c r="AU220" i="4"/>
  <c r="AV220" i="4" s="1"/>
  <c r="AP221" i="4"/>
  <c r="AN221" i="4" s="1"/>
  <c r="AS221" i="4" s="1"/>
  <c r="T225" i="4"/>
  <c r="U225" i="4" s="1"/>
  <c r="O226" i="4"/>
  <c r="CK195" i="4" l="1"/>
  <c r="CL195" i="4"/>
  <c r="DJ198" i="4"/>
  <c r="AF190" i="4"/>
  <c r="AE190" i="4" s="1"/>
  <c r="AI190" i="4" s="1"/>
  <c r="AL189" i="4"/>
  <c r="AM189" i="4" s="1"/>
  <c r="AG190" i="4"/>
  <c r="DO197" i="4"/>
  <c r="DP197" i="4" s="1"/>
  <c r="AA187" i="4"/>
  <c r="Z187" i="4"/>
  <c r="BG205" i="4"/>
  <c r="BM204" i="4"/>
  <c r="BN204" i="4" s="1"/>
  <c r="BH205" i="4"/>
  <c r="CY212" i="4"/>
  <c r="AJ189" i="4"/>
  <c r="CR233" i="4"/>
  <c r="CW232" i="4"/>
  <c r="CX232" i="4" s="1"/>
  <c r="BY214" i="4"/>
  <c r="BZ214" i="4"/>
  <c r="CE213" i="4"/>
  <c r="CF213" i="4" s="1"/>
  <c r="CU232" i="4"/>
  <c r="AW188" i="4"/>
  <c r="DH198" i="4"/>
  <c r="BV222" i="4"/>
  <c r="BW222" i="4" s="1"/>
  <c r="BQ223" i="4"/>
  <c r="BO223" i="4" s="1"/>
  <c r="BT223" i="4" s="1"/>
  <c r="AR221" i="4"/>
  <c r="M226" i="4"/>
  <c r="R226" i="4" s="1"/>
  <c r="Q226" i="4"/>
  <c r="AF191" i="4" l="1"/>
  <c r="AL190" i="4"/>
  <c r="AM190" i="4" s="1"/>
  <c r="AG191" i="4"/>
  <c r="W188" i="4"/>
  <c r="X188" i="4"/>
  <c r="AC187" i="4"/>
  <c r="AD187" i="4" s="1"/>
  <c r="CG196" i="4"/>
  <c r="CK196" i="4" s="1"/>
  <c r="CL196" i="4"/>
  <c r="DC212" i="4"/>
  <c r="DD212" i="4"/>
  <c r="BF205" i="4"/>
  <c r="AJ190" i="4"/>
  <c r="CH196" i="4"/>
  <c r="CN195" i="4"/>
  <c r="CO195" i="4" s="1"/>
  <c r="CI196" i="4"/>
  <c r="DM198" i="4"/>
  <c r="DL198" i="4"/>
  <c r="BA188" i="4"/>
  <c r="BB188" i="4"/>
  <c r="BX214" i="4"/>
  <c r="CP233" i="4"/>
  <c r="CT233" i="4" s="1"/>
  <c r="BS223" i="4"/>
  <c r="AU221" i="4"/>
  <c r="AV221" i="4" s="1"/>
  <c r="AP222" i="4"/>
  <c r="AN222" i="4"/>
  <c r="O227" i="4"/>
  <c r="T226" i="4"/>
  <c r="U226" i="4" s="1"/>
  <c r="M227" i="4"/>
  <c r="R227" i="4" s="1"/>
  <c r="CH197" i="4" l="1"/>
  <c r="CN196" i="4"/>
  <c r="CO196" i="4" s="1"/>
  <c r="CI197" i="4"/>
  <c r="CG197" i="4" s="1"/>
  <c r="CK197" i="4" s="1"/>
  <c r="CZ213" i="4"/>
  <c r="DF212" i="4"/>
  <c r="DG212" i="4" s="1"/>
  <c r="DA213" i="4"/>
  <c r="BK205" i="4"/>
  <c r="BJ205" i="4"/>
  <c r="CL197" i="4"/>
  <c r="V188" i="4"/>
  <c r="AE191" i="4"/>
  <c r="AX189" i="4"/>
  <c r="BD188" i="4"/>
  <c r="BE188" i="4" s="1"/>
  <c r="AY189" i="4"/>
  <c r="DI199" i="4"/>
  <c r="DO198" i="4"/>
  <c r="DP198" i="4" s="1"/>
  <c r="DJ199" i="4"/>
  <c r="CC214" i="4"/>
  <c r="CB214" i="4"/>
  <c r="CW233" i="4"/>
  <c r="CX233" i="4" s="1"/>
  <c r="CR234" i="4"/>
  <c r="CP234" i="4" s="1"/>
  <c r="CT234" i="4" s="1"/>
  <c r="CU233" i="4"/>
  <c r="BV223" i="4"/>
  <c r="BW223" i="4" s="1"/>
  <c r="BQ224" i="4"/>
  <c r="BO224" i="4" s="1"/>
  <c r="BT224" i="4" s="1"/>
  <c r="AR222" i="4"/>
  <c r="AS222" i="4"/>
  <c r="Q227" i="4"/>
  <c r="AA188" i="4" l="1"/>
  <c r="Z188" i="4"/>
  <c r="BG206" i="4"/>
  <c r="BF206" i="4" s="1"/>
  <c r="BK206" i="4" s="1"/>
  <c r="BM205" i="4"/>
  <c r="BN205" i="4" s="1"/>
  <c r="BH206" i="4"/>
  <c r="AJ191" i="4"/>
  <c r="AI191" i="4"/>
  <c r="CY213" i="4"/>
  <c r="CH198" i="4"/>
  <c r="CN197" i="4"/>
  <c r="CO197" i="4" s="1"/>
  <c r="CI198" i="4"/>
  <c r="CG198" i="4" s="1"/>
  <c r="CK198" i="4" s="1"/>
  <c r="CR235" i="4"/>
  <c r="CW234" i="4"/>
  <c r="CX234" i="4" s="1"/>
  <c r="BY215" i="4"/>
  <c r="CE214" i="4"/>
  <c r="CF214" i="4" s="1"/>
  <c r="BZ215" i="4"/>
  <c r="DH199" i="4"/>
  <c r="AW189" i="4"/>
  <c r="CU234" i="4"/>
  <c r="BS224" i="4"/>
  <c r="AU222" i="4"/>
  <c r="AV222" i="4" s="1"/>
  <c r="AP223" i="4"/>
  <c r="AN223" i="4"/>
  <c r="AR223" i="4" s="1"/>
  <c r="O228" i="4"/>
  <c r="T227" i="4"/>
  <c r="U227" i="4" s="1"/>
  <c r="DD213" i="4" l="1"/>
  <c r="DC213" i="4"/>
  <c r="CH199" i="4"/>
  <c r="CN198" i="4"/>
  <c r="CO198" i="4" s="1"/>
  <c r="CI199" i="4"/>
  <c r="AG192" i="4"/>
  <c r="AL191" i="4"/>
  <c r="AM191" i="4" s="1"/>
  <c r="AF192" i="4"/>
  <c r="AE192" i="4" s="1"/>
  <c r="AJ192" i="4" s="1"/>
  <c r="W189" i="4"/>
  <c r="V189" i="4" s="1"/>
  <c r="AA189" i="4" s="1"/>
  <c r="X189" i="4"/>
  <c r="AC188" i="4"/>
  <c r="AD188" i="4" s="1"/>
  <c r="Z189" i="4"/>
  <c r="CL198" i="4"/>
  <c r="BJ206" i="4"/>
  <c r="DM199" i="4"/>
  <c r="DL199" i="4"/>
  <c r="BX215" i="4"/>
  <c r="BA189" i="4"/>
  <c r="BB189" i="4"/>
  <c r="CP235" i="4"/>
  <c r="CT235" i="4" s="1"/>
  <c r="BV224" i="4"/>
  <c r="BW224" i="4" s="1"/>
  <c r="BQ225" i="4"/>
  <c r="BO225" i="4" s="1"/>
  <c r="AU223" i="4"/>
  <c r="AV223" i="4" s="1"/>
  <c r="AP224" i="4"/>
  <c r="AS223" i="4"/>
  <c r="M228" i="4"/>
  <c r="R228" i="4" s="1"/>
  <c r="Q228" i="4" l="1"/>
  <c r="BG207" i="4"/>
  <c r="BM206" i="4"/>
  <c r="BN206" i="4" s="1"/>
  <c r="BH207" i="4"/>
  <c r="W190" i="4"/>
  <c r="V190" i="4" s="1"/>
  <c r="Z190" i="4" s="1"/>
  <c r="X190" i="4"/>
  <c r="AC189" i="4"/>
  <c r="AD189" i="4" s="1"/>
  <c r="CG199" i="4"/>
  <c r="CK199" i="4" s="1"/>
  <c r="CZ214" i="4"/>
  <c r="CY214" i="4" s="1"/>
  <c r="DD214" i="4" s="1"/>
  <c r="DA214" i="4"/>
  <c r="DF213" i="4"/>
  <c r="DG213" i="4" s="1"/>
  <c r="AI192" i="4"/>
  <c r="AX190" i="4"/>
  <c r="AW190" i="4" s="1"/>
  <c r="BA190" i="4" s="1"/>
  <c r="BD189" i="4"/>
  <c r="BE189" i="4" s="1"/>
  <c r="AY190" i="4"/>
  <c r="CR236" i="4"/>
  <c r="CP236" i="4" s="1"/>
  <c r="CT236" i="4" s="1"/>
  <c r="CW235" i="4"/>
  <c r="CX235" i="4" s="1"/>
  <c r="CC215" i="4"/>
  <c r="CB215" i="4"/>
  <c r="DI200" i="4"/>
  <c r="DH200" i="4" s="1"/>
  <c r="DM200" i="4" s="1"/>
  <c r="DJ200" i="4"/>
  <c r="DO199" i="4"/>
  <c r="DP199" i="4" s="1"/>
  <c r="CU235" i="4"/>
  <c r="BT225" i="4"/>
  <c r="BS225" i="4"/>
  <c r="AN224" i="4"/>
  <c r="AR224" i="4" s="1"/>
  <c r="T228" i="4"/>
  <c r="U228" i="4" s="1"/>
  <c r="O229" i="4"/>
  <c r="M229" i="4" s="1"/>
  <c r="R229" i="4" s="1"/>
  <c r="CH200" i="4" l="1"/>
  <c r="CG200" i="4" s="1"/>
  <c r="CK200" i="4" s="1"/>
  <c r="CI200" i="4"/>
  <c r="CN199" i="4"/>
  <c r="CO199" i="4" s="1"/>
  <c r="CL199" i="4"/>
  <c r="W191" i="4"/>
  <c r="X191" i="4"/>
  <c r="AC190" i="4"/>
  <c r="AD190" i="4" s="1"/>
  <c r="BF207" i="4"/>
  <c r="AG193" i="4"/>
  <c r="AF193" i="4"/>
  <c r="AE193" i="4" s="1"/>
  <c r="AJ193" i="4" s="1"/>
  <c r="AL192" i="4"/>
  <c r="AM192" i="4" s="1"/>
  <c r="DC214" i="4"/>
  <c r="AA190" i="4"/>
  <c r="CR237" i="4"/>
  <c r="CW236" i="4"/>
  <c r="CX236" i="4" s="1"/>
  <c r="BY216" i="4"/>
  <c r="BZ216" i="4"/>
  <c r="CE215" i="4"/>
  <c r="CF215" i="4" s="1"/>
  <c r="AX191" i="4"/>
  <c r="AY191" i="4"/>
  <c r="BD190" i="4"/>
  <c r="BE190" i="4" s="1"/>
  <c r="BB190" i="4"/>
  <c r="CU236" i="4"/>
  <c r="DL200" i="4"/>
  <c r="BQ226" i="4"/>
  <c r="BO226" i="4" s="1"/>
  <c r="BV225" i="4"/>
  <c r="BW225" i="4" s="1"/>
  <c r="AU224" i="4"/>
  <c r="AV224" i="4" s="1"/>
  <c r="AP225" i="4"/>
  <c r="AN225" i="4" s="1"/>
  <c r="AR225" i="4" s="1"/>
  <c r="AS224" i="4"/>
  <c r="Q229" i="4"/>
  <c r="CH201" i="4" l="1"/>
  <c r="CN200" i="4"/>
  <c r="CO200" i="4" s="1"/>
  <c r="CI201" i="4"/>
  <c r="BK207" i="4"/>
  <c r="BJ207" i="4"/>
  <c r="AW191" i="4"/>
  <c r="BA191" i="4" s="1"/>
  <c r="AX192" i="4" s="1"/>
  <c r="AI193" i="4"/>
  <c r="V191" i="4"/>
  <c r="Z191" i="4" s="1"/>
  <c r="AA191" i="4"/>
  <c r="CZ215" i="4"/>
  <c r="DA215" i="4"/>
  <c r="DF214" i="4"/>
  <c r="DG214" i="4" s="1"/>
  <c r="CL200" i="4"/>
  <c r="DI201" i="4"/>
  <c r="DJ201" i="4"/>
  <c r="DO200" i="4"/>
  <c r="DP200" i="4" s="1"/>
  <c r="BB191" i="4"/>
  <c r="CU237" i="4"/>
  <c r="AF194" i="4"/>
  <c r="AG194" i="4"/>
  <c r="AL193" i="4"/>
  <c r="AM193" i="4" s="1"/>
  <c r="BX216" i="4"/>
  <c r="CP237" i="4"/>
  <c r="CT237" i="4" s="1"/>
  <c r="BT226" i="4"/>
  <c r="BS226" i="4"/>
  <c r="AU225" i="4"/>
  <c r="AV225" i="4" s="1"/>
  <c r="AP226" i="4"/>
  <c r="AS225" i="4"/>
  <c r="T229" i="4"/>
  <c r="U229" i="4" s="1"/>
  <c r="O230" i="4"/>
  <c r="M230" i="4"/>
  <c r="R230" i="4" s="1"/>
  <c r="AY192" i="4" l="1"/>
  <c r="BD191" i="4"/>
  <c r="BE191" i="4" s="1"/>
  <c r="CG201" i="4"/>
  <c r="CK201" i="4" s="1"/>
  <c r="CL201" i="4"/>
  <c r="CY215" i="4"/>
  <c r="AN226" i="4"/>
  <c r="AR226" i="4" s="1"/>
  <c r="AE194" i="4"/>
  <c r="AI194" i="4" s="1"/>
  <c r="AF195" i="4" s="1"/>
  <c r="W192" i="4"/>
  <c r="V192" i="4" s="1"/>
  <c r="AA192" i="4" s="1"/>
  <c r="AC191" i="4"/>
  <c r="AD191" i="4" s="1"/>
  <c r="X192" i="4"/>
  <c r="BG208" i="4"/>
  <c r="BM207" i="4"/>
  <c r="BN207" i="4" s="1"/>
  <c r="BH208" i="4"/>
  <c r="BB192" i="4"/>
  <c r="CR238" i="4"/>
  <c r="CP238" i="4" s="1"/>
  <c r="CT238" i="4" s="1"/>
  <c r="CW237" i="4"/>
  <c r="CX237" i="4" s="1"/>
  <c r="DH201" i="4"/>
  <c r="CC216" i="4"/>
  <c r="CB216" i="4"/>
  <c r="AW192" i="4"/>
  <c r="BA192" i="4" s="1"/>
  <c r="BV226" i="4"/>
  <c r="BW226" i="4" s="1"/>
  <c r="BQ227" i="4"/>
  <c r="BO227" i="4" s="1"/>
  <c r="AP227" i="4"/>
  <c r="AU226" i="4"/>
  <c r="AV226" i="4" s="1"/>
  <c r="AS226" i="4"/>
  <c r="Q230" i="4"/>
  <c r="Z192" i="4" l="1"/>
  <c r="AJ194" i="4"/>
  <c r="DD215" i="4"/>
  <c r="DC215" i="4"/>
  <c r="AG195" i="4"/>
  <c r="AE195" i="4" s="1"/>
  <c r="AI195" i="4" s="1"/>
  <c r="AL194" i="4"/>
  <c r="AM194" i="4" s="1"/>
  <c r="CH202" i="4"/>
  <c r="CG202" i="4" s="1"/>
  <c r="CN201" i="4"/>
  <c r="CO201" i="4" s="1"/>
  <c r="CI202" i="4"/>
  <c r="BF208" i="4"/>
  <c r="DM201" i="4"/>
  <c r="DL201" i="4"/>
  <c r="CR239" i="4"/>
  <c r="CW238" i="4"/>
  <c r="CX238" i="4" s="1"/>
  <c r="CU238" i="4"/>
  <c r="AX193" i="4"/>
  <c r="BD192" i="4"/>
  <c r="BE192" i="4" s="1"/>
  <c r="AY193" i="4"/>
  <c r="BY217" i="4"/>
  <c r="BX217" i="4" s="1"/>
  <c r="CC217" i="4" s="1"/>
  <c r="CE216" i="4"/>
  <c r="CF216" i="4" s="1"/>
  <c r="BZ217" i="4"/>
  <c r="BS227" i="4"/>
  <c r="BT227" i="4"/>
  <c r="AN227" i="4"/>
  <c r="AR227" i="4" s="1"/>
  <c r="O231" i="4"/>
  <c r="M231" i="4" s="1"/>
  <c r="R231" i="4" s="1"/>
  <c r="T230" i="4"/>
  <c r="U230" i="4" s="1"/>
  <c r="CK202" i="4" l="1"/>
  <c r="CL202" i="4"/>
  <c r="CZ216" i="4"/>
  <c r="DF215" i="4"/>
  <c r="DG215" i="4" s="1"/>
  <c r="DA216" i="4"/>
  <c r="CY216" i="4" s="1"/>
  <c r="DD216" i="4" s="1"/>
  <c r="DC216" i="4"/>
  <c r="BK208" i="4"/>
  <c r="BJ208" i="4"/>
  <c r="AW193" i="4"/>
  <c r="W193" i="4"/>
  <c r="AC192" i="4"/>
  <c r="AD192" i="4" s="1"/>
  <c r="X193" i="4"/>
  <c r="V193" i="4" s="1"/>
  <c r="BA193" i="4"/>
  <c r="BB193" i="4"/>
  <c r="CP239" i="4"/>
  <c r="CT239" i="4" s="1"/>
  <c r="AF196" i="4"/>
  <c r="AG196" i="4"/>
  <c r="AL195" i="4"/>
  <c r="AM195" i="4" s="1"/>
  <c r="CU239" i="4"/>
  <c r="CB217" i="4"/>
  <c r="DI202" i="4"/>
  <c r="DJ202" i="4"/>
  <c r="DO201" i="4"/>
  <c r="DP201" i="4" s="1"/>
  <c r="AJ195" i="4"/>
  <c r="BQ228" i="4"/>
  <c r="BO228" i="4" s="1"/>
  <c r="BV227" i="4"/>
  <c r="BW227" i="4" s="1"/>
  <c r="AU227" i="4"/>
  <c r="AV227" i="4" s="1"/>
  <c r="AP228" i="4"/>
  <c r="AS227" i="4"/>
  <c r="Q231" i="4"/>
  <c r="Z193" i="4" l="1"/>
  <c r="AA193" i="4"/>
  <c r="BG209" i="4"/>
  <c r="BF209" i="4" s="1"/>
  <c r="BM208" i="4"/>
  <c r="BN208" i="4" s="1"/>
  <c r="BH209" i="4"/>
  <c r="BJ209" i="4"/>
  <c r="BK209" i="4"/>
  <c r="CZ217" i="4"/>
  <c r="CY217" i="4" s="1"/>
  <c r="DD217" i="4" s="1"/>
  <c r="DF216" i="4"/>
  <c r="DG216" i="4" s="1"/>
  <c r="DA217" i="4"/>
  <c r="CH203" i="4"/>
  <c r="CG203" i="4" s="1"/>
  <c r="CK203" i="4" s="1"/>
  <c r="CI203" i="4"/>
  <c r="CN202" i="4"/>
  <c r="CO202" i="4" s="1"/>
  <c r="BY218" i="4"/>
  <c r="BZ218" i="4"/>
  <c r="CE217" i="4"/>
  <c r="CF217" i="4" s="1"/>
  <c r="AE196" i="4"/>
  <c r="AI196" i="4" s="1"/>
  <c r="DH202" i="4"/>
  <c r="CW239" i="4"/>
  <c r="CX239" i="4" s="1"/>
  <c r="CR240" i="4"/>
  <c r="CP240" i="4" s="1"/>
  <c r="CT240" i="4" s="1"/>
  <c r="AJ196" i="4"/>
  <c r="AX194" i="4"/>
  <c r="AY194" i="4"/>
  <c r="BD193" i="4"/>
  <c r="BE193" i="4" s="1"/>
  <c r="BS228" i="4"/>
  <c r="BT228" i="4"/>
  <c r="AN228" i="4"/>
  <c r="AR228" i="4" s="1"/>
  <c r="T231" i="4"/>
  <c r="U231" i="4" s="1"/>
  <c r="O232" i="4"/>
  <c r="M232" i="4"/>
  <c r="R232" i="4" s="1"/>
  <c r="CL203" i="4" l="1"/>
  <c r="DC217" i="4"/>
  <c r="CH204" i="4"/>
  <c r="CN203" i="4"/>
  <c r="CO203" i="4" s="1"/>
  <c r="CI204" i="4"/>
  <c r="BG210" i="4"/>
  <c r="BM209" i="4"/>
  <c r="BN209" i="4" s="1"/>
  <c r="BH210" i="4"/>
  <c r="W194" i="4"/>
  <c r="V194" i="4" s="1"/>
  <c r="Z194" i="4" s="1"/>
  <c r="AC193" i="4"/>
  <c r="AD193" i="4" s="1"/>
  <c r="X194" i="4"/>
  <c r="DL202" i="4"/>
  <c r="DM202" i="4"/>
  <c r="AF197" i="4"/>
  <c r="AL196" i="4"/>
  <c r="AM196" i="4" s="1"/>
  <c r="AG197" i="4"/>
  <c r="CR241" i="4"/>
  <c r="CW240" i="4"/>
  <c r="CX240" i="4" s="1"/>
  <c r="AW194" i="4"/>
  <c r="BX218" i="4"/>
  <c r="CU240" i="4"/>
  <c r="BQ229" i="4"/>
  <c r="BO229" i="4" s="1"/>
  <c r="BV228" i="4"/>
  <c r="BW228" i="4" s="1"/>
  <c r="AP229" i="4"/>
  <c r="AN229" i="4" s="1"/>
  <c r="AR229" i="4" s="1"/>
  <c r="AU228" i="4"/>
  <c r="AV228" i="4" s="1"/>
  <c r="AS228" i="4"/>
  <c r="Q232" i="4"/>
  <c r="W195" i="4" l="1"/>
  <c r="X195" i="4"/>
  <c r="AC194" i="4"/>
  <c r="AD194" i="4" s="1"/>
  <c r="AA194" i="4"/>
  <c r="BF210" i="4"/>
  <c r="CG204" i="4"/>
  <c r="CK204" i="4" s="1"/>
  <c r="CZ218" i="4"/>
  <c r="DA218" i="4"/>
  <c r="DF217" i="4"/>
  <c r="DG217" i="4" s="1"/>
  <c r="CL204" i="4"/>
  <c r="CC218" i="4"/>
  <c r="CB218" i="4"/>
  <c r="BA194" i="4"/>
  <c r="BB194" i="4"/>
  <c r="CP241" i="4"/>
  <c r="CT241" i="4" s="1"/>
  <c r="AE197" i="4"/>
  <c r="DI203" i="4"/>
  <c r="DO202" i="4"/>
  <c r="DP202" i="4" s="1"/>
  <c r="DJ203" i="4"/>
  <c r="BS229" i="4"/>
  <c r="BT229" i="4"/>
  <c r="AS229" i="4"/>
  <c r="AP230" i="4"/>
  <c r="AN230" i="4"/>
  <c r="AR230" i="4" s="1"/>
  <c r="AU229" i="4"/>
  <c r="AV229" i="4" s="1"/>
  <c r="T232" i="4"/>
  <c r="U232" i="4" s="1"/>
  <c r="O233" i="4"/>
  <c r="M233" i="4"/>
  <c r="R233" i="4" s="1"/>
  <c r="CY218" i="4" l="1"/>
  <c r="DH203" i="4"/>
  <c r="DL203" i="4" s="1"/>
  <c r="DI204" i="4" s="1"/>
  <c r="CH205" i="4"/>
  <c r="CN204" i="4"/>
  <c r="CO204" i="4" s="1"/>
  <c r="CI205" i="4"/>
  <c r="BK210" i="4"/>
  <c r="BJ210" i="4"/>
  <c r="V195" i="4"/>
  <c r="Z195" i="4" s="1"/>
  <c r="AX195" i="4"/>
  <c r="BD194" i="4"/>
  <c r="BE194" i="4" s="1"/>
  <c r="AY195" i="4"/>
  <c r="DM203" i="4"/>
  <c r="CW241" i="4"/>
  <c r="CX241" i="4" s="1"/>
  <c r="CR242" i="4"/>
  <c r="BY219" i="4"/>
  <c r="CE218" i="4"/>
  <c r="CF218" i="4" s="1"/>
  <c r="BZ219" i="4"/>
  <c r="BX219" i="4" s="1"/>
  <c r="CB219" i="4" s="1"/>
  <c r="AI197" i="4"/>
  <c r="AJ197" i="4"/>
  <c r="CU241" i="4"/>
  <c r="BV229" i="4"/>
  <c r="BW229" i="4" s="1"/>
  <c r="BQ230" i="4"/>
  <c r="BO230" i="4" s="1"/>
  <c r="AP231" i="4"/>
  <c r="AU230" i="4"/>
  <c r="AV230" i="4" s="1"/>
  <c r="AS230" i="4"/>
  <c r="AN231" i="4" s="1"/>
  <c r="AR231" i="4" s="1"/>
  <c r="Q233" i="4"/>
  <c r="DO203" i="4" l="1"/>
  <c r="DP203" i="4" s="1"/>
  <c r="DJ204" i="4"/>
  <c r="DH204" i="4" s="1"/>
  <c r="W196" i="4"/>
  <c r="X196" i="4"/>
  <c r="AC195" i="4"/>
  <c r="AD195" i="4" s="1"/>
  <c r="AA195" i="4"/>
  <c r="BG211" i="4"/>
  <c r="BM210" i="4"/>
  <c r="BN210" i="4" s="1"/>
  <c r="BH211" i="4"/>
  <c r="BF211" i="4" s="1"/>
  <c r="BK211" i="4" s="1"/>
  <c r="BJ211" i="4"/>
  <c r="CP242" i="4"/>
  <c r="CT242" i="4" s="1"/>
  <c r="CR243" i="4" s="1"/>
  <c r="CG205" i="4"/>
  <c r="DD218" i="4"/>
  <c r="DC218" i="4"/>
  <c r="CC219" i="4"/>
  <c r="BY220" i="4"/>
  <c r="CE219" i="4"/>
  <c r="CF219" i="4" s="1"/>
  <c r="BZ220" i="4"/>
  <c r="AF198" i="4"/>
  <c r="AL197" i="4"/>
  <c r="AM197" i="4" s="1"/>
  <c r="AG198" i="4"/>
  <c r="AW195" i="4"/>
  <c r="E5" i="2" a="1"/>
  <c r="E5" i="2" s="1"/>
  <c r="E25" i="2"/>
  <c r="BS230" i="4"/>
  <c r="BT230" i="4"/>
  <c r="AS231" i="4"/>
  <c r="AU231" i="4"/>
  <c r="AV231" i="4" s="1"/>
  <c r="AP232" i="4"/>
  <c r="AN232" i="4" s="1"/>
  <c r="AR232" i="4" s="1"/>
  <c r="O234" i="4"/>
  <c r="T233" i="4"/>
  <c r="U233" i="4" s="1"/>
  <c r="M234" i="4"/>
  <c r="R234" i="4" s="1"/>
  <c r="DL204" i="4" l="1"/>
  <c r="DM204" i="4"/>
  <c r="BG212" i="4"/>
  <c r="BM211" i="4"/>
  <c r="BN211" i="4" s="1"/>
  <c r="BH212" i="4"/>
  <c r="CW242" i="4"/>
  <c r="CX242" i="4" s="1"/>
  <c r="AA196" i="4"/>
  <c r="CZ219" i="4"/>
  <c r="DA219" i="4"/>
  <c r="DF218" i="4"/>
  <c r="DG218" i="4" s="1"/>
  <c r="CK205" i="4"/>
  <c r="CL205" i="4"/>
  <c r="V196" i="4"/>
  <c r="Z196" i="4" s="1"/>
  <c r="CU242" i="4"/>
  <c r="BB195" i="4"/>
  <c r="BA195" i="4"/>
  <c r="BX220" i="4"/>
  <c r="CP243" i="4"/>
  <c r="CT243" i="4" s="1"/>
  <c r="E20" i="2"/>
  <c r="D5" i="6"/>
  <c r="AE198" i="4"/>
  <c r="BQ231" i="4"/>
  <c r="BO231" i="4" s="1"/>
  <c r="BS231" i="4" s="1"/>
  <c r="BV230" i="4"/>
  <c r="BW230" i="4" s="1"/>
  <c r="AU232" i="4"/>
  <c r="AV232" i="4" s="1"/>
  <c r="AP233" i="4"/>
  <c r="AS232" i="4"/>
  <c r="Q234" i="4"/>
  <c r="CH206" i="4" l="1"/>
  <c r="CG206" i="4" s="1"/>
  <c r="CN205" i="4"/>
  <c r="CO205" i="4" s="1"/>
  <c r="CI206" i="4"/>
  <c r="CY219" i="4"/>
  <c r="AN233" i="4"/>
  <c r="AR233" i="4" s="1"/>
  <c r="AU233" i="4" s="1"/>
  <c r="AV233" i="4" s="1"/>
  <c r="BF212" i="4"/>
  <c r="W197" i="4"/>
  <c r="AC196" i="4"/>
  <c r="AD196" i="4" s="1"/>
  <c r="X197" i="4"/>
  <c r="V197" i="4" s="1"/>
  <c r="AA197" i="4" s="1"/>
  <c r="Z197" i="4"/>
  <c r="DO204" i="4"/>
  <c r="DP204" i="4" s="1"/>
  <c r="DJ205" i="4"/>
  <c r="DI205" i="4"/>
  <c r="CU243" i="4"/>
  <c r="AI198" i="4"/>
  <c r="AJ198" i="4"/>
  <c r="CW243" i="4"/>
  <c r="CX243" i="4" s="1"/>
  <c r="CR244" i="4"/>
  <c r="CP244" i="4" s="1"/>
  <c r="CT244" i="4" s="1"/>
  <c r="CC220" i="4"/>
  <c r="CB220" i="4"/>
  <c r="AX196" i="4"/>
  <c r="BD195" i="4"/>
  <c r="BE195" i="4" s="1"/>
  <c r="AY196" i="4"/>
  <c r="BV231" i="4"/>
  <c r="BW231" i="4" s="1"/>
  <c r="BQ232" i="4"/>
  <c r="BO232" i="4" s="1"/>
  <c r="BS232" i="4" s="1"/>
  <c r="BT231" i="4"/>
  <c r="AS233" i="4"/>
  <c r="T234" i="4"/>
  <c r="U234" i="4" s="1"/>
  <c r="O235" i="4"/>
  <c r="M235" i="4"/>
  <c r="R235" i="4" s="1"/>
  <c r="CK206" i="4" l="1"/>
  <c r="CL206" i="4"/>
  <c r="BK212" i="4"/>
  <c r="BJ212" i="4"/>
  <c r="W198" i="4"/>
  <c r="V198" i="4" s="1"/>
  <c r="AA198" i="4" s="1"/>
  <c r="X198" i="4"/>
  <c r="AC197" i="4"/>
  <c r="AD197" i="4" s="1"/>
  <c r="AP234" i="4"/>
  <c r="AN234" i="4" s="1"/>
  <c r="DC219" i="4"/>
  <c r="DD219" i="4"/>
  <c r="DH205" i="4"/>
  <c r="CW244" i="4"/>
  <c r="CX244" i="4" s="1"/>
  <c r="CR245" i="4"/>
  <c r="AF199" i="4"/>
  <c r="AL198" i="4"/>
  <c r="AM198" i="4" s="1"/>
  <c r="AG199" i="4"/>
  <c r="AW196" i="4"/>
  <c r="BY221" i="4"/>
  <c r="BX221" i="4" s="1"/>
  <c r="CC221" i="4" s="1"/>
  <c r="BZ221" i="4"/>
  <c r="CE220" i="4"/>
  <c r="CF220" i="4" s="1"/>
  <c r="CU244" i="4"/>
  <c r="BQ233" i="4"/>
  <c r="BV232" i="4"/>
  <c r="BW232" i="4" s="1"/>
  <c r="BT232" i="4"/>
  <c r="Q235" i="4"/>
  <c r="AR234" i="4" l="1"/>
  <c r="AS234" i="4"/>
  <c r="DL205" i="4"/>
  <c r="DM205" i="4"/>
  <c r="CZ220" i="4"/>
  <c r="CY220" i="4" s="1"/>
  <c r="DD220" i="4" s="1"/>
  <c r="DA220" i="4"/>
  <c r="DF219" i="4"/>
  <c r="DG219" i="4" s="1"/>
  <c r="DC220" i="4"/>
  <c r="Z198" i="4"/>
  <c r="BM212" i="4"/>
  <c r="BN212" i="4" s="1"/>
  <c r="BG213" i="4"/>
  <c r="BH213" i="4"/>
  <c r="AE199" i="4"/>
  <c r="CH207" i="4"/>
  <c r="CN206" i="4"/>
  <c r="CO206" i="4" s="1"/>
  <c r="CI207" i="4"/>
  <c r="BB196" i="4"/>
  <c r="BA196" i="4"/>
  <c r="CP245" i="4"/>
  <c r="CT245" i="4" s="1"/>
  <c r="CW245" i="4" s="1"/>
  <c r="CX245" i="4" s="1"/>
  <c r="CB221" i="4"/>
  <c r="BO233" i="4"/>
  <c r="BS233" i="4" s="1"/>
  <c r="T235" i="4"/>
  <c r="U235" i="4" s="1"/>
  <c r="O236" i="4"/>
  <c r="M236" i="4"/>
  <c r="R236" i="4" s="1"/>
  <c r="CZ221" i="4" l="1"/>
  <c r="DA221" i="4"/>
  <c r="DF220" i="4"/>
  <c r="DG220" i="4" s="1"/>
  <c r="BF213" i="4"/>
  <c r="W199" i="4"/>
  <c r="V199" i="4" s="1"/>
  <c r="AA199" i="4" s="1"/>
  <c r="X199" i="4"/>
  <c r="AC198" i="4"/>
  <c r="AD198" i="4" s="1"/>
  <c r="DI206" i="4"/>
  <c r="DH206" i="4" s="1"/>
  <c r="DL206" i="4" s="1"/>
  <c r="DO205" i="4"/>
  <c r="DP205" i="4" s="1"/>
  <c r="DJ206" i="4"/>
  <c r="CG207" i="4"/>
  <c r="AJ199" i="4"/>
  <c r="AI199" i="4"/>
  <c r="AU234" i="4"/>
  <c r="AV234" i="4" s="1"/>
  <c r="AP235" i="4"/>
  <c r="AN235" i="4" s="1"/>
  <c r="CU245" i="4"/>
  <c r="AX197" i="4"/>
  <c r="BD196" i="4"/>
  <c r="BE196" i="4" s="1"/>
  <c r="AY197" i="4"/>
  <c r="BY222" i="4"/>
  <c r="CE221" i="4"/>
  <c r="CF221" i="4" s="1"/>
  <c r="BZ222" i="4"/>
  <c r="BQ234" i="4"/>
  <c r="BV233" i="4"/>
  <c r="BW233" i="4" s="1"/>
  <c r="BT233" i="4"/>
  <c r="Q236" i="4"/>
  <c r="Z199" i="4" l="1"/>
  <c r="DM206" i="4"/>
  <c r="CK207" i="4"/>
  <c r="CL207" i="4"/>
  <c r="DI207" i="4"/>
  <c r="DH207" i="4" s="1"/>
  <c r="DM207" i="4" s="1"/>
  <c r="DJ207" i="4"/>
  <c r="DO206" i="4"/>
  <c r="DP206" i="4" s="1"/>
  <c r="BK213" i="4"/>
  <c r="BJ213" i="4"/>
  <c r="AR235" i="4"/>
  <c r="AS235" i="4"/>
  <c r="AF200" i="4"/>
  <c r="AE200" i="4" s="1"/>
  <c r="AJ200" i="4" s="1"/>
  <c r="AG200" i="4"/>
  <c r="AL199" i="4"/>
  <c r="AM199" i="4" s="1"/>
  <c r="CY221" i="4"/>
  <c r="BX222" i="4"/>
  <c r="AW197" i="4"/>
  <c r="BO234" i="4"/>
  <c r="BS234" i="4" s="1"/>
  <c r="O237" i="4"/>
  <c r="T236" i="4"/>
  <c r="U236" i="4" s="1"/>
  <c r="M237" i="4"/>
  <c r="R237" i="4" s="1"/>
  <c r="AU235" i="4" l="1"/>
  <c r="AV235" i="4" s="1"/>
  <c r="AP236" i="4"/>
  <c r="AN236" i="4"/>
  <c r="AR236" i="4" s="1"/>
  <c r="AS236" i="4"/>
  <c r="BG214" i="4"/>
  <c r="BM213" i="4"/>
  <c r="BN213" i="4" s="1"/>
  <c r="BH214" i="4"/>
  <c r="AI200" i="4"/>
  <c r="AF201" i="4" s="1"/>
  <c r="DL207" i="4"/>
  <c r="DI208" i="4" s="1"/>
  <c r="CH208" i="4"/>
  <c r="CG208" i="4" s="1"/>
  <c r="CI208" i="4"/>
  <c r="CN207" i="4"/>
  <c r="CO207" i="4" s="1"/>
  <c r="DD221" i="4"/>
  <c r="DC221" i="4"/>
  <c r="W200" i="4"/>
  <c r="AC199" i="4"/>
  <c r="AD199" i="4" s="1"/>
  <c r="X200" i="4"/>
  <c r="AL200" i="4"/>
  <c r="AM200" i="4" s="1"/>
  <c r="AG201" i="4"/>
  <c r="BB197" i="4"/>
  <c r="BA197" i="4"/>
  <c r="CC222" i="4"/>
  <c r="CB222" i="4"/>
  <c r="BQ235" i="4"/>
  <c r="BV234" i="4"/>
  <c r="BW234" i="4" s="1"/>
  <c r="BT234" i="4"/>
  <c r="Q237" i="4"/>
  <c r="CK208" i="4" l="1"/>
  <c r="CL208" i="4"/>
  <c r="BF214" i="4"/>
  <c r="V200" i="4"/>
  <c r="DJ208" i="4"/>
  <c r="DH208" i="4" s="1"/>
  <c r="CZ222" i="4"/>
  <c r="CY222" i="4" s="1"/>
  <c r="DD222" i="4" s="1"/>
  <c r="DA222" i="4"/>
  <c r="DF221" i="4"/>
  <c r="DG221" i="4" s="1"/>
  <c r="AU236" i="4"/>
  <c r="AV236" i="4" s="1"/>
  <c r="AP237" i="4"/>
  <c r="AN237" i="4" s="1"/>
  <c r="AR237" i="4" s="1"/>
  <c r="DO207" i="4"/>
  <c r="DP207" i="4" s="1"/>
  <c r="AX198" i="4"/>
  <c r="AY198" i="4"/>
  <c r="BD197" i="4"/>
  <c r="BE197" i="4" s="1"/>
  <c r="BY223" i="4"/>
  <c r="BZ223" i="4"/>
  <c r="CE222" i="4"/>
  <c r="CF222" i="4" s="1"/>
  <c r="AE201" i="4"/>
  <c r="BO235" i="4"/>
  <c r="BS235" i="4" s="1"/>
  <c r="O238" i="4"/>
  <c r="T237" i="4"/>
  <c r="U237" i="4" s="1"/>
  <c r="M238" i="4"/>
  <c r="R238" i="4" s="1"/>
  <c r="DL208" i="4" l="1"/>
  <c r="DM208" i="4"/>
  <c r="AU237" i="4"/>
  <c r="AV237" i="4" s="1"/>
  <c r="AP238" i="4"/>
  <c r="DC222" i="4"/>
  <c r="BK214" i="4"/>
  <c r="BJ214" i="4"/>
  <c r="AS237" i="4"/>
  <c r="BX223" i="4"/>
  <c r="CC223" i="4" s="1"/>
  <c r="AA200" i="4"/>
  <c r="Z200" i="4"/>
  <c r="CH209" i="4"/>
  <c r="CI209" i="4"/>
  <c r="CN208" i="4"/>
  <c r="CO208" i="4" s="1"/>
  <c r="AJ201" i="4"/>
  <c r="AI201" i="4"/>
  <c r="AW198" i="4"/>
  <c r="BV235" i="4"/>
  <c r="BW235" i="4" s="1"/>
  <c r="BQ236" i="4"/>
  <c r="BT235" i="4"/>
  <c r="Q238" i="4"/>
  <c r="W201" i="4" l="1"/>
  <c r="X201" i="4"/>
  <c r="AC200" i="4"/>
  <c r="AD200" i="4" s="1"/>
  <c r="AN238" i="4"/>
  <c r="AR238" i="4" s="1"/>
  <c r="BM214" i="4"/>
  <c r="BN214" i="4" s="1"/>
  <c r="BH215" i="4"/>
  <c r="BG215" i="4"/>
  <c r="BF215" i="4" s="1"/>
  <c r="BJ215" i="4" s="1"/>
  <c r="CB223" i="4"/>
  <c r="BY224" i="4" s="1"/>
  <c r="CZ223" i="4"/>
  <c r="CY223" i="4" s="1"/>
  <c r="DD223" i="4" s="1"/>
  <c r="DF222" i="4"/>
  <c r="DG222" i="4" s="1"/>
  <c r="DA223" i="4"/>
  <c r="CG209" i="4"/>
  <c r="DI209" i="4"/>
  <c r="DH209" i="4" s="1"/>
  <c r="DJ209" i="4"/>
  <c r="DO208" i="4"/>
  <c r="DP208" i="4" s="1"/>
  <c r="AF202" i="4"/>
  <c r="AL201" i="4"/>
  <c r="AM201" i="4" s="1"/>
  <c r="AG202" i="4"/>
  <c r="BA198" i="4"/>
  <c r="BB198" i="4"/>
  <c r="BO236" i="4"/>
  <c r="BS236" i="4" s="1"/>
  <c r="BV236" i="4"/>
  <c r="BW236" i="4" s="1"/>
  <c r="BQ237" i="4"/>
  <c r="BT236" i="4"/>
  <c r="T238" i="4"/>
  <c r="U238" i="4" s="1"/>
  <c r="O239" i="4"/>
  <c r="M239" i="4"/>
  <c r="R239" i="4" s="1"/>
  <c r="BG216" i="4" l="1"/>
  <c r="BM215" i="4"/>
  <c r="BN215" i="4" s="1"/>
  <c r="BH216" i="4"/>
  <c r="AS238" i="4"/>
  <c r="BK215" i="4"/>
  <c r="DL209" i="4"/>
  <c r="DM209" i="4"/>
  <c r="CE223" i="4"/>
  <c r="CF223" i="4" s="1"/>
  <c r="DC223" i="4"/>
  <c r="V201" i="4"/>
  <c r="AP239" i="4"/>
  <c r="AN239" i="4" s="1"/>
  <c r="AR239" i="4" s="1"/>
  <c r="AU238" i="4"/>
  <c r="AV238" i="4" s="1"/>
  <c r="BZ224" i="4"/>
  <c r="CK209" i="4"/>
  <c r="CL209" i="4"/>
  <c r="BO237" i="4"/>
  <c r="BS237" i="4" s="1"/>
  <c r="AE202" i="4"/>
  <c r="BX224" i="4"/>
  <c r="AX199" i="4"/>
  <c r="BD198" i="4"/>
  <c r="BE198" i="4" s="1"/>
  <c r="AY199" i="4"/>
  <c r="BV237" i="4"/>
  <c r="BW237" i="4" s="1"/>
  <c r="BQ238" i="4"/>
  <c r="BT237" i="4"/>
  <c r="Q239" i="4"/>
  <c r="AA201" i="4" l="1"/>
  <c r="Z201" i="4"/>
  <c r="AS239" i="4"/>
  <c r="CZ224" i="4"/>
  <c r="DA224" i="4"/>
  <c r="DF223" i="4"/>
  <c r="DG223" i="4" s="1"/>
  <c r="DI210" i="4"/>
  <c r="DJ210" i="4"/>
  <c r="DO209" i="4"/>
  <c r="DP209" i="4" s="1"/>
  <c r="BK216" i="4"/>
  <c r="AU239" i="4"/>
  <c r="AV239" i="4" s="1"/>
  <c r="AP240" i="4"/>
  <c r="AN240" i="4" s="1"/>
  <c r="AR240" i="4" s="1"/>
  <c r="CH210" i="4"/>
  <c r="CG210" i="4" s="1"/>
  <c r="CK210" i="4" s="1"/>
  <c r="CI210" i="4"/>
  <c r="CN209" i="4"/>
  <c r="CO209" i="4" s="1"/>
  <c r="BF216" i="4"/>
  <c r="BJ216" i="4" s="1"/>
  <c r="AW199" i="4"/>
  <c r="CC224" i="4"/>
  <c r="CB224" i="4"/>
  <c r="AJ202" i="4"/>
  <c r="AI202" i="4"/>
  <c r="BO238" i="4"/>
  <c r="BS238" i="4" s="1"/>
  <c r="T239" i="4"/>
  <c r="U239" i="4" s="1"/>
  <c r="O240" i="4"/>
  <c r="M240" i="4"/>
  <c r="R240" i="4" s="1"/>
  <c r="CH211" i="4" l="1"/>
  <c r="CI211" i="4"/>
  <c r="CG211" i="4" s="1"/>
  <c r="CL211" i="4" s="1"/>
  <c r="CN210" i="4"/>
  <c r="CO210" i="4" s="1"/>
  <c r="CL210" i="4"/>
  <c r="AP241" i="4"/>
  <c r="AU240" i="4"/>
  <c r="AV240" i="4" s="1"/>
  <c r="DH210" i="4"/>
  <c r="CY224" i="4"/>
  <c r="BH217" i="4"/>
  <c r="BM216" i="4"/>
  <c r="BN216" i="4" s="1"/>
  <c r="BG217" i="4"/>
  <c r="BF217" i="4" s="1"/>
  <c r="BJ217" i="4" s="1"/>
  <c r="BH218" i="4" s="1"/>
  <c r="AS240" i="4"/>
  <c r="W202" i="4"/>
  <c r="X202" i="4"/>
  <c r="AC201" i="4"/>
  <c r="AD201" i="4" s="1"/>
  <c r="BY225" i="4"/>
  <c r="CE224" i="4"/>
  <c r="CF224" i="4" s="1"/>
  <c r="BZ225" i="4"/>
  <c r="BB199" i="4"/>
  <c r="BA199" i="4"/>
  <c r="AF203" i="4"/>
  <c r="AE203" i="4" s="1"/>
  <c r="AJ203" i="4" s="1"/>
  <c r="AL202" i="4"/>
  <c r="AM202" i="4" s="1"/>
  <c r="AG203" i="4"/>
  <c r="BV238" i="4"/>
  <c r="BW238" i="4" s="1"/>
  <c r="BQ239" i="4"/>
  <c r="BT238" i="4"/>
  <c r="Q240" i="4"/>
  <c r="BM217" i="4" l="1"/>
  <c r="BN217" i="4" s="1"/>
  <c r="CK211" i="4"/>
  <c r="BG218" i="4"/>
  <c r="DC224" i="4"/>
  <c r="DD224" i="4"/>
  <c r="DL210" i="4"/>
  <c r="DM210" i="4"/>
  <c r="AN241" i="4"/>
  <c r="AR241" i="4" s="1"/>
  <c r="V202" i="4"/>
  <c r="BK217" i="4"/>
  <c r="AI203" i="4"/>
  <c r="AX200" i="4"/>
  <c r="AY200" i="4"/>
  <c r="BD199" i="4"/>
  <c r="BE199" i="4" s="1"/>
  <c r="BO239" i="4"/>
  <c r="BS239" i="4" s="1"/>
  <c r="BV239" i="4" s="1"/>
  <c r="BW239" i="4" s="1"/>
  <c r="BX225" i="4"/>
  <c r="O241" i="4"/>
  <c r="M241" i="4" s="1"/>
  <c r="R241" i="4" s="1"/>
  <c r="T240" i="4"/>
  <c r="U240" i="4" s="1"/>
  <c r="AP242" i="4" l="1"/>
  <c r="AU241" i="4"/>
  <c r="AV241" i="4" s="1"/>
  <c r="DJ211" i="4"/>
  <c r="DI211" i="4"/>
  <c r="DH211" i="4" s="1"/>
  <c r="DL211" i="4" s="1"/>
  <c r="DO210" i="4"/>
  <c r="DP210" i="4" s="1"/>
  <c r="AA202" i="4"/>
  <c r="Z202" i="4"/>
  <c r="DM211" i="4"/>
  <c r="CZ225" i="4"/>
  <c r="DA225" i="4"/>
  <c r="DF224" i="4"/>
  <c r="DG224" i="4" s="1"/>
  <c r="AS241" i="4"/>
  <c r="BF218" i="4"/>
  <c r="CH212" i="4"/>
  <c r="CI212" i="4"/>
  <c r="CN211" i="4"/>
  <c r="CO211" i="4" s="1"/>
  <c r="CB225" i="4"/>
  <c r="CC225" i="4"/>
  <c r="BT239" i="4"/>
  <c r="BQ240" i="4"/>
  <c r="BO240" i="4" s="1"/>
  <c r="BS240" i="4" s="1"/>
  <c r="BQ241" i="4" s="1"/>
  <c r="AW200" i="4"/>
  <c r="AF204" i="4"/>
  <c r="AL203" i="4"/>
  <c r="AM203" i="4" s="1"/>
  <c r="AG204" i="4"/>
  <c r="C5" i="2" a="1"/>
  <c r="C5" i="2" s="1"/>
  <c r="C20" i="2" s="1"/>
  <c r="C25" i="2"/>
  <c r="Q241" i="4"/>
  <c r="BK218" i="4" l="1"/>
  <c r="BJ218" i="4"/>
  <c r="AS242" i="4"/>
  <c r="BO241" i="4"/>
  <c r="BT241" i="4" s="1"/>
  <c r="CY225" i="4"/>
  <c r="W203" i="4"/>
  <c r="V203" i="4" s="1"/>
  <c r="AA203" i="4" s="1"/>
  <c r="X203" i="4"/>
  <c r="AC202" i="4"/>
  <c r="AD202" i="4" s="1"/>
  <c r="DI212" i="4"/>
  <c r="DO211" i="4"/>
  <c r="DP211" i="4" s="1"/>
  <c r="DJ212" i="4"/>
  <c r="BT240" i="4"/>
  <c r="CG212" i="4"/>
  <c r="AN242" i="4"/>
  <c r="AR242" i="4" s="1"/>
  <c r="BY226" i="4"/>
  <c r="CE225" i="4"/>
  <c r="CF225" i="4" s="1"/>
  <c r="BZ226" i="4"/>
  <c r="BV240" i="4"/>
  <c r="BW240" i="4" s="1"/>
  <c r="AE204" i="4"/>
  <c r="BB200" i="4"/>
  <c r="BA200" i="4"/>
  <c r="T241" i="4"/>
  <c r="U241" i="4" s="1"/>
  <c r="O242" i="4"/>
  <c r="Z203" i="4" l="1"/>
  <c r="DH212" i="4"/>
  <c r="BX226" i="4"/>
  <c r="CC226" i="4" s="1"/>
  <c r="DC225" i="4"/>
  <c r="DD225" i="4"/>
  <c r="BS241" i="4"/>
  <c r="AU242" i="4"/>
  <c r="AV242" i="4" s="1"/>
  <c r="AP243" i="4"/>
  <c r="AN243" i="4" s="1"/>
  <c r="AR243" i="4" s="1"/>
  <c r="BG219" i="4"/>
  <c r="BF219" i="4" s="1"/>
  <c r="BJ219" i="4" s="1"/>
  <c r="BH219" i="4"/>
  <c r="BM218" i="4"/>
  <c r="BN218" i="4" s="1"/>
  <c r="CL212" i="4"/>
  <c r="CK212" i="4"/>
  <c r="AJ204" i="4"/>
  <c r="AI204" i="4"/>
  <c r="AX201" i="4"/>
  <c r="AY201" i="4"/>
  <c r="BD200" i="4"/>
  <c r="BE200" i="4" s="1"/>
  <c r="CB226" i="4"/>
  <c r="M242" i="4"/>
  <c r="R242" i="4" s="1"/>
  <c r="BK219" i="4" l="1"/>
  <c r="DM212" i="4"/>
  <c r="DL212" i="4"/>
  <c r="CH213" i="4"/>
  <c r="CN212" i="4"/>
  <c r="CO212" i="4" s="1"/>
  <c r="CI213" i="4"/>
  <c r="AU243" i="4"/>
  <c r="AV243" i="4" s="1"/>
  <c r="AP244" i="4"/>
  <c r="BV241" i="4"/>
  <c r="BW241" i="4" s="1"/>
  <c r="BQ242" i="4"/>
  <c r="BO242" i="4" s="1"/>
  <c r="BT242" i="4" s="1"/>
  <c r="AS243" i="4"/>
  <c r="CZ226" i="4"/>
  <c r="CY226" i="4" s="1"/>
  <c r="DC226" i="4" s="1"/>
  <c r="DA226" i="4"/>
  <c r="DF225" i="4"/>
  <c r="DG225" i="4" s="1"/>
  <c r="W204" i="4"/>
  <c r="X204" i="4"/>
  <c r="AC203" i="4"/>
  <c r="AD203" i="4" s="1"/>
  <c r="BG220" i="4"/>
  <c r="BM219" i="4"/>
  <c r="BN219" i="4" s="1"/>
  <c r="BH220" i="4"/>
  <c r="BY227" i="4"/>
  <c r="BX227" i="4" s="1"/>
  <c r="CC227" i="4" s="1"/>
  <c r="CE226" i="4"/>
  <c r="CF226" i="4" s="1"/>
  <c r="BZ227" i="4"/>
  <c r="AW201" i="4"/>
  <c r="AF205" i="4"/>
  <c r="AL204" i="4"/>
  <c r="AM204" i="4" s="1"/>
  <c r="AG205" i="4"/>
  <c r="Q242" i="4"/>
  <c r="T242" i="4" s="1"/>
  <c r="U242" i="4" s="1"/>
  <c r="CZ227" i="4" l="1"/>
  <c r="DA227" i="4"/>
  <c r="DF226" i="4"/>
  <c r="DG226" i="4" s="1"/>
  <c r="AN244" i="4"/>
  <c r="AR244" i="4" s="1"/>
  <c r="BF220" i="4"/>
  <c r="BJ220" i="4" s="1"/>
  <c r="BG221" i="4" s="1"/>
  <c r="CG213" i="4"/>
  <c r="AE205" i="4"/>
  <c r="AJ205" i="4" s="1"/>
  <c r="V204" i="4"/>
  <c r="DI213" i="4"/>
  <c r="DO212" i="4"/>
  <c r="DP212" i="4" s="1"/>
  <c r="DJ213" i="4"/>
  <c r="BS242" i="4"/>
  <c r="DD226" i="4"/>
  <c r="BA201" i="4"/>
  <c r="BB201" i="4"/>
  <c r="BK220" i="4"/>
  <c r="CB227" i="4"/>
  <c r="AI205" i="4"/>
  <c r="O243" i="4"/>
  <c r="M243" i="4" s="1"/>
  <c r="AP245" i="4" l="1"/>
  <c r="AU244" i="4"/>
  <c r="AV244" i="4" s="1"/>
  <c r="BH221" i="4"/>
  <c r="BF221" i="4" s="1"/>
  <c r="BM220" i="4"/>
  <c r="BN220" i="4" s="1"/>
  <c r="DD227" i="4"/>
  <c r="DH213" i="4"/>
  <c r="AA204" i="4"/>
  <c r="Z204" i="4"/>
  <c r="CL213" i="4"/>
  <c r="CK213" i="4"/>
  <c r="AS244" i="4"/>
  <c r="BV242" i="4"/>
  <c r="BW242" i="4" s="1"/>
  <c r="BQ243" i="4"/>
  <c r="BO243" i="4" s="1"/>
  <c r="BT243" i="4" s="1"/>
  <c r="CY227" i="4"/>
  <c r="DC227" i="4" s="1"/>
  <c r="BY228" i="4"/>
  <c r="CE227" i="4"/>
  <c r="CF227" i="4" s="1"/>
  <c r="BZ228" i="4"/>
  <c r="BX228" i="4" s="1"/>
  <c r="AF206" i="4"/>
  <c r="AG206" i="4"/>
  <c r="AL205" i="4"/>
  <c r="AM205" i="4" s="1"/>
  <c r="AX202" i="4"/>
  <c r="AW202" i="4" s="1"/>
  <c r="BA202" i="4" s="1"/>
  <c r="BD201" i="4"/>
  <c r="BE201" i="4" s="1"/>
  <c r="AY202" i="4"/>
  <c r="R243" i="4"/>
  <c r="Q243" i="4"/>
  <c r="T243" i="4" s="1"/>
  <c r="U243" i="4" s="1"/>
  <c r="AN245" i="4" l="1"/>
  <c r="AR245" i="4" s="1"/>
  <c r="AU245" i="4" s="1"/>
  <c r="AV245" i="4" s="1"/>
  <c r="AS245" i="4"/>
  <c r="W205" i="4"/>
  <c r="X205" i="4"/>
  <c r="V205" i="4" s="1"/>
  <c r="AA205" i="4" s="1"/>
  <c r="AC204" i="4"/>
  <c r="AD204" i="4" s="1"/>
  <c r="CH214" i="4"/>
  <c r="CN213" i="4"/>
  <c r="CO213" i="4" s="1"/>
  <c r="CI214" i="4"/>
  <c r="AE206" i="4"/>
  <c r="AJ206" i="4" s="1"/>
  <c r="BS243" i="4"/>
  <c r="BV243" i="4" s="1"/>
  <c r="BW243" i="4" s="1"/>
  <c r="DL213" i="4"/>
  <c r="DM213" i="4"/>
  <c r="CZ228" i="4"/>
  <c r="DA228" i="4"/>
  <c r="DF227" i="4"/>
  <c r="DG227" i="4" s="1"/>
  <c r="AX203" i="4"/>
  <c r="AY203" i="4"/>
  <c r="BD202" i="4"/>
  <c r="BE202" i="4" s="1"/>
  <c r="BB202" i="4"/>
  <c r="BK221" i="4"/>
  <c r="BJ221" i="4"/>
  <c r="CB228" i="4"/>
  <c r="CC228" i="4"/>
  <c r="D27" i="2"/>
  <c r="D7" i="2" a="1"/>
  <c r="D7" i="2" s="1"/>
  <c r="D22" i="2" s="1"/>
  <c r="O244" i="4"/>
  <c r="DI214" i="4" l="1"/>
  <c r="DJ214" i="4"/>
  <c r="DO213" i="4"/>
  <c r="DP213" i="4" s="1"/>
  <c r="AI206" i="4"/>
  <c r="AG207" i="4" s="1"/>
  <c r="BQ244" i="4"/>
  <c r="CG214" i="4"/>
  <c r="Z205" i="4"/>
  <c r="CY228" i="4"/>
  <c r="BY229" i="4"/>
  <c r="BX229" i="4" s="1"/>
  <c r="CB229" i="4" s="1"/>
  <c r="BZ229" i="4"/>
  <c r="CE228" i="4"/>
  <c r="CF228" i="4" s="1"/>
  <c r="BB203" i="4"/>
  <c r="AF207" i="4"/>
  <c r="AL206" i="4"/>
  <c r="AM206" i="4" s="1"/>
  <c r="BG222" i="4"/>
  <c r="BH222" i="4"/>
  <c r="BM221" i="4"/>
  <c r="BN221" i="4" s="1"/>
  <c r="AW203" i="4"/>
  <c r="BA203" i="4" s="1"/>
  <c r="BO244" i="4"/>
  <c r="M244" i="4"/>
  <c r="DH214" i="4" l="1"/>
  <c r="DD228" i="4"/>
  <c r="DC228" i="4"/>
  <c r="CL214" i="4"/>
  <c r="CK214" i="4"/>
  <c r="AE207" i="4"/>
  <c r="AJ207" i="4" s="1"/>
  <c r="W206" i="4"/>
  <c r="X206" i="4"/>
  <c r="AC205" i="4"/>
  <c r="AD205" i="4" s="1"/>
  <c r="AI207" i="4"/>
  <c r="AX204" i="4"/>
  <c r="AY204" i="4"/>
  <c r="BD203" i="4"/>
  <c r="BE203" i="4" s="1"/>
  <c r="BY230" i="4"/>
  <c r="CE229" i="4"/>
  <c r="CF229" i="4" s="1"/>
  <c r="BZ230" i="4"/>
  <c r="BF222" i="4"/>
  <c r="CC229" i="4"/>
  <c r="E7" i="2" a="1"/>
  <c r="E7" i="2" s="1"/>
  <c r="E27" i="2"/>
  <c r="BT244" i="4"/>
  <c r="BS244" i="4"/>
  <c r="R244" i="4"/>
  <c r="Q244" i="4"/>
  <c r="V206" i="4" l="1"/>
  <c r="CH215" i="4"/>
  <c r="CG215" i="4" s="1"/>
  <c r="CL215" i="4" s="1"/>
  <c r="CI215" i="4"/>
  <c r="CN214" i="4"/>
  <c r="CO214" i="4" s="1"/>
  <c r="CK215" i="4"/>
  <c r="CZ229" i="4"/>
  <c r="CY229" i="4" s="1"/>
  <c r="DC229" i="4" s="1"/>
  <c r="DF228" i="4"/>
  <c r="DG228" i="4" s="1"/>
  <c r="DA229" i="4"/>
  <c r="DL214" i="4"/>
  <c r="DM214" i="4"/>
  <c r="E22" i="2"/>
  <c r="D7" i="6"/>
  <c r="BK222" i="4"/>
  <c r="BJ222" i="4"/>
  <c r="BX230" i="4"/>
  <c r="CB230" i="4" s="1"/>
  <c r="AW204" i="4"/>
  <c r="AF208" i="4"/>
  <c r="AE208" i="4" s="1"/>
  <c r="AJ208" i="4" s="1"/>
  <c r="AG208" i="4"/>
  <c r="AL207" i="4"/>
  <c r="AM207" i="4" s="1"/>
  <c r="BQ245" i="4"/>
  <c r="BO245" i="4" s="1"/>
  <c r="BV244" i="4"/>
  <c r="BW244" i="4" s="1"/>
  <c r="C27" i="2"/>
  <c r="C7" i="2" a="1"/>
  <c r="C7" i="2" s="1"/>
  <c r="C22" i="2" s="1"/>
  <c r="T244" i="4"/>
  <c r="U244" i="4" s="1"/>
  <c r="O245" i="4"/>
  <c r="DJ215" i="4" l="1"/>
  <c r="DO214" i="4"/>
  <c r="DP214" i="4" s="1"/>
  <c r="DI215" i="4"/>
  <c r="DD229" i="4"/>
  <c r="CZ230" i="4"/>
  <c r="DA230" i="4"/>
  <c r="DF229" i="4"/>
  <c r="DG229" i="4" s="1"/>
  <c r="CH216" i="4"/>
  <c r="CN215" i="4"/>
  <c r="CO215" i="4" s="1"/>
  <c r="CI216" i="4"/>
  <c r="CG216" i="4" s="1"/>
  <c r="CL216" i="4" s="1"/>
  <c r="CK216" i="4"/>
  <c r="AA206" i="4"/>
  <c r="Z206" i="4"/>
  <c r="BT245" i="4"/>
  <c r="BS245" i="4"/>
  <c r="BV245" i="4" s="1"/>
  <c r="BW245" i="4" s="1"/>
  <c r="BY231" i="4"/>
  <c r="BZ231" i="4"/>
  <c r="CE230" i="4"/>
  <c r="CF230" i="4" s="1"/>
  <c r="BG223" i="4"/>
  <c r="BH223" i="4"/>
  <c r="BM222" i="4"/>
  <c r="BN222" i="4" s="1"/>
  <c r="CC230" i="4"/>
  <c r="AI208" i="4"/>
  <c r="BA204" i="4"/>
  <c r="BB204" i="4"/>
  <c r="D25" i="2"/>
  <c r="D5" i="2" a="1"/>
  <c r="D5" i="2" s="1"/>
  <c r="D20" i="2" s="1"/>
  <c r="M245" i="4"/>
  <c r="CH217" i="4" l="1"/>
  <c r="CG217" i="4" s="1"/>
  <c r="CL217" i="4" s="1"/>
  <c r="CI217" i="4"/>
  <c r="CN216" i="4"/>
  <c r="CO216" i="4" s="1"/>
  <c r="CY230" i="4"/>
  <c r="DC230" i="4" s="1"/>
  <c r="DD230" i="4"/>
  <c r="DH215" i="4"/>
  <c r="W207" i="4"/>
  <c r="V207" i="4" s="1"/>
  <c r="AA207" i="4" s="1"/>
  <c r="X207" i="4"/>
  <c r="AC206" i="4"/>
  <c r="AD206" i="4" s="1"/>
  <c r="BF223" i="4"/>
  <c r="BX231" i="4"/>
  <c r="CB231" i="4" s="1"/>
  <c r="AX205" i="4"/>
  <c r="AW205" i="4" s="1"/>
  <c r="BA205" i="4" s="1"/>
  <c r="BD204" i="4"/>
  <c r="BE204" i="4" s="1"/>
  <c r="AY205" i="4"/>
  <c r="AF209" i="4"/>
  <c r="AL208" i="4"/>
  <c r="AM208" i="4" s="1"/>
  <c r="AG209" i="4"/>
  <c r="R245" i="4"/>
  <c r="Q245" i="4"/>
  <c r="T245" i="4" s="1"/>
  <c r="U245" i="4" s="1"/>
  <c r="Z207" i="4" l="1"/>
  <c r="CC231" i="4"/>
  <c r="AE209" i="4"/>
  <c r="AJ209" i="4" s="1"/>
  <c r="CK217" i="4"/>
  <c r="DL215" i="4"/>
  <c r="DM215" i="4"/>
  <c r="CZ231" i="4"/>
  <c r="CY231" i="4" s="1"/>
  <c r="DA231" i="4"/>
  <c r="DF230" i="4"/>
  <c r="DG230" i="4" s="1"/>
  <c r="BY232" i="4"/>
  <c r="CE231" i="4"/>
  <c r="CF231" i="4" s="1"/>
  <c r="BZ232" i="4"/>
  <c r="BB205" i="4"/>
  <c r="AX206" i="4"/>
  <c r="AW206" i="4" s="1"/>
  <c r="BA206" i="4" s="1"/>
  <c r="BD205" i="4"/>
  <c r="BE205" i="4" s="1"/>
  <c r="AY206" i="4"/>
  <c r="AI209" i="4"/>
  <c r="BJ223" i="4"/>
  <c r="BK223" i="4"/>
  <c r="B25" i="2"/>
  <c r="G5" i="6" s="1"/>
  <c r="B5" i="2" a="1"/>
  <c r="B5" i="2" s="1"/>
  <c r="C5" i="6" s="1"/>
  <c r="DD231" i="4" l="1"/>
  <c r="DC231" i="4"/>
  <c r="DI216" i="4"/>
  <c r="DO215" i="4"/>
  <c r="DP215" i="4" s="1"/>
  <c r="DJ216" i="4"/>
  <c r="CH218" i="4"/>
  <c r="CN217" i="4"/>
  <c r="CO217" i="4" s="1"/>
  <c r="CI218" i="4"/>
  <c r="CG218" i="4" s="1"/>
  <c r="CL218" i="4" s="1"/>
  <c r="CK218" i="4"/>
  <c r="W208" i="4"/>
  <c r="AC207" i="4"/>
  <c r="AD207" i="4" s="1"/>
  <c r="X208" i="4"/>
  <c r="BX232" i="4"/>
  <c r="BG224" i="4"/>
  <c r="BM223" i="4"/>
  <c r="BN223" i="4" s="1"/>
  <c r="BH224" i="4"/>
  <c r="AF210" i="4"/>
  <c r="AG210" i="4"/>
  <c r="AL209" i="4"/>
  <c r="AM209" i="4" s="1"/>
  <c r="AX207" i="4"/>
  <c r="BD206" i="4"/>
  <c r="BE206" i="4" s="1"/>
  <c r="AY207" i="4"/>
  <c r="BB206" i="4"/>
  <c r="C26" i="2"/>
  <c r="C6" i="2" a="1"/>
  <c r="C6" i="2" s="1"/>
  <c r="C21" i="2" s="1"/>
  <c r="D10" i="2"/>
  <c r="C15" i="2"/>
  <c r="C10" i="2"/>
  <c r="E15" i="2"/>
  <c r="B20" i="2"/>
  <c r="F5" i="6" s="1"/>
  <c r="E10" i="2"/>
  <c r="E5" i="6" s="1"/>
  <c r="D15" i="2"/>
  <c r="B15" i="2"/>
  <c r="B10" i="2"/>
  <c r="CH219" i="4" l="1"/>
  <c r="CN218" i="4"/>
  <c r="CO218" i="4" s="1"/>
  <c r="CI219" i="4"/>
  <c r="CZ232" i="4"/>
  <c r="CY232" i="4" s="1"/>
  <c r="DD232" i="4" s="1"/>
  <c r="DA232" i="4"/>
  <c r="DF231" i="4"/>
  <c r="DG231" i="4" s="1"/>
  <c r="V208" i="4"/>
  <c r="DH216" i="4"/>
  <c r="BF224" i="4"/>
  <c r="BJ224" i="4" s="1"/>
  <c r="BG225" i="4" s="1"/>
  <c r="AW207" i="4"/>
  <c r="BA207" i="4" s="1"/>
  <c r="BB207" i="4"/>
  <c r="AE210" i="4"/>
  <c r="CB232" i="4"/>
  <c r="CC232" i="4"/>
  <c r="BH225" i="4" l="1"/>
  <c r="BM224" i="4"/>
  <c r="BN224" i="4" s="1"/>
  <c r="DC232" i="4"/>
  <c r="AA208" i="4"/>
  <c r="Z208" i="4"/>
  <c r="DL216" i="4"/>
  <c r="DM216" i="4"/>
  <c r="BK224" i="4"/>
  <c r="CG219" i="4"/>
  <c r="BY233" i="4"/>
  <c r="CE232" i="4"/>
  <c r="CF232" i="4" s="1"/>
  <c r="BZ233" i="4"/>
  <c r="BF225" i="4"/>
  <c r="AJ210" i="4"/>
  <c r="AI210" i="4"/>
  <c r="AX208" i="4"/>
  <c r="AY208" i="4"/>
  <c r="BD207" i="4"/>
  <c r="BE207" i="4" s="1"/>
  <c r="E26" i="2"/>
  <c r="E6" i="2" a="1"/>
  <c r="E6" i="2" s="1"/>
  <c r="D6" i="6" s="1"/>
  <c r="D26" i="2"/>
  <c r="D6" i="2" a="1"/>
  <c r="D6" i="2" s="1"/>
  <c r="D21" i="2" s="1"/>
  <c r="DI217" i="4" l="1"/>
  <c r="DH217" i="4" s="1"/>
  <c r="DM217" i="4" s="1"/>
  <c r="DJ217" i="4"/>
  <c r="DO216" i="4"/>
  <c r="DP216" i="4" s="1"/>
  <c r="CK219" i="4"/>
  <c r="CL219" i="4"/>
  <c r="W209" i="4"/>
  <c r="V209" i="4" s="1"/>
  <c r="AA209" i="4" s="1"/>
  <c r="AC208" i="4"/>
  <c r="AD208" i="4" s="1"/>
  <c r="X209" i="4"/>
  <c r="CZ233" i="4"/>
  <c r="CY233" i="4" s="1"/>
  <c r="DD233" i="4" s="1"/>
  <c r="DA233" i="4"/>
  <c r="DF232" i="4"/>
  <c r="DG232" i="4" s="1"/>
  <c r="BK225" i="4"/>
  <c r="BJ225" i="4"/>
  <c r="BX233" i="4"/>
  <c r="AW208" i="4"/>
  <c r="AF211" i="4"/>
  <c r="AE211" i="4" s="1"/>
  <c r="AI211" i="4" s="1"/>
  <c r="AG211" i="4"/>
  <c r="AL210" i="4"/>
  <c r="AM210" i="4" s="1"/>
  <c r="B50" i="2"/>
  <c r="E21" i="2"/>
  <c r="Z209" i="4" l="1"/>
  <c r="DL217" i="4"/>
  <c r="CH220" i="4"/>
  <c r="CG220" i="4" s="1"/>
  <c r="CK220" i="4" s="1"/>
  <c r="CI220" i="4"/>
  <c r="CN219" i="4"/>
  <c r="CO219" i="4" s="1"/>
  <c r="DC233" i="4"/>
  <c r="AJ211" i="4"/>
  <c r="BA208" i="4"/>
  <c r="BB208" i="4"/>
  <c r="AF212" i="4"/>
  <c r="AG212" i="4"/>
  <c r="AL211" i="4"/>
  <c r="AM211" i="4" s="1"/>
  <c r="CC233" i="4"/>
  <c r="CB233" i="4"/>
  <c r="BG226" i="4"/>
  <c r="BF226" i="4" s="1"/>
  <c r="BJ226" i="4" s="1"/>
  <c r="BH226" i="4"/>
  <c r="BM225" i="4"/>
  <c r="BN225" i="4" s="1"/>
  <c r="CH221" i="4" l="1"/>
  <c r="CI221" i="4"/>
  <c r="CN220" i="4"/>
  <c r="CO220" i="4" s="1"/>
  <c r="DI218" i="4"/>
  <c r="DJ218" i="4"/>
  <c r="DO217" i="4"/>
  <c r="DP217" i="4" s="1"/>
  <c r="CL220" i="4"/>
  <c r="CZ234" i="4"/>
  <c r="DA234" i="4"/>
  <c r="DF233" i="4"/>
  <c r="DG233" i="4" s="1"/>
  <c r="W210" i="4"/>
  <c r="V210" i="4" s="1"/>
  <c r="AA210" i="4" s="1"/>
  <c r="X210" i="4"/>
  <c r="AC209" i="4"/>
  <c r="AD209" i="4" s="1"/>
  <c r="BG227" i="4"/>
  <c r="BH227" i="4"/>
  <c r="BM226" i="4"/>
  <c r="BN226" i="4" s="1"/>
  <c r="BY234" i="4"/>
  <c r="BX234" i="4" s="1"/>
  <c r="CB234" i="4" s="1"/>
  <c r="CE233" i="4"/>
  <c r="CF233" i="4" s="1"/>
  <c r="BZ234" i="4"/>
  <c r="AE212" i="4"/>
  <c r="AX209" i="4"/>
  <c r="AW209" i="4" s="1"/>
  <c r="BA209" i="4" s="1"/>
  <c r="BD208" i="4"/>
  <c r="BE208" i="4" s="1"/>
  <c r="AY209" i="4"/>
  <c r="BK226" i="4"/>
  <c r="Z210" i="4" l="1"/>
  <c r="DH218" i="4"/>
  <c r="CY234" i="4"/>
  <c r="CG221" i="4"/>
  <c r="CK221" i="4" s="1"/>
  <c r="BY235" i="4"/>
  <c r="BZ235" i="4"/>
  <c r="CE234" i="4"/>
  <c r="CF234" i="4" s="1"/>
  <c r="AX210" i="4"/>
  <c r="AY210" i="4"/>
  <c r="BD209" i="4"/>
  <c r="BE209" i="4" s="1"/>
  <c r="AJ212" i="4"/>
  <c r="AI212" i="4"/>
  <c r="CC234" i="4"/>
  <c r="BB209" i="4"/>
  <c r="BF227" i="4"/>
  <c r="CH222" i="4" l="1"/>
  <c r="CG222" i="4" s="1"/>
  <c r="CL222" i="4" s="1"/>
  <c r="CN221" i="4"/>
  <c r="CO221" i="4" s="1"/>
  <c r="CI222" i="4"/>
  <c r="DD234" i="4"/>
  <c r="DC234" i="4"/>
  <c r="DM218" i="4"/>
  <c r="DL218" i="4"/>
  <c r="CL221" i="4"/>
  <c r="W211" i="4"/>
  <c r="AC210" i="4"/>
  <c r="AD210" i="4" s="1"/>
  <c r="X211" i="4"/>
  <c r="BB210" i="4"/>
  <c r="AF213" i="4"/>
  <c r="AL212" i="4"/>
  <c r="AM212" i="4" s="1"/>
  <c r="AG213" i="4"/>
  <c r="AW210" i="4"/>
  <c r="BA210" i="4" s="1"/>
  <c r="BK227" i="4"/>
  <c r="BJ227" i="4"/>
  <c r="BX235" i="4"/>
  <c r="V211" i="4" l="1"/>
  <c r="DO218" i="4"/>
  <c r="DP218" i="4" s="1"/>
  <c r="DJ219" i="4"/>
  <c r="DI219" i="4"/>
  <c r="DH219" i="4" s="1"/>
  <c r="DM219" i="4" s="1"/>
  <c r="DL219" i="4"/>
  <c r="CZ235" i="4"/>
  <c r="DF234" i="4"/>
  <c r="DG234" i="4" s="1"/>
  <c r="DA235" i="4"/>
  <c r="CK222" i="4"/>
  <c r="CC235" i="4"/>
  <c r="CB235" i="4"/>
  <c r="BG228" i="4"/>
  <c r="BM227" i="4"/>
  <c r="BN227" i="4" s="1"/>
  <c r="BH228" i="4"/>
  <c r="AX211" i="4"/>
  <c r="AY211" i="4"/>
  <c r="BD210" i="4"/>
  <c r="BE210" i="4" s="1"/>
  <c r="AE213" i="4"/>
  <c r="AW211" i="4" l="1"/>
  <c r="BA211" i="4" s="1"/>
  <c r="BD211" i="4" s="1"/>
  <c r="BE211" i="4" s="1"/>
  <c r="CH223" i="4"/>
  <c r="CN222" i="4"/>
  <c r="CO222" i="4" s="1"/>
  <c r="CI223" i="4"/>
  <c r="CY235" i="4"/>
  <c r="DJ220" i="4"/>
  <c r="DO219" i="4"/>
  <c r="DP219" i="4" s="1"/>
  <c r="DI220" i="4"/>
  <c r="DH220" i="4" s="1"/>
  <c r="DM220" i="4" s="1"/>
  <c r="DL220" i="4"/>
  <c r="BF228" i="4"/>
  <c r="BK228" i="4" s="1"/>
  <c r="Z211" i="4"/>
  <c r="AA211" i="4"/>
  <c r="AJ213" i="4"/>
  <c r="AI213" i="4"/>
  <c r="BY236" i="4"/>
  <c r="BZ236" i="4"/>
  <c r="CE235" i="4"/>
  <c r="CF235" i="4" s="1"/>
  <c r="DD235" i="4" l="1"/>
  <c r="DC235" i="4"/>
  <c r="DI221" i="4"/>
  <c r="DO220" i="4"/>
  <c r="DP220" i="4" s="1"/>
  <c r="DJ221" i="4"/>
  <c r="DH221" i="4" s="1"/>
  <c r="DM221" i="4" s="1"/>
  <c r="BJ228" i="4"/>
  <c r="BG229" i="4" s="1"/>
  <c r="BF229" i="4" s="1"/>
  <c r="BK229" i="4" s="1"/>
  <c r="AY212" i="4"/>
  <c r="AX212" i="4"/>
  <c r="AW212" i="4" s="1"/>
  <c r="BB211" i="4"/>
  <c r="W212" i="4"/>
  <c r="V212" i="4" s="1"/>
  <c r="Z212" i="4" s="1"/>
  <c r="X212" i="4"/>
  <c r="AC211" i="4"/>
  <c r="AD211" i="4" s="1"/>
  <c r="CG223" i="4"/>
  <c r="BX236" i="4"/>
  <c r="AF214" i="4"/>
  <c r="AL213" i="4"/>
  <c r="AM213" i="4" s="1"/>
  <c r="AG214" i="4"/>
  <c r="BH229" i="4"/>
  <c r="BM228" i="4"/>
  <c r="BN228" i="4" s="1"/>
  <c r="CL223" i="4" l="1"/>
  <c r="CK223" i="4"/>
  <c r="AA212" i="4"/>
  <c r="CZ236" i="4"/>
  <c r="DA236" i="4"/>
  <c r="DF235" i="4"/>
  <c r="DG235" i="4" s="1"/>
  <c r="W213" i="4"/>
  <c r="V213" i="4" s="1"/>
  <c r="Z213" i="4" s="1"/>
  <c r="X213" i="4"/>
  <c r="AC212" i="4"/>
  <c r="AD212" i="4" s="1"/>
  <c r="DL221" i="4"/>
  <c r="BB212" i="4"/>
  <c r="BA212" i="4"/>
  <c r="BJ229" i="4"/>
  <c r="AE214" i="4"/>
  <c r="CC236" i="4"/>
  <c r="CB236" i="4"/>
  <c r="DI222" i="4" l="1"/>
  <c r="DJ222" i="4"/>
  <c r="DO221" i="4"/>
  <c r="DP221" i="4" s="1"/>
  <c r="AA213" i="4"/>
  <c r="W214" i="4"/>
  <c r="V214" i="4" s="1"/>
  <c r="AC213" i="4"/>
  <c r="AD213" i="4" s="1"/>
  <c r="X214" i="4"/>
  <c r="Z214" i="4"/>
  <c r="CY236" i="4"/>
  <c r="CH224" i="4"/>
  <c r="CG224" i="4" s="1"/>
  <c r="CI224" i="4"/>
  <c r="CN223" i="4"/>
  <c r="CO223" i="4" s="1"/>
  <c r="CK224" i="4"/>
  <c r="CL224" i="4"/>
  <c r="AI214" i="4"/>
  <c r="AJ214" i="4"/>
  <c r="BG230" i="4"/>
  <c r="BM229" i="4"/>
  <c r="BN229" i="4" s="1"/>
  <c r="BH230" i="4"/>
  <c r="BY237" i="4"/>
  <c r="BZ237" i="4"/>
  <c r="CE236" i="4"/>
  <c r="CF236" i="4" s="1"/>
  <c r="AX213" i="4"/>
  <c r="BD212" i="4"/>
  <c r="BE212" i="4" s="1"/>
  <c r="AY213" i="4"/>
  <c r="BX237" i="4" l="1"/>
  <c r="DH222" i="4"/>
  <c r="CH225" i="4"/>
  <c r="CN224" i="4"/>
  <c r="CO224" i="4" s="1"/>
  <c r="CI225" i="4"/>
  <c r="DD236" i="4"/>
  <c r="DC236" i="4"/>
  <c r="W215" i="4"/>
  <c r="AC214" i="4"/>
  <c r="AD214" i="4" s="1"/>
  <c r="X215" i="4"/>
  <c r="AA214" i="4"/>
  <c r="BF230" i="4"/>
  <c r="AW213" i="4"/>
  <c r="AF215" i="4"/>
  <c r="AE215" i="4" s="1"/>
  <c r="AI215" i="4" s="1"/>
  <c r="AG215" i="4"/>
  <c r="AL214" i="4"/>
  <c r="AM214" i="4" s="1"/>
  <c r="V215" i="4" l="1"/>
  <c r="Z215" i="4" s="1"/>
  <c r="CZ237" i="4"/>
  <c r="CY237" i="4" s="1"/>
  <c r="DD237" i="4" s="1"/>
  <c r="DF236" i="4"/>
  <c r="DG236" i="4" s="1"/>
  <c r="DA237" i="4"/>
  <c r="CG225" i="4"/>
  <c r="DM222" i="4"/>
  <c r="DL222" i="4"/>
  <c r="CB237" i="4"/>
  <c r="CC237" i="4"/>
  <c r="AF216" i="4"/>
  <c r="AG216" i="4"/>
  <c r="AL215" i="4"/>
  <c r="AM215" i="4" s="1"/>
  <c r="BB213" i="4"/>
  <c r="BA213" i="4"/>
  <c r="BK230" i="4"/>
  <c r="BJ230" i="4"/>
  <c r="AJ215" i="4"/>
  <c r="CE237" i="4" l="1"/>
  <c r="CF237" i="4" s="1"/>
  <c r="BZ238" i="4"/>
  <c r="BY238" i="4"/>
  <c r="DI223" i="4"/>
  <c r="DH223" i="4" s="1"/>
  <c r="DM223" i="4" s="1"/>
  <c r="DJ223" i="4"/>
  <c r="DO222" i="4"/>
  <c r="DP222" i="4" s="1"/>
  <c r="CK225" i="4"/>
  <c r="CL225" i="4"/>
  <c r="DC237" i="4"/>
  <c r="W216" i="4"/>
  <c r="AC215" i="4"/>
  <c r="AD215" i="4" s="1"/>
  <c r="X216" i="4"/>
  <c r="AA215" i="4"/>
  <c r="BG231" i="4"/>
  <c r="BH231" i="4"/>
  <c r="BM230" i="4"/>
  <c r="BN230" i="4" s="1"/>
  <c r="AX214" i="4"/>
  <c r="AY214" i="4"/>
  <c r="BD213" i="4"/>
  <c r="BE213" i="4" s="1"/>
  <c r="AE216" i="4"/>
  <c r="V216" i="4" l="1"/>
  <c r="CZ238" i="4"/>
  <c r="DA238" i="4"/>
  <c r="DF237" i="4"/>
  <c r="DG237" i="4" s="1"/>
  <c r="CH226" i="4"/>
  <c r="CI226" i="4"/>
  <c r="CN225" i="4"/>
  <c r="CO225" i="4" s="1"/>
  <c r="DL223" i="4"/>
  <c r="BX238" i="4"/>
  <c r="AW214" i="4"/>
  <c r="BF231" i="4"/>
  <c r="AJ216" i="4"/>
  <c r="AI216" i="4"/>
  <c r="AA216" i="4" l="1"/>
  <c r="Z216" i="4"/>
  <c r="DJ224" i="4"/>
  <c r="DO223" i="4"/>
  <c r="DP223" i="4" s="1"/>
  <c r="DI224" i="4"/>
  <c r="CG226" i="4"/>
  <c r="CB238" i="4"/>
  <c r="CC238" i="4"/>
  <c r="CY238" i="4"/>
  <c r="AF217" i="4"/>
  <c r="AL216" i="4"/>
  <c r="AM216" i="4" s="1"/>
  <c r="AG217" i="4"/>
  <c r="BJ231" i="4"/>
  <c r="BK231" i="4"/>
  <c r="BB214" i="4"/>
  <c r="BA214" i="4"/>
  <c r="DH224" i="4" l="1"/>
  <c r="DD238" i="4"/>
  <c r="DC238" i="4"/>
  <c r="CE238" i="4"/>
  <c r="CF238" i="4" s="1"/>
  <c r="BY239" i="4"/>
  <c r="BZ239" i="4"/>
  <c r="BX239" i="4" s="1"/>
  <c r="CB239" i="4" s="1"/>
  <c r="CK226" i="4"/>
  <c r="CL226" i="4"/>
  <c r="W217" i="4"/>
  <c r="AC216" i="4"/>
  <c r="AD216" i="4" s="1"/>
  <c r="X217" i="4"/>
  <c r="BG232" i="4"/>
  <c r="BH232" i="4"/>
  <c r="BM231" i="4"/>
  <c r="BN231" i="4" s="1"/>
  <c r="AE217" i="4"/>
  <c r="AX215" i="4"/>
  <c r="AY215" i="4"/>
  <c r="BD214" i="4"/>
  <c r="BE214" i="4" s="1"/>
  <c r="V217" i="4" l="1"/>
  <c r="CH227" i="4"/>
  <c r="CN226" i="4"/>
  <c r="CO226" i="4" s="1"/>
  <c r="CI227" i="4"/>
  <c r="CG227" i="4" s="1"/>
  <c r="CK227" i="4" s="1"/>
  <c r="AW215" i="4"/>
  <c r="BB215" i="4" s="1"/>
  <c r="CE239" i="4"/>
  <c r="CF239" i="4" s="1"/>
  <c r="BZ240" i="4"/>
  <c r="BY240" i="4"/>
  <c r="BX240" i="4" s="1"/>
  <c r="CB240" i="4" s="1"/>
  <c r="CC239" i="4"/>
  <c r="CZ239" i="4"/>
  <c r="CY239" i="4" s="1"/>
  <c r="DD239" i="4" s="1"/>
  <c r="DA239" i="4"/>
  <c r="DF238" i="4"/>
  <c r="DG238" i="4" s="1"/>
  <c r="DM224" i="4"/>
  <c r="DL224" i="4"/>
  <c r="BF232" i="4"/>
  <c r="AJ217" i="4"/>
  <c r="AI217" i="4"/>
  <c r="BY241" i="4" l="1"/>
  <c r="BX241" i="4" s="1"/>
  <c r="CB241" i="4" s="1"/>
  <c r="CE240" i="4"/>
  <c r="CF240" i="4" s="1"/>
  <c r="BZ241" i="4"/>
  <c r="BA215" i="4"/>
  <c r="CL227" i="4"/>
  <c r="DC239" i="4"/>
  <c r="CC240" i="4"/>
  <c r="CH228" i="4"/>
  <c r="CG228" i="4" s="1"/>
  <c r="CK228" i="4" s="1"/>
  <c r="CI228" i="4"/>
  <c r="CN227" i="4"/>
  <c r="CO227" i="4" s="1"/>
  <c r="DI225" i="4"/>
  <c r="DO224" i="4"/>
  <c r="DP224" i="4" s="1"/>
  <c r="DJ225" i="4"/>
  <c r="AA217" i="4"/>
  <c r="Z217" i="4"/>
  <c r="AX216" i="4"/>
  <c r="AY216" i="4"/>
  <c r="BD215" i="4"/>
  <c r="BE215" i="4" s="1"/>
  <c r="AF218" i="4"/>
  <c r="AG218" i="4"/>
  <c r="AL217" i="4"/>
  <c r="AM217" i="4" s="1"/>
  <c r="BJ232" i="4"/>
  <c r="BK232" i="4"/>
  <c r="BZ242" i="4" l="1"/>
  <c r="CE241" i="4"/>
  <c r="CF241" i="4" s="1"/>
  <c r="BY242" i="4"/>
  <c r="CL228" i="4"/>
  <c r="CH229" i="4"/>
  <c r="CI229" i="4"/>
  <c r="CN228" i="4"/>
  <c r="CO228" i="4" s="1"/>
  <c r="CC241" i="4"/>
  <c r="W218" i="4"/>
  <c r="AC217" i="4"/>
  <c r="AD217" i="4" s="1"/>
  <c r="X218" i="4"/>
  <c r="DH225" i="4"/>
  <c r="CZ240" i="4"/>
  <c r="CY240" i="4" s="1"/>
  <c r="DD240" i="4" s="1"/>
  <c r="DA240" i="4"/>
  <c r="DF239" i="4"/>
  <c r="DG239" i="4" s="1"/>
  <c r="AE218" i="4"/>
  <c r="BG233" i="4"/>
  <c r="BF233" i="4" s="1"/>
  <c r="BJ233" i="4" s="1"/>
  <c r="BH233" i="4"/>
  <c r="BM232" i="4"/>
  <c r="BN232" i="4" s="1"/>
  <c r="AW216" i="4"/>
  <c r="DC240" i="4" l="1"/>
  <c r="DL225" i="4"/>
  <c r="DM225" i="4"/>
  <c r="V218" i="4"/>
  <c r="CG229" i="4"/>
  <c r="CK229" i="4" s="1"/>
  <c r="BX242" i="4"/>
  <c r="CB242" i="4" s="1"/>
  <c r="BY243" i="4" s="1"/>
  <c r="BK233" i="4"/>
  <c r="AI218" i="4"/>
  <c r="AJ218" i="4"/>
  <c r="BG234" i="4"/>
  <c r="BH234" i="4"/>
  <c r="BM233" i="4"/>
  <c r="BN233" i="4" s="1"/>
  <c r="BB216" i="4"/>
  <c r="BA216" i="4"/>
  <c r="BZ243" i="4"/>
  <c r="CE242" i="4"/>
  <c r="CF242" i="4" s="1"/>
  <c r="BX243" i="4" l="1"/>
  <c r="CC243" i="4" s="1"/>
  <c r="AA218" i="4"/>
  <c r="Z218" i="4"/>
  <c r="CH230" i="4"/>
  <c r="CN229" i="4"/>
  <c r="CO229" i="4" s="1"/>
  <c r="CI230" i="4"/>
  <c r="CZ241" i="4"/>
  <c r="CY241" i="4" s="1"/>
  <c r="DD241" i="4" s="1"/>
  <c r="DA241" i="4"/>
  <c r="DF240" i="4"/>
  <c r="DG240" i="4" s="1"/>
  <c r="DI226" i="4"/>
  <c r="DH226" i="4" s="1"/>
  <c r="DM226" i="4" s="1"/>
  <c r="DJ226" i="4"/>
  <c r="DO225" i="4"/>
  <c r="DP225" i="4" s="1"/>
  <c r="DL226" i="4"/>
  <c r="CL229" i="4"/>
  <c r="CC242" i="4"/>
  <c r="AX217" i="4"/>
  <c r="AW217" i="4" s="1"/>
  <c r="BB217" i="4" s="1"/>
  <c r="BD216" i="4"/>
  <c r="BE216" i="4" s="1"/>
  <c r="AY217" i="4"/>
  <c r="BF234" i="4"/>
  <c r="BJ234" i="4" s="1"/>
  <c r="AF219" i="4"/>
  <c r="AL218" i="4"/>
  <c r="AM218" i="4" s="1"/>
  <c r="AG219" i="4"/>
  <c r="DM227" i="4" l="1"/>
  <c r="DC241" i="4"/>
  <c r="DO226" i="4"/>
  <c r="DP226" i="4" s="1"/>
  <c r="DJ227" i="4"/>
  <c r="DI227" i="4"/>
  <c r="DH227" i="4" s="1"/>
  <c r="DL227" i="4"/>
  <c r="W219" i="4"/>
  <c r="AC218" i="4"/>
  <c r="AD218" i="4" s="1"/>
  <c r="X219" i="4"/>
  <c r="AE219" i="4"/>
  <c r="CG230" i="4"/>
  <c r="CK230" i="4" s="1"/>
  <c r="CB243" i="4"/>
  <c r="BY244" i="4" s="1"/>
  <c r="BG235" i="4"/>
  <c r="BM234" i="4"/>
  <c r="BN234" i="4" s="1"/>
  <c r="BH235" i="4"/>
  <c r="BA217" i="4"/>
  <c r="BK234" i="4"/>
  <c r="B26" i="2"/>
  <c r="G6" i="6" s="1"/>
  <c r="B6" i="2" a="1"/>
  <c r="B6" i="2" s="1"/>
  <c r="C6" i="6" s="1"/>
  <c r="CH231" i="4" l="1"/>
  <c r="CN230" i="4"/>
  <c r="CO230" i="4" s="1"/>
  <c r="CI231" i="4"/>
  <c r="AI219" i="4"/>
  <c r="AJ219" i="4"/>
  <c r="CL230" i="4"/>
  <c r="V219" i="4"/>
  <c r="CZ242" i="4"/>
  <c r="DA242" i="4"/>
  <c r="DF241" i="4"/>
  <c r="DG241" i="4" s="1"/>
  <c r="CE243" i="4"/>
  <c r="CF243" i="4" s="1"/>
  <c r="BZ244" i="4"/>
  <c r="BX244" i="4" s="1"/>
  <c r="DJ228" i="4"/>
  <c r="DO227" i="4"/>
  <c r="DP227" i="4" s="1"/>
  <c r="DI228" i="4"/>
  <c r="DH228" i="4" s="1"/>
  <c r="DL228" i="4" s="1"/>
  <c r="AX218" i="4"/>
  <c r="BD217" i="4"/>
  <c r="BE217" i="4" s="1"/>
  <c r="AY218" i="4"/>
  <c r="BF235" i="4"/>
  <c r="BJ235" i="4" s="1"/>
  <c r="C16" i="2"/>
  <c r="D16" i="2"/>
  <c r="C11" i="2"/>
  <c r="E11" i="2"/>
  <c r="B11" i="2"/>
  <c r="B49" i="2"/>
  <c r="B47" i="2"/>
  <c r="C47" i="2" s="1"/>
  <c r="E16" i="2"/>
  <c r="B21" i="6" s="1"/>
  <c r="B21" i="2"/>
  <c r="F6" i="6" s="1"/>
  <c r="B16" i="2"/>
  <c r="D11" i="2"/>
  <c r="E34" i="7"/>
  <c r="CY242" i="4" l="1"/>
  <c r="AA219" i="4"/>
  <c r="Z219" i="4"/>
  <c r="AG220" i="4"/>
  <c r="AF220" i="4"/>
  <c r="AL219" i="4"/>
  <c r="AM219" i="4" s="1"/>
  <c r="DO228" i="4"/>
  <c r="DP228" i="4" s="1"/>
  <c r="DJ229" i="4"/>
  <c r="DI229" i="4"/>
  <c r="CG231" i="4"/>
  <c r="CK231" i="4" s="1"/>
  <c r="DM228" i="4"/>
  <c r="BK235" i="4"/>
  <c r="BG236" i="4"/>
  <c r="BF236" i="4" s="1"/>
  <c r="BJ236" i="4" s="1"/>
  <c r="BM235" i="4"/>
  <c r="BN235" i="4" s="1"/>
  <c r="BH236" i="4"/>
  <c r="CC244" i="4"/>
  <c r="CB244" i="4"/>
  <c r="B20" i="6"/>
  <c r="E6" i="6"/>
  <c r="AW218" i="4"/>
  <c r="D16" i="8"/>
  <c r="E16" i="8" s="1"/>
  <c r="F34" i="7"/>
  <c r="CL231" i="4" l="1"/>
  <c r="CH232" i="4"/>
  <c r="CI232" i="4"/>
  <c r="CN231" i="4"/>
  <c r="CO231" i="4" s="1"/>
  <c r="DH229" i="4"/>
  <c r="DL229" i="4" s="1"/>
  <c r="AE220" i="4"/>
  <c r="W220" i="4"/>
  <c r="V220" i="4" s="1"/>
  <c r="AA220" i="4" s="1"/>
  <c r="AC219" i="4"/>
  <c r="AD219" i="4" s="1"/>
  <c r="X220" i="4"/>
  <c r="DD242" i="4"/>
  <c r="DC242" i="4"/>
  <c r="BG237" i="4"/>
  <c r="BM236" i="4"/>
  <c r="BN236" i="4" s="1"/>
  <c r="BH237" i="4"/>
  <c r="BY245" i="4"/>
  <c r="BZ245" i="4"/>
  <c r="CE244" i="4"/>
  <c r="CF244" i="4" s="1"/>
  <c r="BK236" i="4"/>
  <c r="BB218" i="4"/>
  <c r="BA218" i="4"/>
  <c r="B27" i="2"/>
  <c r="G7" i="6" s="1"/>
  <c r="B7" i="2" a="1"/>
  <c r="B7" i="2" s="1"/>
  <c r="C7" i="6" s="1"/>
  <c r="CZ243" i="4" l="1"/>
  <c r="DA243" i="4"/>
  <c r="CY243" i="4" s="1"/>
  <c r="DD243" i="4" s="1"/>
  <c r="DF242" i="4"/>
  <c r="DG242" i="4" s="1"/>
  <c r="AI220" i="4"/>
  <c r="AJ220" i="4"/>
  <c r="CG232" i="4"/>
  <c r="CK232" i="4" s="1"/>
  <c r="Z220" i="4"/>
  <c r="DI230" i="4"/>
  <c r="DO229" i="4"/>
  <c r="DP229" i="4" s="1"/>
  <c r="DJ230" i="4"/>
  <c r="CL232" i="4"/>
  <c r="BF237" i="4"/>
  <c r="BJ237" i="4" s="1"/>
  <c r="BM237" i="4" s="1"/>
  <c r="BN237" i="4" s="1"/>
  <c r="DM229" i="4"/>
  <c r="BX245" i="4"/>
  <c r="AX219" i="4"/>
  <c r="BD218" i="4"/>
  <c r="BE218" i="4" s="1"/>
  <c r="AY219" i="4"/>
  <c r="BG238" i="4"/>
  <c r="D12" i="2"/>
  <c r="B17" i="2"/>
  <c r="B12" i="2"/>
  <c r="C17" i="2"/>
  <c r="D17" i="2"/>
  <c r="C12" i="2"/>
  <c r="E17" i="2"/>
  <c r="B22" i="2"/>
  <c r="F7" i="6" s="1"/>
  <c r="E12" i="2"/>
  <c r="E7" i="6" s="1"/>
  <c r="DH230" i="4" l="1"/>
  <c r="DL230" i="4" s="1"/>
  <c r="BH238" i="4"/>
  <c r="W221" i="4"/>
  <c r="V221" i="4" s="1"/>
  <c r="AA221" i="4" s="1"/>
  <c r="X221" i="4"/>
  <c r="AC220" i="4"/>
  <c r="AD220" i="4" s="1"/>
  <c r="AW219" i="4"/>
  <c r="BB219" i="4" s="1"/>
  <c r="CH233" i="4"/>
  <c r="CG233" i="4" s="1"/>
  <c r="CK233" i="4" s="1"/>
  <c r="CI233" i="4"/>
  <c r="CN232" i="4"/>
  <c r="CO232" i="4" s="1"/>
  <c r="BK237" i="4"/>
  <c r="BF238" i="4" s="1"/>
  <c r="BJ238" i="4" s="1"/>
  <c r="DC243" i="4"/>
  <c r="AG221" i="4"/>
  <c r="AF221" i="4"/>
  <c r="AL220" i="4"/>
  <c r="AM220" i="4" s="1"/>
  <c r="DM230" i="4"/>
  <c r="CC245" i="4"/>
  <c r="CB245" i="4"/>
  <c r="CE245" i="4" s="1"/>
  <c r="CF245" i="4" s="1"/>
  <c r="BA219" i="4"/>
  <c r="C14" i="8" a="1"/>
  <c r="C14" i="8" s="1"/>
  <c r="E14" i="8" s="1"/>
  <c r="CZ244" i="4" l="1"/>
  <c r="DA244" i="4"/>
  <c r="CY244" i="4" s="1"/>
  <c r="DD244" i="4" s="1"/>
  <c r="DF243" i="4"/>
  <c r="DG243" i="4" s="1"/>
  <c r="DC244" i="4"/>
  <c r="CH234" i="4"/>
  <c r="CI234" i="4"/>
  <c r="CN233" i="4"/>
  <c r="CO233" i="4" s="1"/>
  <c r="CL233" i="4"/>
  <c r="Z221" i="4"/>
  <c r="AE221" i="4"/>
  <c r="DO230" i="4"/>
  <c r="DP230" i="4" s="1"/>
  <c r="DJ231" i="4"/>
  <c r="DI231" i="4"/>
  <c r="DH231" i="4" s="1"/>
  <c r="DL231" i="4" s="1"/>
  <c r="BG239" i="4"/>
  <c r="BM238" i="4"/>
  <c r="BN238" i="4" s="1"/>
  <c r="BH239" i="4"/>
  <c r="AX220" i="4"/>
  <c r="AY220" i="4"/>
  <c r="BD219" i="4"/>
  <c r="BE219" i="4" s="1"/>
  <c r="BK238" i="4"/>
  <c r="DM231" i="4" l="1"/>
  <c r="W222" i="4"/>
  <c r="X222" i="4"/>
  <c r="AC221" i="4"/>
  <c r="AD221" i="4" s="1"/>
  <c r="CG234" i="4"/>
  <c r="CK234" i="4" s="1"/>
  <c r="CZ245" i="4"/>
  <c r="DA245" i="4"/>
  <c r="CY245" i="4" s="1"/>
  <c r="DC245" i="4" s="1"/>
  <c r="DF245" i="4" s="1"/>
  <c r="DG245" i="4" s="1"/>
  <c r="DF244" i="4"/>
  <c r="DG244" i="4" s="1"/>
  <c r="DJ232" i="4"/>
  <c r="DI232" i="4"/>
  <c r="DH232" i="4" s="1"/>
  <c r="DL232" i="4" s="1"/>
  <c r="DO231" i="4"/>
  <c r="DP231" i="4" s="1"/>
  <c r="AI221" i="4"/>
  <c r="AJ221" i="4"/>
  <c r="AW220" i="4"/>
  <c r="BB220" i="4" s="1"/>
  <c r="BA220" i="4"/>
  <c r="BF239" i="4"/>
  <c r="BJ239" i="4" s="1"/>
  <c r="CH235" i="4" l="1"/>
  <c r="CI235" i="4"/>
  <c r="CN234" i="4"/>
  <c r="CO234" i="4" s="1"/>
  <c r="AF222" i="4"/>
  <c r="AE222" i="4" s="1"/>
  <c r="AI222" i="4" s="1"/>
  <c r="AG222" i="4"/>
  <c r="AL221" i="4"/>
  <c r="AM221" i="4" s="1"/>
  <c r="DI233" i="4"/>
  <c r="DO232" i="4"/>
  <c r="DP232" i="4" s="1"/>
  <c r="DJ233" i="4"/>
  <c r="CL234" i="4"/>
  <c r="DD245" i="4"/>
  <c r="V222" i="4"/>
  <c r="AJ222" i="4"/>
  <c r="DM232" i="4"/>
  <c r="BG240" i="4"/>
  <c r="BH240" i="4"/>
  <c r="BM239" i="4"/>
  <c r="BN239" i="4" s="1"/>
  <c r="AX221" i="4"/>
  <c r="AY221" i="4"/>
  <c r="BD220" i="4"/>
  <c r="BE220" i="4" s="1"/>
  <c r="BK239" i="4"/>
  <c r="AA222" i="4" l="1"/>
  <c r="Z222" i="4"/>
  <c r="AF223" i="4"/>
  <c r="AG223" i="4"/>
  <c r="AL222" i="4"/>
  <c r="AM222" i="4" s="1"/>
  <c r="DH233" i="4"/>
  <c r="DL233" i="4" s="1"/>
  <c r="DM233" i="4"/>
  <c r="CG235" i="4"/>
  <c r="CK235" i="4" s="1"/>
  <c r="AW221" i="4"/>
  <c r="BF240" i="4"/>
  <c r="BJ240" i="4" s="1"/>
  <c r="CH236" i="4" l="1"/>
  <c r="CN235" i="4"/>
  <c r="CO235" i="4" s="1"/>
  <c r="CI236" i="4"/>
  <c r="DI234" i="4"/>
  <c r="DH234" i="4" s="1"/>
  <c r="DO233" i="4"/>
  <c r="DP233" i="4" s="1"/>
  <c r="DJ234" i="4"/>
  <c r="AE223" i="4"/>
  <c r="CL235" i="4"/>
  <c r="W223" i="4"/>
  <c r="V223" i="4" s="1"/>
  <c r="AA223" i="4" s="1"/>
  <c r="AC222" i="4"/>
  <c r="AD222" i="4" s="1"/>
  <c r="X223" i="4"/>
  <c r="BG241" i="4"/>
  <c r="BH241" i="4"/>
  <c r="BM240" i="4"/>
  <c r="BN240" i="4" s="1"/>
  <c r="BB221" i="4"/>
  <c r="BA221" i="4"/>
  <c r="BK240" i="4"/>
  <c r="AI223" i="4" l="1"/>
  <c r="AJ223" i="4"/>
  <c r="DL234" i="4"/>
  <c r="DM234" i="4"/>
  <c r="Z223" i="4"/>
  <c r="CG236" i="4"/>
  <c r="CK236" i="4" s="1"/>
  <c r="BK241" i="4"/>
  <c r="AX222" i="4"/>
  <c r="AY222" i="4"/>
  <c r="BD221" i="4"/>
  <c r="BF241" i="4"/>
  <c r="BJ241" i="4" s="1"/>
  <c r="CH237" i="4" l="1"/>
  <c r="CI237" i="4"/>
  <c r="CN236" i="4"/>
  <c r="CO236" i="4" s="1"/>
  <c r="CL236" i="4"/>
  <c r="DI235" i="4"/>
  <c r="DO234" i="4"/>
  <c r="DP234" i="4" s="1"/>
  <c r="DJ235" i="4"/>
  <c r="W224" i="4"/>
  <c r="X224" i="4"/>
  <c r="AC223" i="4"/>
  <c r="AD223" i="4" s="1"/>
  <c r="AF224" i="4"/>
  <c r="AE224" i="4" s="1"/>
  <c r="AI224" i="4" s="1"/>
  <c r="AG224" i="4"/>
  <c r="AL223" i="4"/>
  <c r="AM223" i="4" s="1"/>
  <c r="BG242" i="4"/>
  <c r="BM241" i="4"/>
  <c r="BN241" i="4" s="1"/>
  <c r="BH242" i="4"/>
  <c r="BE221" i="4"/>
  <c r="AW222" i="4"/>
  <c r="V224" i="4" l="1"/>
  <c r="AL224" i="4"/>
  <c r="AM224" i="4" s="1"/>
  <c r="AG225" i="4"/>
  <c r="AF225" i="4"/>
  <c r="AE225" i="4" s="1"/>
  <c r="AI225" i="4" s="1"/>
  <c r="AJ224" i="4"/>
  <c r="DH235" i="4"/>
  <c r="BF242" i="4"/>
  <c r="CG237" i="4"/>
  <c r="CK237" i="4" s="1"/>
  <c r="BJ242" i="4"/>
  <c r="BK242" i="4"/>
  <c r="BA222" i="4"/>
  <c r="BB222" i="4"/>
  <c r="AF226" i="4" l="1"/>
  <c r="AG226" i="4"/>
  <c r="AL225" i="4"/>
  <c r="AM225" i="4" s="1"/>
  <c r="CH238" i="4"/>
  <c r="CI238" i="4"/>
  <c r="CN237" i="4"/>
  <c r="CO237" i="4" s="1"/>
  <c r="CL237" i="4"/>
  <c r="DL235" i="4"/>
  <c r="DM235" i="4"/>
  <c r="AJ225" i="4"/>
  <c r="AA224" i="4"/>
  <c r="Z224" i="4"/>
  <c r="AX223" i="4"/>
  <c r="AY223" i="4"/>
  <c r="BD222" i="4"/>
  <c r="BE222" i="4" s="1"/>
  <c r="BG243" i="4"/>
  <c r="BH243" i="4"/>
  <c r="BM242" i="4"/>
  <c r="BN242" i="4" s="1"/>
  <c r="W225" i="4" l="1"/>
  <c r="AC224" i="4"/>
  <c r="AD224" i="4" s="1"/>
  <c r="X225" i="4"/>
  <c r="V225" i="4" s="1"/>
  <c r="AA225" i="4" s="1"/>
  <c r="DO235" i="4"/>
  <c r="DP235" i="4" s="1"/>
  <c r="DI236" i="4"/>
  <c r="DH236" i="4" s="1"/>
  <c r="DL236" i="4" s="1"/>
  <c r="DJ236" i="4"/>
  <c r="CG238" i="4"/>
  <c r="CK238" i="4" s="1"/>
  <c r="AW223" i="4"/>
  <c r="BB223" i="4" s="1"/>
  <c r="AE226" i="4"/>
  <c r="AI226" i="4" s="1"/>
  <c r="BF243" i="4"/>
  <c r="AF227" i="4" l="1"/>
  <c r="AL226" i="4"/>
  <c r="AM226" i="4" s="1"/>
  <c r="AG227" i="4"/>
  <c r="BA223" i="4"/>
  <c r="DM236" i="4"/>
  <c r="DI237" i="4"/>
  <c r="DO236" i="4"/>
  <c r="DP236" i="4" s="1"/>
  <c r="DJ237" i="4"/>
  <c r="CH239" i="4"/>
  <c r="CN238" i="4"/>
  <c r="CO238" i="4" s="1"/>
  <c r="CI239" i="4"/>
  <c r="CL238" i="4"/>
  <c r="AJ226" i="4"/>
  <c r="Z225" i="4"/>
  <c r="BJ243" i="4"/>
  <c r="BK243" i="4"/>
  <c r="AX224" i="4"/>
  <c r="AY224" i="4"/>
  <c r="BD223" i="4"/>
  <c r="BE223" i="4" s="1"/>
  <c r="W226" i="4" l="1"/>
  <c r="AC225" i="4"/>
  <c r="AD225" i="4" s="1"/>
  <c r="X226" i="4"/>
  <c r="CG239" i="4"/>
  <c r="CK239" i="4" s="1"/>
  <c r="DH237" i="4"/>
  <c r="DL237" i="4" s="1"/>
  <c r="AE227" i="4"/>
  <c r="AI227" i="4" s="1"/>
  <c r="AW224" i="4"/>
  <c r="BG244" i="4"/>
  <c r="BM243" i="4"/>
  <c r="BN243" i="4" s="1"/>
  <c r="BH244" i="4"/>
  <c r="AF228" i="4" l="1"/>
  <c r="AE228" i="4" s="1"/>
  <c r="AI228" i="4" s="1"/>
  <c r="AG228" i="4"/>
  <c r="AL227" i="4"/>
  <c r="AM227" i="4" s="1"/>
  <c r="DI238" i="4"/>
  <c r="DJ238" i="4"/>
  <c r="DO237" i="4"/>
  <c r="DP237" i="4" s="1"/>
  <c r="DM237" i="4"/>
  <c r="AJ227" i="4"/>
  <c r="CH240" i="4"/>
  <c r="CG240" i="4" s="1"/>
  <c r="CK240" i="4" s="1"/>
  <c r="CI240" i="4"/>
  <c r="CN239" i="4"/>
  <c r="CO239" i="4" s="1"/>
  <c r="V226" i="4"/>
  <c r="CL239" i="4"/>
  <c r="BF244" i="4"/>
  <c r="BA224" i="4"/>
  <c r="BB224" i="4"/>
  <c r="CH241" i="4" l="1"/>
  <c r="CI241" i="4"/>
  <c r="CN240" i="4"/>
  <c r="CO240" i="4" s="1"/>
  <c r="AF229" i="4"/>
  <c r="AL228" i="4"/>
  <c r="AM228" i="4" s="1"/>
  <c r="AG229" i="4"/>
  <c r="CL240" i="4"/>
  <c r="AA226" i="4"/>
  <c r="Z226" i="4"/>
  <c r="AJ228" i="4"/>
  <c r="DH238" i="4"/>
  <c r="DL238" i="4" s="1"/>
  <c r="AX225" i="4"/>
  <c r="AY225" i="4"/>
  <c r="BD224" i="4"/>
  <c r="BE224" i="4" s="1"/>
  <c r="BJ244" i="4"/>
  <c r="BK244" i="4"/>
  <c r="W227" i="4" l="1"/>
  <c r="AC226" i="4"/>
  <c r="AD226" i="4" s="1"/>
  <c r="X227" i="4"/>
  <c r="V227" i="4" s="1"/>
  <c r="AA227" i="4" s="1"/>
  <c r="DJ239" i="4"/>
  <c r="DO238" i="4"/>
  <c r="DP238" i="4" s="1"/>
  <c r="DI239" i="4"/>
  <c r="DH239" i="4" s="1"/>
  <c r="DM239" i="4" s="1"/>
  <c r="DM238" i="4"/>
  <c r="CG241" i="4"/>
  <c r="CK241" i="4" s="1"/>
  <c r="CL241" i="4"/>
  <c r="AE229" i="4"/>
  <c r="AI229" i="4" s="1"/>
  <c r="BG245" i="4"/>
  <c r="BH245" i="4"/>
  <c r="BM244" i="4"/>
  <c r="BN244" i="4" s="1"/>
  <c r="AW225" i="4"/>
  <c r="DL239" i="4" l="1"/>
  <c r="Z227" i="4"/>
  <c r="AF230" i="4"/>
  <c r="AL229" i="4"/>
  <c r="AM229" i="4" s="1"/>
  <c r="AG230" i="4"/>
  <c r="CH242" i="4"/>
  <c r="CI242" i="4"/>
  <c r="CG242" i="4" s="1"/>
  <c r="CK242" i="4" s="1"/>
  <c r="CN241" i="4"/>
  <c r="CO241" i="4" s="1"/>
  <c r="AJ229" i="4"/>
  <c r="BF245" i="4"/>
  <c r="BJ245" i="4"/>
  <c r="BM245" i="4" s="1"/>
  <c r="BN245" i="4" s="1"/>
  <c r="BK245" i="4"/>
  <c r="BA225" i="4"/>
  <c r="BB225" i="4"/>
  <c r="DI240" i="4"/>
  <c r="DJ240" i="4"/>
  <c r="DO239" i="4"/>
  <c r="DP239" i="4" s="1"/>
  <c r="CH243" i="4" l="1"/>
  <c r="CI243" i="4"/>
  <c r="CN242" i="4"/>
  <c r="CO242" i="4" s="1"/>
  <c r="CL242" i="4"/>
  <c r="AE230" i="4"/>
  <c r="AI230" i="4" s="1"/>
  <c r="W228" i="4"/>
  <c r="V228" i="4" s="1"/>
  <c r="AA228" i="4" s="1"/>
  <c r="X228" i="4"/>
  <c r="AC227" i="4"/>
  <c r="AD227" i="4" s="1"/>
  <c r="AX226" i="4"/>
  <c r="BD225" i="4"/>
  <c r="BE225" i="4" s="1"/>
  <c r="AY226" i="4"/>
  <c r="DH240" i="4"/>
  <c r="Z228" i="4" l="1"/>
  <c r="AJ230" i="4"/>
  <c r="AF231" i="4"/>
  <c r="AG231" i="4"/>
  <c r="AL230" i="4"/>
  <c r="AM230" i="4" s="1"/>
  <c r="CG243" i="4"/>
  <c r="CK243" i="4" s="1"/>
  <c r="DL240" i="4"/>
  <c r="DM240" i="4"/>
  <c r="AW226" i="4"/>
  <c r="CH244" i="4" l="1"/>
  <c r="CN243" i="4"/>
  <c r="CO243" i="4" s="1"/>
  <c r="CI244" i="4"/>
  <c r="CL243" i="4"/>
  <c r="AE231" i="4"/>
  <c r="AI231" i="4" s="1"/>
  <c r="W229" i="4"/>
  <c r="X229" i="4"/>
  <c r="AC228" i="4"/>
  <c r="AD228" i="4" s="1"/>
  <c r="DI241" i="4"/>
  <c r="DH241" i="4" s="1"/>
  <c r="DL241" i="4" s="1"/>
  <c r="DJ241" i="4"/>
  <c r="DO240" i="4"/>
  <c r="DP240" i="4" s="1"/>
  <c r="BA226" i="4"/>
  <c r="BB226" i="4"/>
  <c r="AF232" i="4" l="1"/>
  <c r="AG232" i="4"/>
  <c r="AL231" i="4"/>
  <c r="AM231" i="4" s="1"/>
  <c r="V229" i="4"/>
  <c r="AJ231" i="4"/>
  <c r="CG244" i="4"/>
  <c r="CK244" i="4" s="1"/>
  <c r="DI242" i="4"/>
  <c r="DO241" i="4"/>
  <c r="DP241" i="4" s="1"/>
  <c r="DJ242" i="4"/>
  <c r="DM241" i="4"/>
  <c r="AX227" i="4"/>
  <c r="AW227" i="4" s="1"/>
  <c r="BA227" i="4" s="1"/>
  <c r="BD226" i="4"/>
  <c r="BE226" i="4" s="1"/>
  <c r="AY227" i="4"/>
  <c r="CH245" i="4" l="1"/>
  <c r="CN244" i="4"/>
  <c r="CO244" i="4" s="1"/>
  <c r="CI245" i="4"/>
  <c r="DH242" i="4"/>
  <c r="DM242" i="4" s="1"/>
  <c r="CL244" i="4"/>
  <c r="AA229" i="4"/>
  <c r="Z229" i="4"/>
  <c r="AE232" i="4"/>
  <c r="AI232" i="4" s="1"/>
  <c r="BB227" i="4"/>
  <c r="AX228" i="4"/>
  <c r="BD227" i="4"/>
  <c r="BE227" i="4" s="1"/>
  <c r="AY228" i="4"/>
  <c r="AF233" i="4" l="1"/>
  <c r="AL232" i="4"/>
  <c r="AM232" i="4" s="1"/>
  <c r="AG233" i="4"/>
  <c r="W230" i="4"/>
  <c r="X230" i="4"/>
  <c r="AC229" i="4"/>
  <c r="AD229" i="4" s="1"/>
  <c r="AJ232" i="4"/>
  <c r="DL242" i="4"/>
  <c r="DJ243" i="4" s="1"/>
  <c r="CG245" i="4"/>
  <c r="CK245" i="4" s="1"/>
  <c r="CN245" i="4" s="1"/>
  <c r="CO245" i="4" s="1"/>
  <c r="AW228" i="4"/>
  <c r="BA228" i="4" s="1"/>
  <c r="CL245" i="4" l="1"/>
  <c r="DO242" i="4"/>
  <c r="DP242" i="4" s="1"/>
  <c r="DI243" i="4"/>
  <c r="DH243" i="4" s="1"/>
  <c r="DM243" i="4" s="1"/>
  <c r="BB228" i="4"/>
  <c r="V230" i="4"/>
  <c r="AE233" i="4"/>
  <c r="AI233" i="4" s="1"/>
  <c r="DL243" i="4"/>
  <c r="AX229" i="4"/>
  <c r="AY229" i="4"/>
  <c r="BD228" i="4"/>
  <c r="BE228" i="4" s="1"/>
  <c r="AA230" i="4" l="1"/>
  <c r="Z230" i="4"/>
  <c r="AF234" i="4"/>
  <c r="AL233" i="4"/>
  <c r="AM233" i="4" s="1"/>
  <c r="AG234" i="4"/>
  <c r="AJ233" i="4"/>
  <c r="AW229" i="4"/>
  <c r="DI244" i="4"/>
  <c r="DO243" i="4"/>
  <c r="DP243" i="4" s="1"/>
  <c r="DJ244" i="4"/>
  <c r="AE234" i="4" l="1"/>
  <c r="AI234" i="4" s="1"/>
  <c r="W231" i="4"/>
  <c r="AC230" i="4"/>
  <c r="AD230" i="4" s="1"/>
  <c r="X231" i="4"/>
  <c r="DH244" i="4"/>
  <c r="BA229" i="4"/>
  <c r="BB229" i="4"/>
  <c r="V231" i="4" l="1"/>
  <c r="AG235" i="4"/>
  <c r="AF235" i="4"/>
  <c r="AL234" i="4"/>
  <c r="AM234" i="4" s="1"/>
  <c r="AJ234" i="4"/>
  <c r="AX230" i="4"/>
  <c r="BD229" i="4"/>
  <c r="BE229" i="4" s="1"/>
  <c r="AY230" i="4"/>
  <c r="DM244" i="4"/>
  <c r="DL244" i="4"/>
  <c r="AE235" i="4" l="1"/>
  <c r="AI235" i="4" s="1"/>
  <c r="AA231" i="4"/>
  <c r="Z231" i="4"/>
  <c r="DI245" i="4"/>
  <c r="DJ245" i="4"/>
  <c r="DO244" i="4"/>
  <c r="DP244" i="4" s="1"/>
  <c r="AW230" i="4"/>
  <c r="W232" i="4" l="1"/>
  <c r="X232" i="4"/>
  <c r="AC231" i="4"/>
  <c r="AD231" i="4" s="1"/>
  <c r="AG236" i="4"/>
  <c r="AL235" i="4"/>
  <c r="AM235" i="4" s="1"/>
  <c r="AF236" i="4"/>
  <c r="AE236" i="4" s="1"/>
  <c r="AI236" i="4" s="1"/>
  <c r="AF237" i="4" s="1"/>
  <c r="AJ235" i="4"/>
  <c r="BA230" i="4"/>
  <c r="BB230" i="4"/>
  <c r="DH245" i="4"/>
  <c r="AG237" i="4" l="1"/>
  <c r="AE237" i="4" s="1"/>
  <c r="AL236" i="4"/>
  <c r="AM236" i="4" s="1"/>
  <c r="AJ236" i="4"/>
  <c r="V232" i="4"/>
  <c r="DM245" i="4"/>
  <c r="DL245" i="4"/>
  <c r="DO245" i="4" s="1"/>
  <c r="DP245" i="4" s="1"/>
  <c r="AX231" i="4"/>
  <c r="BD230" i="4"/>
  <c r="BE230" i="4" s="1"/>
  <c r="AY231" i="4"/>
  <c r="AI237" i="4" l="1"/>
  <c r="AJ237" i="4"/>
  <c r="AA232" i="4"/>
  <c r="Z232" i="4"/>
  <c r="AW231" i="4"/>
  <c r="W233" i="4" l="1"/>
  <c r="X233" i="4"/>
  <c r="AC232" i="4"/>
  <c r="AD232" i="4" s="1"/>
  <c r="AF238" i="4"/>
  <c r="AL237" i="4"/>
  <c r="AM237" i="4" s="1"/>
  <c r="AG238" i="4"/>
  <c r="BA231" i="4"/>
  <c r="BB231" i="4"/>
  <c r="AE238" i="4" l="1"/>
  <c r="V233" i="4"/>
  <c r="AX232" i="4"/>
  <c r="AY232" i="4"/>
  <c r="BD231" i="4"/>
  <c r="BE231" i="4" s="1"/>
  <c r="AW232" i="4" l="1"/>
  <c r="BA232" i="4" s="1"/>
  <c r="AA233" i="4"/>
  <c r="Z233" i="4"/>
  <c r="AI238" i="4"/>
  <c r="AJ238" i="4"/>
  <c r="AX233" i="4"/>
  <c r="BD232" i="4"/>
  <c r="BE232" i="4" s="1"/>
  <c r="AY233" i="4"/>
  <c r="BB232" i="4"/>
  <c r="AW233" i="4" l="1"/>
  <c r="BA233" i="4" s="1"/>
  <c r="AF239" i="4"/>
  <c r="AL238" i="4"/>
  <c r="AM238" i="4" s="1"/>
  <c r="AG239" i="4"/>
  <c r="W234" i="4"/>
  <c r="AC233" i="4"/>
  <c r="AD233" i="4" s="1"/>
  <c r="X234" i="4"/>
  <c r="V234" i="4" s="1"/>
  <c r="Z234" i="4"/>
  <c r="AA234" i="4"/>
  <c r="AX234" i="4"/>
  <c r="BD233" i="4"/>
  <c r="BE233" i="4" s="1"/>
  <c r="AY234" i="4"/>
  <c r="BB233" i="4"/>
  <c r="W235" i="4" l="1"/>
  <c r="AC234" i="4"/>
  <c r="AD234" i="4" s="1"/>
  <c r="X235" i="4"/>
  <c r="V235" i="4" s="1"/>
  <c r="Z235" i="4" s="1"/>
  <c r="AE239" i="4"/>
  <c r="AW234" i="4"/>
  <c r="AI239" i="4" l="1"/>
  <c r="AJ239" i="4"/>
  <c r="W236" i="4"/>
  <c r="AC235" i="4"/>
  <c r="AD235" i="4" s="1"/>
  <c r="X236" i="4"/>
  <c r="AA235" i="4"/>
  <c r="BA234" i="4"/>
  <c r="BB234" i="4"/>
  <c r="V236" i="4" l="1"/>
  <c r="Z236" i="4" s="1"/>
  <c r="AF240" i="4"/>
  <c r="AE240" i="4" s="1"/>
  <c r="AI240" i="4" s="1"/>
  <c r="AL239" i="4"/>
  <c r="AM239" i="4" s="1"/>
  <c r="AG240" i="4"/>
  <c r="AX235" i="4"/>
  <c r="BD234" i="4"/>
  <c r="BE234" i="4" s="1"/>
  <c r="AY235" i="4"/>
  <c r="AA236" i="4" l="1"/>
  <c r="W237" i="4"/>
  <c r="X237" i="4"/>
  <c r="AC236" i="4"/>
  <c r="AD236" i="4" s="1"/>
  <c r="AF241" i="4"/>
  <c r="AG241" i="4"/>
  <c r="AL240" i="4"/>
  <c r="AM240" i="4" s="1"/>
  <c r="AJ240" i="4"/>
  <c r="AW235" i="4"/>
  <c r="AE241" i="4" l="1"/>
  <c r="AI241" i="4" s="1"/>
  <c r="AA237" i="4"/>
  <c r="V237" i="4"/>
  <c r="Z237" i="4" s="1"/>
  <c r="BA235" i="4"/>
  <c r="BB235" i="4"/>
  <c r="W238" i="4" l="1"/>
  <c r="X238" i="4"/>
  <c r="V238" i="4" s="1"/>
  <c r="Z238" i="4" s="1"/>
  <c r="AC237" i="4"/>
  <c r="AD237" i="4" s="1"/>
  <c r="AA238" i="4"/>
  <c r="AL241" i="4"/>
  <c r="AM241" i="4" s="1"/>
  <c r="AG242" i="4"/>
  <c r="AF242" i="4"/>
  <c r="AE242" i="4" s="1"/>
  <c r="AI242" i="4" s="1"/>
  <c r="AJ241" i="4"/>
  <c r="AX236" i="4"/>
  <c r="BD235" i="4"/>
  <c r="BE235" i="4" s="1"/>
  <c r="AY236" i="4"/>
  <c r="AG243" i="4" l="1"/>
  <c r="AL242" i="4"/>
  <c r="AM242" i="4" s="1"/>
  <c r="AF243" i="4"/>
  <c r="AJ242" i="4"/>
  <c r="W239" i="4"/>
  <c r="V239" i="4" s="1"/>
  <c r="Z239" i="4" s="1"/>
  <c r="X239" i="4"/>
  <c r="AC238" i="4"/>
  <c r="AD238" i="4" s="1"/>
  <c r="AW236" i="4"/>
  <c r="W240" i="4" l="1"/>
  <c r="V240" i="4" s="1"/>
  <c r="Z240" i="4" s="1"/>
  <c r="AC239" i="4"/>
  <c r="AD239" i="4" s="1"/>
  <c r="X240" i="4"/>
  <c r="AA239" i="4"/>
  <c r="AE243" i="4"/>
  <c r="BA236" i="4"/>
  <c r="BB236" i="4"/>
  <c r="AC240" i="4" l="1"/>
  <c r="AD240" i="4" s="1"/>
  <c r="W241" i="4"/>
  <c r="X241" i="4"/>
  <c r="AA240" i="4"/>
  <c r="AI243" i="4"/>
  <c r="AJ243" i="4"/>
  <c r="AX237" i="4"/>
  <c r="BD236" i="4"/>
  <c r="BE236" i="4" s="1"/>
  <c r="AY237" i="4"/>
  <c r="AG244" i="4" l="1"/>
  <c r="AL243" i="4"/>
  <c r="AM243" i="4" s="1"/>
  <c r="AF244" i="4"/>
  <c r="AE244" i="4" s="1"/>
  <c r="V241" i="4"/>
  <c r="Z241" i="4" s="1"/>
  <c r="AW237" i="4"/>
  <c r="W242" i="4" l="1"/>
  <c r="AC241" i="4"/>
  <c r="AD241" i="4" s="1"/>
  <c r="X242" i="4"/>
  <c r="AI244" i="4"/>
  <c r="AJ244" i="4"/>
  <c r="AA241" i="4"/>
  <c r="BA237" i="4"/>
  <c r="BB237" i="4"/>
  <c r="AF245" i="4" l="1"/>
  <c r="AL244" i="4"/>
  <c r="AM244" i="4" s="1"/>
  <c r="AG245" i="4"/>
  <c r="V242" i="4"/>
  <c r="Z242" i="4" s="1"/>
  <c r="AX238" i="4"/>
  <c r="AY238" i="4"/>
  <c r="BD237" i="4"/>
  <c r="BE237" i="4" s="1"/>
  <c r="AC242" i="4" l="1"/>
  <c r="AD242" i="4" s="1"/>
  <c r="X243" i="4"/>
  <c r="W243" i="4"/>
  <c r="AE245" i="4"/>
  <c r="AA242" i="4"/>
  <c r="AW238" i="4"/>
  <c r="AI245" i="4" l="1"/>
  <c r="AL245" i="4" s="1"/>
  <c r="AM245" i="4" s="1"/>
  <c r="AJ245" i="4"/>
  <c r="V243" i="4"/>
  <c r="Z243" i="4" s="1"/>
  <c r="BA238" i="4"/>
  <c r="BB238" i="4"/>
  <c r="AC243" i="4" l="1"/>
  <c r="AD243" i="4" s="1"/>
  <c r="W244" i="4"/>
  <c r="X244" i="4"/>
  <c r="AA243" i="4"/>
  <c r="AX239" i="4"/>
  <c r="AY239" i="4"/>
  <c r="BD238" i="4"/>
  <c r="BE238" i="4" s="1"/>
  <c r="V244" i="4" l="1"/>
  <c r="Z244" i="4" s="1"/>
  <c r="AW239" i="4"/>
  <c r="X245" i="4" l="1"/>
  <c r="AC244" i="4"/>
  <c r="AD244" i="4" s="1"/>
  <c r="W245" i="4"/>
  <c r="AA244" i="4"/>
  <c r="BB239" i="4"/>
  <c r="BA239" i="4"/>
  <c r="V245" i="4" l="1"/>
  <c r="Z245" i="4" s="1"/>
  <c r="AC245" i="4" s="1"/>
  <c r="AD245" i="4" s="1"/>
  <c r="AX240" i="4"/>
  <c r="AY240" i="4"/>
  <c r="BD239" i="4"/>
  <c r="BE239" i="4" s="1"/>
  <c r="AA245" i="4" l="1"/>
  <c r="AW240" i="4"/>
  <c r="BB240" i="4" l="1"/>
  <c r="BA240" i="4"/>
  <c r="AX241" i="4" l="1"/>
  <c r="AY241" i="4"/>
  <c r="BD240" i="4"/>
  <c r="BE240" i="4" s="1"/>
  <c r="AW241" i="4" l="1"/>
  <c r="BB241" i="4" l="1"/>
  <c r="BA241" i="4"/>
  <c r="AX242" i="4" l="1"/>
  <c r="BD241" i="4"/>
  <c r="BE241" i="4" s="1"/>
  <c r="AY242" i="4"/>
  <c r="AW242" i="4" l="1"/>
  <c r="BB242" i="4" l="1"/>
  <c r="BA242" i="4"/>
  <c r="AX243" i="4" l="1"/>
  <c r="AY243" i="4"/>
  <c r="BD242" i="4"/>
  <c r="BE242" i="4" s="1"/>
  <c r="AW243" i="4" l="1"/>
  <c r="BB243" i="4" l="1"/>
  <c r="BA243" i="4"/>
  <c r="AX244" i="4" l="1"/>
  <c r="AY244" i="4"/>
  <c r="BD243" i="4"/>
  <c r="BE243" i="4" s="1"/>
  <c r="AW244" i="4" l="1"/>
  <c r="BB244" i="4" s="1"/>
  <c r="BA244" i="4" l="1"/>
  <c r="AX245" i="4"/>
  <c r="BD244" i="4"/>
  <c r="BE244" i="4" s="1"/>
  <c r="AY245" i="4"/>
  <c r="AW245" i="4" l="1"/>
  <c r="BB245" i="4" l="1"/>
  <c r="BA245" i="4"/>
  <c r="BD245" i="4" s="1"/>
  <c r="BE245" i="4" s="1"/>
  <c r="C13" i="8" s="1" a="1"/>
  <c r="C13" i="8" s="1"/>
  <c r="E13" i="8" s="1"/>
  <c r="A18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Armaan Gandhara</author>
  </authors>
  <commentList>
    <comment ref="B6" authorId="0" shapeId="0" xr:uid="{27C3ECEC-0C7E-41FF-B560-DC3889B32014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Source: IISS Military Balance 2026 (~677k active), via Visit Ukraine, https://visitukraine.today/blog/8034/ukraine-among-top-10-armies-in-the-world-by-size-who-else-leads-the-ranking</t>
        </r>
      </text>
    </comment>
    <comment ref="D6" authorId="0" shapeId="0" xr:uid="{1F11B5A1-365C-4E6B-B611-D0F53A6F1C26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Source: Zelensky, 15 Jan 2025 (880k), Kyiv Independent via Yahoo, https://www.yahoo.com/news/ukraine-military-now-totals-880-171134490.html</t>
        </r>
      </text>
    </comment>
    <comment ref="C7" authorId="0" shapeId="0" xr:uid="{A62E0024-8A9F-4DBD-8D1C-739CB7606432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 (secondary): Wikipedia 'Ukrainian conscription crisis' — 8.7M conscription-age men pre-invasion, ~5M by Feb 2024, https://en.wikipedia.org/wiki/Ukrainian_conscription_crisis. Range 4.0–5.0M is authors' judgment.</t>
        </r>
      </text>
    </comment>
    <comment ref="B8" authorId="0" shapeId="0" xr:uid="{53D72F3E-54DF-4DD8-B31F-FBE2DCB4DB61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Source: Deputy MoD Havryliuk, Aug 2024 (~930k–1M booked), https://babel.ua/en/news/110013-ministry-of-defense-almost-a-million-citizens-received-reservation-from-mobilization ; Economy Minister Sobolev, Jul 2026 (+300k in a year), https://ua.news/en/ukraine/kilkist-zabronovanikh-cholovikiv-za-rik-zrosla-na-300-tis</t>
        </r>
      </text>
    </comment>
    <comment ref="C8" authorId="0" shapeId="0" xr:uid="{B97D96ED-075E-4809-9C9F-E7A0E21A95BE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Source: see B8 (Havryliuk Aug 2024; Sobolev Jul 2026).</t>
        </r>
      </text>
    </comment>
    <comment ref="D8" authorId="0" shapeId="0" xr:uid="{46697702-90AE-4917-B0E1-C8FF24830AD8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Source: Deputy MoD Havryliuk, Aug 2024, https://babel.ua/en/news/110013-ministry-of-defense-almost-a-million-citizens-received-reservation-from-mobilization</t>
        </r>
      </text>
    </comment>
    <comment ref="C11" authorId="0" shapeId="0" xr:uid="{FCE4D76D-8DA7-4EE7-B5D7-12DCEBB2304B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Context: CRS IF12150 (Mar 2026) reports Fedorov (Jan 2026) estimate of ~2M men avoiding draft notices, https://www.congress.gov/crs-product/IF12150 ; &gt;1.5M police search requests in 2026, UNN, https://unn.ua/en/news/how-many-draft-dodgers-are-wanted-at-the-request-of-the-territorial-recruitment-and-social-support-centers-the-national-police-gives-the-figures</t>
        </r>
      </text>
    </comment>
    <comment ref="C17" authorId="0" shapeId="0" xr:uid="{28E0C687-C6AA-49B8-9196-8D0D9664B60C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Source: Defense News, 24 Apr 2026 (~1,200 km frontline), https://www.defensenews.com/unmanned/2026/04/24/ukraine-to-field-25000-ground-robots-in-push-to-replace-soldiers-for-frontline-logistics/</t>
        </r>
      </text>
    </comment>
    <comment ref="C27" authorId="0" shapeId="0" xr:uid="{D35EEA32-A43B-4FEA-BA22-7A54ECB353E0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Source: Russia Matters war report card (Jun 2026) compiling Dutch MIVD Apr 2026 (~500k Ukrainian 'permanent losses') and CSIS Jan 2026 (100–140k killed Feb 2022–Dec 2025), https://www.russiamatters.org/news/russia-ukraine-war-report-card/russia-ukraine-war-report-card-june-3-2026</t>
        </r>
      </text>
    </comment>
    <comment ref="D27" authorId="0" shapeId="0" xr:uid="{5AFCDA2A-BE14-4B27-A396-77802AF1E2F7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Source: MIVD ~500k permanent losses over ~50 months ≈ 10k/mo, via Russia Matters, https://www.russiamatters.org/news/russia-ukraine-war-report-card/russia-ukraine-war-report-card-june-3-2026</t>
        </r>
      </text>
    </comment>
    <comment ref="B30" authorId="0" shapeId="0" xr:uid="{73783E54-1D25-4E16-AC7C-3D50DA3046FC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 (secondary, citing Prosecutor General): 161,461 AWOL + 21,479 desertion cases Jan–Oct 2025, https://en.wikipedia.org/wiki/Ukrainian_desertion_crisis</t>
        </r>
      </text>
    </comment>
    <comment ref="C31" authorId="0" shapeId="0" xr:uid="{4329A2F0-28CA-4D14-BB7D-0763C2D2D345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Context: draft law 16074 (15 Sep 2026) on returning first-time AWOL without prosecution, https://sud.ua/en/news/publication/372463-za-pershe-szch-bilshe-ne-sudytymut-zamist-vyroku-proponuiut-zakryttia-provadzhennia-prokurorom ; Fedorov ~200k AWOL (CRS IF12150), https://www.congress.gov/crs-product/IF12150</t>
        </r>
      </text>
    </comment>
    <comment ref="B36" authorId="0" shapeId="0" xr:uid="{88430FD8-BE78-4CAE-AC8D-3C71996CB5E6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Source: SCEEUS, Dec 2025 (17–24k/mo recruitment), https://sceeus.se/en/publications/the-ukrainian-mobilization-challenge-military-and-society-during-full-scale-war/</t>
        </r>
      </text>
    </comment>
    <comment ref="C36" authorId="0" shapeId="0" xr:uid="{016E7C52-7A19-4477-BCA3-870BACB6C8CE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Source: Budanov, 28 Aug 2026 (≥30k/mo needed), Ukrinform, https://www.ukrinform.net/rubric-ato/4158672-ukraine-needs-to-mobilize-at-least-30000-people-every-month-budanov-says.html</t>
        </r>
      </text>
    </comment>
    <comment ref="D36" authorId="0" shapeId="0" xr:uid="{11F0ED73-2CB3-46D7-9CB9-2174BBD4C04B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Source: Zelensky, 27 Feb 2026 (30–34k/mo), RBC-Ukraine, https://newsukraine.rbc.ua/news/zelenskyy-names-monthly-mobilization-rates-1772225037.html</t>
        </r>
      </text>
    </comment>
    <comment ref="C43" authorId="0" shapeId="0" xr:uid="{874EF76D-0094-414E-95BC-5262715CE5E9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Source: The Defense Post, 25 Aug 2026 (19,969 missions in Jul; 15,729 on Aug 1–20), https://thedefensepost.com/2026/08/25/ukraine-ground-robots-missions/</t>
        </r>
      </text>
    </comment>
    <comment ref="C44" authorId="0" shapeId="0" xr:uid="{5D7E486D-6213-4B15-B95A-7F634D709E91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Contested. Ratel Robotics (industry) claims ~80% of frontline logistics by ground drones, https://ukrainesarmsmonitor.substack.com/p/drone-warfare-in-ukraine-unprecedented . 20% is authors' judgment.</t>
        </r>
      </text>
    </comment>
    <comment ref="C55" authorId="0" shapeId="0" xr:uid="{5811E916-5CF5-485A-8E1C-ED2869F93B2E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Source: MoD, 20 Jul 2026 (&gt;22,000 UGVs contracted for 2026), https://mod.gov.ua/en/news/over-22-000-ug-vs-contracted-since-the-start-of-2026-nearly-double-the-total-for-all-of-last-year ; 50,000/yr target, ASPI Strategist, https://www.aspistrategist.org.au/better-to-use-and-lose-robots-than-soldiers-ukraines-ugv-drive/</t>
        </r>
      </text>
    </comment>
    <comment ref="C58" authorId="0" shapeId="0" xr:uid="{B916A314-F4F4-4E9E-BD19-033601F3DA21}">
      <text>
        <r>
          <rPr>
            <b/>
            <sz val="9"/>
            <color indexed="81"/>
            <rFont val="Tahoma"/>
            <charset val="1"/>
          </rPr>
          <t>Armaan Gandhara:</t>
        </r>
        <r>
          <rPr>
            <sz val="9"/>
            <color indexed="81"/>
            <rFont val="Tahoma"/>
            <charset val="1"/>
          </rPr>
          <t xml:space="preserve">
Judgment. Context: FPV drones increasingly hunt ground robots, Hudson Institute, 19 Aug 2026, https://www.hudson.org/national-security-defense/ukraine-military-situation-report-august-19-can-kasapoglu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<sst xmlns="http://schemas.openxmlformats.org/spreadsheetml/2006/main" count="673" uniqueCount="438">
  <si>
    <t>What this model does</t>
  </si>
  <si>
    <t>Scope</t>
  </si>
  <si>
    <t>Colour key</t>
  </si>
  <si>
    <t>Years to collapse</t>
  </si>
  <si>
    <t>Ch1: loss-rate only</t>
  </si>
  <si>
    <t>Ch2: headcount only</t>
  </si>
  <si>
    <t>Combined</t>
  </si>
  <si>
    <t>Value</t>
  </si>
  <si>
    <t>Unit</t>
  </si>
  <si>
    <t>Loss share: logistics, resupply &amp; casevac tasks</t>
  </si>
  <si>
    <t>% of losses</t>
  </si>
  <si>
    <t>Loss share: combat tasks (holding positions, assault)</t>
  </si>
  <si>
    <t>Residual.</t>
  </si>
  <si>
    <t>Logistics coverage ramp</t>
  </si>
  <si>
    <t>months</t>
  </si>
  <si>
    <t>Combat UGV coverage — today</t>
  </si>
  <si>
    <t>Combat UGV coverage — target</t>
  </si>
  <si>
    <t>Combat coverage ramp</t>
  </si>
  <si>
    <t>Headcount ramp</t>
  </si>
  <si>
    <t>Channel overlap haircut (combined case)</t>
  </si>
  <si>
    <t>%</t>
  </si>
  <si>
    <t>Russian UGV pressure on UKR losses — today</t>
  </si>
  <si>
    <t>% uplift</t>
  </si>
  <si>
    <t>Russian UGV pressure — target</t>
  </si>
  <si>
    <t>Russian pressure ramp</t>
  </si>
  <si>
    <t>Ch1 loss-rate (1=on)</t>
  </si>
  <si>
    <t>Ch2 headcount (1=on)</t>
  </si>
  <si>
    <t>Description</t>
  </si>
  <si>
    <t>Month</t>
  </si>
  <si>
    <t>Combat cov</t>
  </si>
  <si>
    <t>Loss</t>
  </si>
  <si>
    <t>Pool</t>
  </si>
  <si>
    <t>Broken?</t>
  </si>
  <si>
    <t>Scenario</t>
  </si>
  <si>
    <t>Inputs — Project Broadcast Issue 6 (v2, Sep 2026)</t>
  </si>
  <si>
    <t>Blue = editable input · Black = formula · Yellow fill = judgment call with no hard public data. Evidence: Reported = official/credible public figure · Estimate = derived from reported figures · Judgment = authors' assumption.</t>
  </si>
  <si>
    <t>Manpower inputs</t>
  </si>
  <si>
    <t>Pessimistic</t>
  </si>
  <si>
    <t>Central</t>
  </si>
  <si>
    <t>Optimistic</t>
  </si>
  <si>
    <t>Evidence</t>
  </si>
  <si>
    <t>Source / rationale</t>
  </si>
  <si>
    <t>1. Manpower pool — lifetime stock of men who could fight (includes all future intake)</t>
  </si>
  <si>
    <t>Men currently serving in Defence Forces (S0)</t>
  </si>
  <si>
    <t>men</t>
  </si>
  <si>
    <t>Reported</t>
  </si>
  <si>
    <t>Low = IISS 2026 (~677k active). High = Zelensky, Jan 2025 (880k). Central = midpoint allowing for losses/AWOL since.</t>
  </si>
  <si>
    <t>Civilian men aged 25–60 in government-controlled Ukraine</t>
  </si>
  <si>
    <t>Estimate</t>
  </si>
  <si>
    <t>Less: reserved ('booked') workers</t>
  </si>
  <si>
    <t>~930k–1M booked (Deputy MoD Havryliuk, Aug 2024); +300k over the past year (Economy Minister Sobolev, Jul 2026).</t>
  </si>
  <si>
    <t>Less: medically unfit / legally exempt (share of remainder)</t>
  </si>
  <si>
    <t>Judgment</t>
  </si>
  <si>
    <t>Disability, carers, 3+ children, students, unfit per medical commission. No public total.</t>
  </si>
  <si>
    <t>Formula</t>
  </si>
  <si>
    <t>Reachability over the war (share realistically drafted)</t>
  </si>
  <si>
    <t>Key judgment. Fedorov (Jan 2026): ~2M men avoiding draft notices. Police got &gt;1.5M search requests from recruitment centres in 2026 alone.</t>
  </si>
  <si>
    <t>~8.7M conscription-age men pre-invasion fell to ~5M by Feb 2024 (death, emigration). Excludes men abroad. Secondary source — order of magnitude.</t>
  </si>
  <si>
    <t>→ Theoretically mobilizable men</t>
  </si>
  <si>
    <t>→ Reachable reserve not yet in uniform (R0)</t>
  </si>
  <si>
    <t>→ Total spendable pool (S0 + R0)</t>
  </si>
  <si>
    <t>Comparable to the Aug 2026 '500k–1M pool' but built bottom-up.</t>
  </si>
  <si>
    <t>Memo: Aug 2026 analysis pool (superseded)</t>
  </si>
  <si>
    <t>Legacy</t>
  </si>
  <si>
    <t>Used only on the Bridge (Dashboard).</t>
  </si>
  <si>
    <t>2. Minimum force to hold the line (collapse threshold)</t>
  </si>
  <si>
    <t>Active front length</t>
  </si>
  <si>
    <t>km</t>
  </si>
  <si>
    <t>~1,200 km of active front (Defense News, Apr 2026).</t>
  </si>
  <si>
    <t>Line troops per km of front (incl. rotation)</t>
  </si>
  <si>
    <t>men/km</t>
  </si>
  <si>
    <t>Troops in positions + rotation reserve per km. Russia attacks with small, constant assault groups ('thousand cuts'), which forces a continuous line.</t>
  </si>
  <si>
    <t>→ Line requirement</t>
  </si>
  <si>
    <t>UGV headcount replacement (Ch2) reduces this portion only.</t>
  </si>
  <si>
    <t>Support/rear troops per line soldier</t>
  </si>
  <si>
    <t>ratio</t>
  </si>
  <si>
    <t>Drone units, artillery, logistics, air defence, training, border, HQ.</t>
  </si>
  <si>
    <t>→ Support requirement</t>
  </si>
  <si>
    <t>→ Minimum total force before line fails</t>
  </si>
  <si>
    <t>Absolute threshold, independent of pool size (fixes Aug 2026 floor = 30% of pool).</t>
  </si>
  <si>
    <t>→ Spendable margin (pool − minimum force)</t>
  </si>
  <si>
    <t>Memo: Aug 2026 collapse floor (% of pool, superseded)</t>
  </si>
  <si>
    <t>Used only on the Bridge.</t>
  </si>
  <si>
    <t>3. Monthly flows</t>
  </si>
  <si>
    <t>Irrecoverable losses / month (KIA, MIA, POW, permanently disabled)</t>
  </si>
  <si>
    <t>men/mo</t>
  </si>
  <si>
    <t>Dutch MIVD (Apr 2026): ~500k Ukrainian permanent losses since Feb 2022 ≈ 10k/mo average; intensity higher in 2025–26. CSIS (Jan 2026): 100–140k killed to Dec 2025.</t>
  </si>
  <si>
    <t>Loss-rate drift per year (intensity trend)</t>
  </si>
  <si>
    <t>%/yr</t>
  </si>
  <si>
    <t>+ = Russian pressure rising. Russia's force grew only ~11k in H1 2026 and contract recruitment fell ~1/3 (Syrskyi, Jul 2026).</t>
  </si>
  <si>
    <t>Loss elasticity to force size</t>
  </si>
  <si>
    <t>exponent</t>
  </si>
  <si>
    <t>0 = losses fixed by Russian pressure; 1 = losses fall 1:1 as the force shrinks. The line is held at minimum manning, so elasticity is low.</t>
  </si>
  <si>
    <t>AWOL / desertion cases per month (gross)</t>
  </si>
  <si>
    <t>Prosecutor General: 161,461 AWOL + 21,479 desertion cases Jan–Oct 2025 (~18k/mo). Statistics classified since Nov 2025.</t>
  </si>
  <si>
    <t>Share of AWOL who return to service</t>
  </si>
  <si>
    <t>Return-without-prosecution pathway (draft law 16074, Sep 2026). Fedorov: ~200k AWOL at a point in time (Jan 2026).</t>
  </si>
  <si>
    <t>→ Net permanent AWOL loss / month</t>
  </si>
  <si>
    <t>Scales with force size in the Engine.</t>
  </si>
  <si>
    <t>Other discharges / month (age-out, non-combat medical, demobilization)</t>
  </si>
  <si>
    <t>→ Net monthly drain at start</t>
  </si>
  <si>
    <t>→ Gross monthly outflow (cross-check)</t>
  </si>
  <si>
    <t>Should be close to Budanov's 30k/mo 'needed to maintain what we have' (Aug 2026). See Checks tab.</t>
  </si>
  <si>
    <t>Mobilization throughput capacity / month</t>
  </si>
  <si>
    <t>SCEEUS (Dec 2025): 17–24k/mo. Zelensky (Feb 2026): 30–34k/mo. Budanov (Aug 2026): ≥30k/mo needed.</t>
  </si>
  <si>
    <t>4. UGV assumptions (choose set in B40)</t>
  </si>
  <si>
    <t>Low</t>
  </si>
  <si>
    <t>High</t>
  </si>
  <si>
    <t>Active</t>
  </si>
  <si>
    <t>Active UGV assumption set →</t>
  </si>
  <si>
    <t>index</t>
  </si>
  <si>
    <t>Switch</t>
  </si>
  <si>
    <t>Dropdown: Low / Central / High. Applies to all manpower scenarios.</t>
  </si>
  <si>
    <t>No public split. Resupply/evac runs through the drone kill zone.</t>
  </si>
  <si>
    <t>UGV missions / month today</t>
  </si>
  <si>
    <t>missions/mo</t>
  </si>
  <si>
    <t>MoD data via Defense Post: 19,969 missions in Jul 2026; 15,729 on Aug 1–20 (~24k/mo pace).</t>
  </si>
  <si>
    <t>Logistics coverage today (share of frontline logistics runs)</t>
  </si>
  <si>
    <t>Contested: an industry source (Ratel Robotics, Apr 2026) claims ~80%. We use 20% because ~800 missions/day across 1,200 km is thin. Stress-test this.</t>
  </si>
  <si>
    <t>→ Implied total logistics runs / month at 100% coverage</t>
  </si>
  <si>
    <t>runs/mo</t>
  </si>
  <si>
    <t>Anchors the supply check.</t>
  </si>
  <si>
    <t>Logistics coverage — target</t>
  </si>
  <si>
    <t>MoD goal = 100% of frontline logistics by robots (Fedorov, Apr 2026), haircut for terrain, EW and attrition.</t>
  </si>
  <si>
    <t>Months from today to target (linear); may be further capped by supply.</t>
  </si>
  <si>
    <t>Armed UGVs in early use (e.g. Droid TW-12.7 held a position for 45 days).</t>
  </si>
  <si>
    <t>Combat UGVs attract FPV drones; heavy weapons make a UGV hard to mask (Foreign Policy, Apr 2026).</t>
  </si>
  <si>
    <t>Loss avoided per UGV-covered mission (efficacy)</t>
  </si>
  <si>
    <t>&lt;100%: operators, recovery and repair crews stay exposed.</t>
  </si>
  <si>
    <t>Headcount replaced by UGVs — target (share of line troops, net of operators)</t>
  </si>
  <si>
    <t>Biletsky (3rd Army Corps, Mar 2026): up to 1/3 eventually. Central = under 1/3 of that ceiling.</t>
  </si>
  <si>
    <t>Starts from ~0 today.</t>
  </si>
  <si>
    <t>Share of Ch2 already captured by Ch1.</t>
  </si>
  <si>
    <t>UGV deliveries / month today</t>
  </si>
  <si>
    <t>UGVs/mo</t>
  </si>
  <si>
    <t>2026 goal of 50,000 UGVs (≈4.2k/mo); &gt;22,000 contracted by 20 Jul 2026 (MoD). 15,000 contracted in 2025.</t>
  </si>
  <si>
    <t>Annual growth in UGV deliveries</t>
  </si>
  <si>
    <t>Industrial ceiling on deliveries</t>
  </si>
  <si>
    <t>Missions per UGV before loss / write-off</t>
  </si>
  <si>
    <t>missions</t>
  </si>
  <si>
    <t>Implied ~7 if all 2026 deliveries were consumed at current mission rates. FPV drones increasingly hunt ground robots (Hudson, Aug 2026).</t>
  </si>
  <si>
    <t>Annual change in UGV lifetime (RU counter-UGV vs UKR survivability)</t>
  </si>
  <si>
    <t>Russian adaptation (FPV drones, mines, EW) vs Ukrainian armour and autonomy upgrades.</t>
  </si>
  <si>
    <t>Missions per active UGV per month</t>
  </si>
  <si>
    <t>Sizes the active fleet → operator headcount.</t>
  </si>
  <si>
    <t>Crew (operators + maintainers) per active UGV</t>
  </si>
  <si>
    <t>Robots still need people; added to minimum force in Ch1 cases.</t>
  </si>
  <si>
    <t>Applies to ALL cases incl. Base (Russia fields UGVs regardless).</t>
  </si>
  <si>
    <t>5. Model settings</t>
  </si>
  <si>
    <t>Model start (month 0)</t>
  </si>
  <si>
    <t>date</t>
  </si>
  <si>
    <t>Setting</t>
  </si>
  <si>
    <t>Month 0 = Sep 2026. Horizon 240 months.</t>
  </si>
  <si>
    <t>6. Case switches</t>
  </si>
  <si>
    <t>Base (UGV use frozen at today's level)</t>
  </si>
  <si>
    <t>Today's loss rate already reflects today's UGVs; Base holds coverage flat.</t>
  </si>
  <si>
    <t>Robots take missions above today's level; same headcount (plus operators).</t>
  </si>
  <si>
    <t>Robots replace line soldiers: fewer exposed, lower line requirement.</t>
  </si>
  <si>
    <t>Both, with overlap haircut.</t>
  </si>
  <si>
    <t>Engine — month-by-month stock-flow (do not edit). Serving force S and untapped reserve R; collapse when S &lt; minimum force.</t>
  </si>
  <si>
    <t>Common UGV columns use the ACTIVE UGV set (Inputs!B40). Blocks = case × manpower scenario. Month 0 = Inputs!B67.</t>
  </si>
  <si>
    <t>Date</t>
  </si>
  <si>
    <t>Log cov (ramp)</t>
  </si>
  <si>
    <t>Log cov (supply max)</t>
  </si>
  <si>
    <t>Log cov (effective)</t>
  </si>
  <si>
    <t>Ch1 loss mult (vs today)</t>
  </si>
  <si>
    <t>Headcount repl h</t>
  </si>
  <si>
    <t>RU UGV pressure</t>
  </si>
  <si>
    <t>UGV crew (incremental)</t>
  </si>
  <si>
    <t>Supply-bound?</t>
  </si>
  <si>
    <t>Common UGV drivers</t>
  </si>
  <si>
    <t>Base (UGVs frozen at today) — Pessimistic</t>
  </si>
  <si>
    <t>Intake</t>
  </si>
  <si>
    <t>AWOL net</t>
  </si>
  <si>
    <t>Discharge</t>
  </si>
  <si>
    <t>Serving S</t>
  </si>
  <si>
    <t>Reserve R</t>
  </si>
  <si>
    <t>Min force</t>
  </si>
  <si>
    <t>Gap S−min</t>
  </si>
  <si>
    <t>Base (UGVs frozen at today) — Central</t>
  </si>
  <si>
    <t>Base (UGVs frozen at today) — Optimistic</t>
  </si>
  <si>
    <t>Ch1: loss-rate — Pessimistic</t>
  </si>
  <si>
    <t>Ch1: loss-rate — Central</t>
  </si>
  <si>
    <t>Ch1: loss-rate — Optimistic</t>
  </si>
  <si>
    <t>Ch2: headcount — Pessimistic</t>
  </si>
  <si>
    <t>Ch2: headcount — Central</t>
  </si>
  <si>
    <t>Ch2: headcount — Optimistic</t>
  </si>
  <si>
    <t>Combined — Pessimistic</t>
  </si>
  <si>
    <t>Combined — Central</t>
  </si>
  <si>
    <t>Combined — Optimistic</t>
  </si>
  <si>
    <t>Dashboard — Ukraine manpower runway &amp; UGV effect (v2, supersedes Aug 2026 figures)</t>
  </si>
  <si>
    <t>Base (UGVs frozen at today)</t>
  </si>
  <si>
    <t>Ch1: loss-rate</t>
  </si>
  <si>
    <t>Ch2: headcount</t>
  </si>
  <si>
    <t>Runway added vs Base (yrs)</t>
  </si>
  <si>
    <t>Runway added vs Base (%)</t>
  </si>
  <si>
    <t>Implied collapse month</t>
  </si>
  <si>
    <t>Binding constraint at collapse</t>
  </si>
  <si>
    <t>Central scenario — key numbers</t>
  </si>
  <si>
    <t>What it means</t>
  </si>
  <si>
    <t>Total spendable pool (serving + reachable reserve)</t>
  </si>
  <si>
    <t>Lifetime stock of men who could fight</t>
  </si>
  <si>
    <t>Minimum force to hold the line</t>
  </si>
  <si>
    <t>Collapse threshold (front km × men/km × support ratio)</t>
  </si>
  <si>
    <t>Spendable margin</t>
  </si>
  <si>
    <t>Men that can be lost before the line fails</t>
  </si>
  <si>
    <t>Net monthly drain at start</t>
  </si>
  <si>
    <t>Irrecoverable losses + net AWOL + discharges</t>
  </si>
  <si>
    <t>Gross monthly outflow</t>
  </si>
  <si>
    <t>Cross-check: Budanov says ≥30k/mo intake needed to stand still</t>
  </si>
  <si>
    <t>Mobilization capacity / month</t>
  </si>
  <si>
    <t>If below net drain, the binding constraint is throughput, not the pool</t>
  </si>
  <si>
    <t>Logistics UGV coverage reached at month 24</t>
  </si>
  <si>
    <t>After supply cap (active UGV set)</t>
  </si>
  <si>
    <t>Ch1 loss-rate cut vs today at month 36</t>
  </si>
  <si>
    <t>Share of irrecoverable losses avoided</t>
  </si>
  <si>
    <t>Months where UGV supply caps coverage</t>
  </si>
  <si>
    <t>Production × survivability can't keep up with target</t>
  </si>
  <si>
    <t>Extra UGV crews needed at month 36</t>
  </si>
  <si>
    <t>Added to minimum force in Ch1 cases</t>
  </si>
  <si>
    <t>Bridge: Aug 2026 published → v2 Base (Central)</t>
  </si>
  <si>
    <t>Years</t>
  </si>
  <si>
    <t>Change</t>
  </si>
  <si>
    <t>Ch1 + Ch2 UGV effect (Combined, Central)</t>
  </si>
  <si>
    <t>v2 Combined (Central)</t>
  </si>
  <si>
    <t>Year</t>
  </si>
  <si>
    <t>Chart data — Central scenario, serving force vs minimum force (men)</t>
  </si>
  <si>
    <t>Step 1: bottom-up pool (serving + reachable reserve), same 30% floor</t>
  </si>
  <si>
    <t>Step 2: absolute minimum force replaces % floor</t>
  </si>
  <si>
    <t>Step 3: net AWOL and discharges added to drain</t>
  </si>
  <si>
    <t>Step 4: mobilization throughput cap</t>
  </si>
  <si>
    <t>Step 5: Engine dynamics (drift, elasticity, Russian UGVs) = v2 Base</t>
  </si>
  <si>
    <t>Start: Aug 2026 published (750k pool, 30% floor, 12.5k/mo)</t>
  </si>
  <si>
    <t>Driver id →</t>
  </si>
  <si>
    <t>Inputs row →</t>
  </si>
  <si>
    <t>Case</t>
  </si>
  <si>
    <t>Driver flexed</t>
  </si>
  <si>
    <t>Side (1=Pess,3=Opt)</t>
  </si>
  <si>
    <t>Serving force S0</t>
  </si>
  <si>
    <t>Civilian men 25–60</t>
  </si>
  <si>
    <t>Reserved workers</t>
  </si>
  <si>
    <t>Unfit/exempt share</t>
  </si>
  <si>
    <t>Reachability</t>
  </si>
  <si>
    <t>Front length (km)</t>
  </si>
  <si>
    <t>Line troops per km</t>
  </si>
  <si>
    <t>Support ratio</t>
  </si>
  <si>
    <t>Irrecoverable losses/mo</t>
  </si>
  <si>
    <t>AWOL cases/mo</t>
  </si>
  <si>
    <t>AWOL return share</t>
  </si>
  <si>
    <t>Discharges/mo</t>
  </si>
  <si>
    <t>Mobilization capacity/mo</t>
  </si>
  <si>
    <t>R0 reserve</t>
  </si>
  <si>
    <t>Total pool</t>
  </si>
  <si>
    <t>Net drain/mo</t>
  </si>
  <si>
    <t>Runway (yrs)</t>
  </si>
  <si>
    <t>Driver name</t>
  </si>
  <si>
    <t>Central (all inputs Central)</t>
  </si>
  <si>
    <t>Serving force S0 → Pessimistic</t>
  </si>
  <si>
    <t>Serving force S0 → Optimistic</t>
  </si>
  <si>
    <t>Civilian men 25–60 → Pessimistic</t>
  </si>
  <si>
    <t>Civilian men 25–60 → Optimistic</t>
  </si>
  <si>
    <t>Reserved workers → Pessimistic</t>
  </si>
  <si>
    <t>Reserved workers → Optimistic</t>
  </si>
  <si>
    <t>Unfit/exempt share → Pessimistic</t>
  </si>
  <si>
    <t>Unfit/exempt share → Optimistic</t>
  </si>
  <si>
    <t>Reachability → Pessimistic</t>
  </si>
  <si>
    <t>Reachability → Optimistic</t>
  </si>
  <si>
    <t>Front length (km) → Pessimistic</t>
  </si>
  <si>
    <t>Front length (km) → Optimistic</t>
  </si>
  <si>
    <t>Line troops per km → Pessimistic</t>
  </si>
  <si>
    <t>Line troops per km → Optimistic</t>
  </si>
  <si>
    <t>Support ratio → Pessimistic</t>
  </si>
  <si>
    <t>Support ratio → Optimistic</t>
  </si>
  <si>
    <t>Irrecoverable losses/mo → Pessimistic</t>
  </si>
  <si>
    <t>Irrecoverable losses/mo → Optimistic</t>
  </si>
  <si>
    <t>AWOL cases/mo → Pessimistic</t>
  </si>
  <si>
    <t>AWOL cases/mo → Optimistic</t>
  </si>
  <si>
    <t>AWOL return share → Pessimistic</t>
  </si>
  <si>
    <t>AWOL return share → Optimistic</t>
  </si>
  <si>
    <t>Discharges/mo → Pessimistic</t>
  </si>
  <si>
    <t>Discharges/mo → Optimistic</t>
  </si>
  <si>
    <t>Mobilization capacity/mo → Pessimistic</t>
  </si>
  <si>
    <t>Mobilization capacity/mo → Optimistic</t>
  </si>
  <si>
    <t>Driver summary (unsorted)</t>
  </si>
  <si>
    <t>Driver</t>
  </si>
  <si>
    <t>Runway @ Pess</t>
  </si>
  <si>
    <t>Runway @ Opt</t>
  </si>
  <si>
    <t>Swing (yrs)</t>
  </si>
  <si>
    <t>Pess value</t>
  </si>
  <si>
    <t>Opt value</t>
  </si>
  <si>
    <t>Ranked by swing (chart source)</t>
  </si>
  <si>
    <t>Central runway (closed form)</t>
  </si>
  <si>
    <t>Reconciliation</t>
  </si>
  <si>
    <t>Closed-form Central vs Engine Base Central (yrs)</t>
  </si>
  <si>
    <t>Closed form</t>
  </si>
  <si>
    <t>Engine</t>
  </si>
  <si>
    <t>Diff</t>
  </si>
  <si>
    <t>Checks — integrity and reality tests (all should read OK)</t>
  </si>
  <si>
    <t>#</t>
  </si>
  <si>
    <t>Test</t>
  </si>
  <si>
    <t>Target / tolerance</t>
  </si>
  <si>
    <t>Status</t>
  </si>
  <si>
    <t>Engine month 0 serving force = Inputs S0 (Central Base)</t>
  </si>
  <si>
    <t>Stock conservation to month 36: S+R = S0+R0 − cumulative drain (Central Base)</t>
  </si>
  <si>
    <t>Gross monthly outflow vs Budanov's 30k/mo 'needed to stand still' (±15%)</t>
  </si>
  <si>
    <t>Ch1 loss multiplier = 1.000 at month 0 (no double-count of today's UGVs)</t>
  </si>
  <si>
    <t>UGV missions today reconcile (coverage × total runs = reported missions)</t>
  </si>
  <si>
    <t>Minimum force below current serving force — Pessimistic</t>
  </si>
  <si>
    <t>Minimum force below current serving force — Central</t>
  </si>
  <si>
    <t>Minimum force below current serving force — Optimistic</t>
  </si>
  <si>
    <t>Reachable reserve (Central) below Fedorov's ~2M draft-avoiders + current intake</t>
  </si>
  <si>
    <t>Error cells in Engine</t>
  </si>
  <si>
    <t>Error cells in Dashboard results</t>
  </si>
  <si>
    <t>Bridge start reproduces Aug 2026 published Central (3.5 yrs)</t>
  </si>
  <si>
    <t>Closed form (Tornado) within 0.25 yrs of Engine Central Base</t>
  </si>
  <si>
    <t>Sensitivity — Central scenario, steady state: loss-rate cut (s, Ch1) vs line headcount replaced (h, Ch2)</t>
  </si>
  <si>
    <t>Years = (Pool − (Line req × (1−h) + Support req)) / (Losses × (1−s) × (1−h) + net AWOL + discharges) / 12. UGVs do not reduce AWOL or discharges. Yellow = centre (≈ Central UGV case).</t>
  </si>
  <si>
    <t>Line requirement</t>
  </si>
  <si>
    <t>Support requirement</t>
  </si>
  <si>
    <t>Net AWOL + discharges/mo</t>
  </si>
  <si>
    <t>s ↓ / h →</t>
  </si>
  <si>
    <t>Memo: s = 0, h = 0 (steady-state Base)</t>
  </si>
  <si>
    <t>Memo: the same 15% loss cut in the Aug 2026 model (losses were the only drain)</t>
  </si>
  <si>
    <t>Memo: years added by a 15% loss cut in v2 (s=15%, h=0)</t>
  </si>
  <si>
    <t>Article Table — Section 3 (v2; supersedes Aug 2026 figures)</t>
  </si>
  <si>
    <t>Aug 2026 published (yrs)</t>
  </si>
  <si>
    <t>v2 Base (yrs)</t>
  </si>
  <si>
    <t>v2 with UGVs, Combined (yrs)</t>
  </si>
  <si>
    <t>Runway added by UGVs (yrs)</t>
  </si>
  <si>
    <t>Collapse month (Base)</t>
  </si>
  <si>
    <t>Binding constraint (Base)</t>
  </si>
  <si>
    <t>What drains the force (Central, men/month)</t>
  </si>
  <si>
    <t>Men / month</t>
  </si>
  <si>
    <t>Share of drain</t>
  </si>
  <si>
    <t>Can UGVs reduce it?</t>
  </si>
  <si>
    <t>Irrecoverable losses (KIA, MIA, POW, disabled)</t>
  </si>
  <si>
    <t>Yes — Ch1 &amp; Ch2</t>
  </si>
  <si>
    <t>Net permanent AWOL / desertion</t>
  </si>
  <si>
    <t>No</t>
  </si>
  <si>
    <t>Other discharges</t>
  </si>
  <si>
    <t>Total net drain</t>
  </si>
  <si>
    <t>Headline numbers for the text (Central)</t>
  </si>
  <si>
    <t>Total spendable pool (men)</t>
  </si>
  <si>
    <t>Minimum force to hold 1,200 km (men)</t>
  </si>
  <si>
    <t>Loss-rate cut from UGVs by month 36</t>
  </si>
  <si>
    <t>Runway added by UGVs, Combined (yrs)</t>
  </si>
  <si>
    <t>Runway added by UGVs, Combined (%)</t>
  </si>
  <si>
    <t>Pushback Q&amp;A — objections outside readers are likely to raise, and where the model answers them</t>
  </si>
  <si>
    <t>Likely objection</t>
  </si>
  <si>
    <t>How the model handles it</t>
  </si>
  <si>
    <t>Where to look</t>
  </si>
  <si>
    <t>"Ukraine mobilizes ~30k men a month — your pool never refills."</t>
  </si>
  <si>
    <t>The pool is a lifetime stock that includes all future intake. Monthly intake moves men from the reserve (R) into the serving force (S), capped by throughput capacity (17–34k/mo from official statements). Collapse happens when S falls below the minimum force, not when a static number runs out.</t>
  </si>
  <si>
    <t>Inputs rows 6–13, 36; Engine Intake/Serving/Reserve columns</t>
  </si>
  <si>
    <t>"Ukraine has millions of men of military age — 750k is far too small."</t>
  </si>
  <si>
    <t>Pool is now built bottom-up: civilian men 25–60, minus reserved workers, minus unfit/exempt, times reachability (Fedorov: ~2M avoiding draft notices), plus those already serving. Central = ~1.4M. Reachability is flagged as a key judgment and ranks #3 on the Tornado.</t>
  </si>
  <si>
    <t>Inputs rows 6–13; Tornado</t>
  </si>
  <si>
    <t>"The constraint is throughput and willingness, not demographics."</t>
  </si>
  <si>
    <t>The Engine tests both. The Dashboard reports whether each case ends in 'Throughput' (reserve left but can't be drafted fast enough) or 'Pool exhausted'. The Pessimistic case is throughput-bound.</t>
  </si>
  <si>
    <t>Dashboard rows 24–27; Inputs row 36</t>
  </si>
  <si>
    <t>"Why would a bigger reserve mean the army collapses with more men left?" (old 30%-of-pool floor)</t>
  </si>
  <si>
    <t>Replaced by an absolute minimum force: front length × line troops per km × (1 + support ratio). It doesn't depend on pool size, and UGV headcount replacement only reduces the line portion.</t>
  </si>
  <si>
    <t>Inputs rows 17–22</t>
  </si>
  <si>
    <t>"You ignore desertion."</t>
  </si>
  <si>
    <t>Gross AWOL/desertion cases (~18k/mo in 2025 per Prosecutor General) minus the share who return gives net permanent AWOL, which is ~32% of Central net drain. UGVs don't reduce it.</t>
  </si>
  <si>
    <t>Inputs rows 30–32; Article Table rows 10–14</t>
  </si>
  <si>
    <t>"Your loss rate is made up."</t>
  </si>
  <si>
    <t>Anchored to Dutch MIVD (~500k permanent losses since 2022 ≈ 10k/mo average) and CSIS fatality ranges; the range is 10–15k/mo. Cross-check: losses + gross AWOL + discharges = ~29.5k/mo, close to Budanov's '≥30k/mo just to stand still'.</t>
  </si>
  <si>
    <t>Inputs row 27, 35; Checks #3</t>
  </si>
  <si>
    <t>"UGVs already fly 20k+ missions a month — you're double-counting."</t>
  </si>
  <si>
    <t>Fixed. Today's loss rate already reflects today's UGVs, so the Ch1 multiplier is measured against today's coverage (=1.000 at month 0). The Base case holds UGV use at today's level.</t>
  </si>
  <si>
    <t>Engine column G; Checks #4</t>
  </si>
  <si>
    <t>"Ukraine can't build/keep enough robots to cover all logistics."</t>
  </si>
  <si>
    <t>Coverage is capped by supply: deliveries (50k/yr goal, &gt;22k contracted by Jul 2026) × missions per UGV before loss ÷ total logistics runs. Russian counter-UGV adaptation can erode UGV lifetime each year. The Low UGV set shows the supply cap binding.</t>
  </si>
  <si>
    <t>Inputs rows 55–59; Engine columns D, E, K; Dashboard B38</t>
  </si>
  <si>
    <t>"Robots need operators — they don't free up people."</t>
  </si>
  <si>
    <t>Ch1 cases add operator/maintainer crews (per active UGV) to the minimum force; Ch2 headcount replacement is defined net of operators.</t>
  </si>
  <si>
    <t>Inputs rows 60–61; Engine column J</t>
  </si>
  <si>
    <t>"Russia will field UGVs too."</t>
  </si>
  <si>
    <t>Optional uplift to Ukrainian losses from Russian UGVs applies to all cases incl. Base (Low UGV set: +8% by month 24).</t>
  </si>
  <si>
    <t>Inputs rows 62–64; Engine column I</t>
  </si>
  <si>
    <t>"Min and Max stack every extreme — the range is meaningless."</t>
  </si>
  <si>
    <t>Pessimistic/Optimistic are labelled as stacked cases. The Tornado flexes one input at a time around Central to show which assumptions actually drive the result.</t>
  </si>
  <si>
    <t>Tornado</t>
  </si>
  <si>
    <t>"Losses won't stay flat as the army shrinks / fighting intensity changes."</t>
  </si>
  <si>
    <t>Loss-rate drift per year (±5%) and an elasticity of losses to force size (0–0.5) are explicit inputs.</t>
  </si>
  <si>
    <t>Inputs rows 28–29</t>
  </si>
  <si>
    <t>"Your UGV claims are hype — 80% of logistics is already robotic."</t>
  </si>
  <si>
    <t>Industry claims of ~80% are noted but not used. 20% today is a judgment (≈800 missions/day over 1,200 km). Changing it moves both today's baseline and the supply check.</t>
  </si>
  <si>
    <t>Inputs row 44 (note)</t>
  </si>
  <si>
    <t>"A ceasefire changes everything."</t>
  </si>
  <si>
    <t>Out of scope: ceasefire/settlement is treated as an outside stop at any point. The runway is 'time until the line can't be held if fighting continues at this intensity'.</t>
  </si>
  <si>
    <t>README</t>
  </si>
  <si>
    <t>Project Broadcast — Issue 6: Ukraine Manpower Runway vs UGV Integration (v2, Sep 2026)</t>
  </si>
  <si>
    <t>Estimates how long Ukraine can keep enough men in uniform to hold the line if fighting continues, then measures how much runway unmanned ground vehicles (UGVs) add.</t>
  </si>
  <si>
    <t>v2 supersedes the Aug 2026 figures (1.9 / 3.5 / 5.8 yrs). The Dashboard bridge walks from the old Central number to the new one step by step.</t>
  </si>
  <si>
    <t>Structure (stock-flow)</t>
  </si>
  <si>
    <t>• Pool = men already serving (S) + reachable reserve not yet in uniform (R). Built bottom-up and includes all future intake.</t>
  </si>
  <si>
    <t>• Each month: intake moves men R → S (capped by mobilization capacity). S loses irrecoverable losses, net permanent AWOL and discharges.</t>
  </si>
  <si>
    <t>• Collapse = S falls below the minimum force to hold the line (front km × line troops/km × (1 + support ratio)). That can happen with reserve left (throughput-bound) or once the pool is exhausted.</t>
  </si>
  <si>
    <t>UGV channels</t>
  </si>
  <si>
    <t>• Ch1 loss-rate: robots take logistics/casevac and some combat missions ABOVE today's level (today's use is already in the loss rate). Coverage is capped by UGV supply × survivability, and operators are added to the minimum force.</t>
  </si>
  <si>
    <t>• Ch2 headcount: robots replace a share of line troops (net of operators), cutting both exposure and the line requirement.</t>
  </si>
  <si>
    <t>• Combined applies both with an overlap haircut. UGVs cannot reduce AWOL or discharges (~40% of Central net drain).</t>
  </si>
  <si>
    <t>• Russian UGV use can add to Ukrainian losses in all cases. Russian counter-UGV adaptation can shorten UGV lifetime.</t>
  </si>
  <si>
    <t>Tabs</t>
  </si>
  <si>
    <t>1. Dashboard — years to collapse (3 manpower scenarios × 4 UGV cases), runway added, collapse month, binding constraint, key numbers, bridge from Aug 2026, chart.</t>
  </si>
  <si>
    <t>2. Inputs — edit BLUE cells only. Yellow = judgment call. Every row has an evidence grade and source; reported figures carry a cell note with a URL. UGV assumption set (Low/Central/High) is chosen in Inputs!B40.</t>
  </si>
  <si>
    <t>3. Engine — 240-month stock-flow, 12 blocks. Don't edit.</t>
  </si>
  <si>
    <t>4. Sensitivity — Central steady-state grid: loss-rate cut vs headcount replaced.</t>
  </si>
  <si>
    <t>5. Tornado — one-at-a-time flex of 13 manpower drivers around Central; ranks what matters.</t>
  </si>
  <si>
    <t>6. Checks — 13 integrity/reality tests (stock conservation, no double-count, Budanov 30k cross-check, error scan). Should read ALL CHECKS OK.</t>
  </si>
  <si>
    <t>7. Pushback Q&amp;A — likely reader objections, how the model answers each, and where to look.</t>
  </si>
  <si>
    <t>8. Article Table — the numbers for Section 3, all linked.</t>
  </si>
  <si>
    <t>Ukraine-only manpower lens. Russia's own runway is out of scope. Ceasefire/settlement is not modelled; it's an outside stop that can come at any point.</t>
  </si>
  <si>
    <t>Pessimistic/Optimistic stack assumptions in the same direction. Use the Tornado, not the extremes, to discuss which uncertainties matter.</t>
  </si>
  <si>
    <t>Blue text = hardcoded input · Black = formula · Green = link to another sheet · Yellow fill = key judgment, no hard data.</t>
  </si>
  <si>
    <t>Extra Bar chart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</si>
  <si>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</si>
  <si>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</si>
  <si>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</si>
  <si>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</si>
  <si>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</si>
  <si>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</si>
  <si>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</si>
  <si>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</si>
  <si>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Serving (Base)</t>
  </si>
  <si>
    <t>Serving (Combined)</t>
  </si>
  <si>
    <t>Min force (Base)</t>
  </si>
  <si>
    <t>Min force (Combined)</t>
  </si>
  <si>
    <t>Figure 6 source — change vs Central runway (yrs)</t>
  </si>
  <si>
    <t>Driver (swing)</t>
  </si>
  <si>
    <t>Entire UGV effect marker</t>
  </si>
  <si>
    <t>x (yrs)</t>
  </si>
  <si>
    <t>y</t>
  </si>
  <si>
    <t>Bottom</t>
  </si>
  <si>
    <t>Top</t>
  </si>
  <si>
    <t>Marker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</si>
</sst>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0.0%"/>
    <numFmt numFmtId="166" formatCode="0.000"/>
    <numFmt numFmtId="167" formatCode="#,##0;\(#,##0\);&quot;-&quot;"/>
    <numFmt numFmtId="168" formatCode="0.0%;\(0.0%\);&quot;-&quot;"/>
    <numFmt numFmtId="169" formatCode="mmm\ yyyy"/>
    <numFmt numFmtId="170" formatCode="0.0;\(0.0\);&quot;-&quot;"/>
    <numFmt numFmtId="171" formatCode="\+0.0;\(0.0\);&quot;-&quot;"/>
    <numFmt numFmtId="172" formatCode="#,##0.00;\(#,##0.00\);&quot;-&quot;"/>
    <numFmt numFmtId="173" formatCode="\+0.00;\-0.00;0.00"/>
    <numFmt numFmtId="174" formatCode="\+0.0"/>
    <numFmt numFmtId="175" formatCode="\+0.0%"/>
  </numFmts>
  <fonts count="25" x14ac:knownFonts="1">
    <font>
      <sz val="11"/>
      <color theme="1"/>
      <name val="Calibri"/>
      <family val="2"/>
      <charset val="1"/>
    </font>
    <font>
      <sz val="10"/>
      <color theme="1"/>
      <name val="Arial"/>
    </font>
    <font>
      <b/>
      <sz val="14"/>
      <color theme="1"/>
      <name val="Arial"/>
    </font>
    <font>
      <i/>
      <sz val="10"/>
      <color theme="1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0"/>
      <color theme="1"/>
      <name val="Arial"/>
    </font>
    <font>
      <sz val="10"/>
      <color rgb="FF0000FF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theme="1"/>
      <name val="Arial"/>
    </font>
    <font>
      <b/>
      <sz val="9"/>
      <color theme="1"/>
      <name val="Arial"/>
    </font>
    <font>
      <b/>
      <sz val="12"/>
      <color theme="1"/>
      <name val="Arial"/>
    </font>
    <font>
      <i/>
      <sz val="9"/>
      <color theme="1"/>
      <name val="Arial"/>
    </font>
    <font>
      <b/>
      <sz val="9"/>
      <color rgb="FFFFFFFF"/>
      <name val="Arial"/>
    </font>
    <font>
      <sz val="10"/>
      <color rgb="FF008000"/>
      <name val="Arial"/>
    </font>
    <font>
      <b/>
      <sz val="10"/>
      <color rgb="FF000000"/>
      <name val="Arial"/>
    </font>
    <font>
      <b/>
      <sz val="13"/>
      <color theme="1"/>
      <name val="Arial"/>
    </font>
    <font>
      <sz val="9"/>
      <color rgb="FF808080"/>
      <name val="Arial"/>
    </font>
    <font>
      <sz val="10"/>
      <color rgb="FF000000"/>
      <name val="Arial"/>
    </font>
    <font>
      <b/>
      <sz val="10"/>
      <color rgb="FF008000"/>
      <name val="Arial"/>
    </font>
    <font>
      <sz val="8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8000"/>
      <name val="Calibri"/>
      <family val="2"/>
      <charset val="1"/>
    </font>
    <font>
      <sz val="11"/>
      <color rgb="FF0000F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1" fillId="3" borderId="0" xfId="0" applyFont="1" applyFill="1"/>
    <xf numFmtId="0" fontId="6" fillId="3" borderId="0" xfId="0" applyFont="1" applyFill="1"/>
    <xf numFmtId="0" fontId="6" fillId="0" borderId="0" xfId="0" applyFont="1"/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7" fontId="7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8" fontId="7" fillId="4" borderId="0" xfId="0" applyNumberFormat="1" applyFont="1" applyFill="1" applyAlignment="1">
      <alignment horizontal="center"/>
    </xf>
    <xf numFmtId="168" fontId="1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67" fontId="7" fillId="4" borderId="0" xfId="0" applyNumberFormat="1" applyFont="1" applyFill="1" applyAlignment="1">
      <alignment horizontal="center"/>
    </xf>
    <xf numFmtId="2" fontId="7" fillId="4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0" fontId="7" fillId="5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68" fontId="1" fillId="6" borderId="0" xfId="0" applyNumberFormat="1" applyFont="1" applyFill="1" applyAlignment="1">
      <alignment horizontal="center"/>
    </xf>
    <xf numFmtId="167" fontId="1" fillId="6" borderId="0" xfId="0" applyNumberFormat="1" applyFont="1" applyFill="1" applyAlignment="1">
      <alignment horizontal="center"/>
    </xf>
    <xf numFmtId="167" fontId="6" fillId="6" borderId="0" xfId="0" applyNumberFormat="1" applyFont="1" applyFill="1" applyAlignment="1">
      <alignment horizontal="center"/>
    </xf>
    <xf numFmtId="2" fontId="1" fillId="6" borderId="0" xfId="0" applyNumberFormat="1" applyFont="1" applyFill="1" applyAlignment="1">
      <alignment horizontal="center"/>
    </xf>
    <xf numFmtId="16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2" borderId="0" xfId="0" applyFont="1" applyFill="1" applyAlignment="1">
      <alignment horizontal="center"/>
    </xf>
    <xf numFmtId="0" fontId="11" fillId="3" borderId="0" xfId="0" applyFont="1" applyFill="1" applyAlignment="1">
      <alignment horizontal="center" wrapText="1"/>
    </xf>
    <xf numFmtId="169" fontId="10" fillId="0" borderId="0" xfId="0" applyNumberFormat="1" applyFont="1"/>
    <xf numFmtId="165" fontId="10" fillId="0" borderId="0" xfId="0" applyNumberFormat="1" applyFont="1"/>
    <xf numFmtId="166" fontId="10" fillId="0" borderId="0" xfId="0" applyNumberFormat="1" applyFont="1"/>
    <xf numFmtId="3" fontId="10" fillId="0" borderId="0" xfId="0" applyNumberFormat="1" applyFont="1"/>
    <xf numFmtId="167" fontId="10" fillId="0" borderId="0" xfId="0" applyNumberFormat="1" applyFont="1"/>
    <xf numFmtId="0" fontId="5" fillId="2" borderId="0" xfId="0" applyFont="1" applyFill="1" applyAlignment="1">
      <alignment wrapText="1"/>
    </xf>
    <xf numFmtId="170" fontId="1" fillId="0" borderId="0" xfId="0" applyNumberFormat="1" applyFont="1"/>
    <xf numFmtId="170" fontId="1" fillId="0" borderId="0" xfId="0" applyNumberFormat="1" applyFont="1" applyAlignment="1">
      <alignment horizontal="center"/>
    </xf>
    <xf numFmtId="170" fontId="5" fillId="2" borderId="0" xfId="0" applyNumberFormat="1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169" fontId="1" fillId="0" borderId="0" xfId="0" applyNumberFormat="1" applyFont="1" applyAlignment="1">
      <alignment horizontal="center"/>
    </xf>
    <xf numFmtId="3" fontId="1" fillId="0" borderId="0" xfId="0" applyNumberFormat="1" applyFont="1"/>
    <xf numFmtId="165" fontId="1" fillId="0" borderId="0" xfId="0" applyNumberFormat="1" applyFont="1"/>
    <xf numFmtId="171" fontId="1" fillId="0" borderId="0" xfId="0" applyNumberFormat="1" applyFont="1"/>
    <xf numFmtId="170" fontId="6" fillId="0" borderId="0" xfId="0" applyNumberFormat="1" applyFont="1"/>
    <xf numFmtId="171" fontId="6" fillId="0" borderId="0" xfId="0" applyNumberFormat="1" applyFont="1"/>
    <xf numFmtId="3" fontId="15" fillId="0" borderId="0" xfId="0" applyNumberFormat="1" applyFont="1"/>
    <xf numFmtId="165" fontId="15" fillId="0" borderId="0" xfId="0" applyNumberFormat="1" applyFont="1"/>
    <xf numFmtId="1" fontId="15" fillId="0" borderId="0" xfId="0" applyNumberFormat="1" applyFont="1"/>
    <xf numFmtId="170" fontId="16" fillId="0" borderId="0" xfId="0" applyNumberFormat="1" applyFont="1"/>
    <xf numFmtId="170" fontId="6" fillId="0" borderId="0" xfId="0" applyNumberFormat="1" applyFont="1" applyAlignment="1">
      <alignment horizontal="center"/>
    </xf>
    <xf numFmtId="0" fontId="17" fillId="0" borderId="0" xfId="0" applyFont="1"/>
    <xf numFmtId="0" fontId="14" fillId="2" borderId="0" xfId="0" applyFont="1" applyFill="1" applyAlignment="1">
      <alignment wrapText="1"/>
    </xf>
    <xf numFmtId="0" fontId="18" fillId="0" borderId="0" xfId="0" applyFont="1"/>
    <xf numFmtId="172" fontId="10" fillId="0" borderId="0" xfId="0" applyNumberFormat="1" applyFont="1"/>
    <xf numFmtId="2" fontId="10" fillId="0" borderId="0" xfId="0" applyNumberFormat="1" applyFont="1"/>
    <xf numFmtId="173" fontId="10" fillId="0" borderId="0" xfId="0" applyNumberFormat="1" applyFont="1"/>
    <xf numFmtId="0" fontId="11" fillId="7" borderId="0" xfId="0" applyFont="1" applyFill="1"/>
    <xf numFmtId="3" fontId="11" fillId="7" borderId="0" xfId="0" applyNumberFormat="1" applyFont="1" applyFill="1"/>
    <xf numFmtId="172" fontId="11" fillId="7" borderId="0" xfId="0" applyNumberFormat="1" applyFont="1" applyFill="1"/>
    <xf numFmtId="2" fontId="11" fillId="7" borderId="0" xfId="0" applyNumberFormat="1" applyFont="1" applyFill="1"/>
    <xf numFmtId="4" fontId="1" fillId="0" borderId="0" xfId="0" applyNumberFormat="1" applyFont="1"/>
    <xf numFmtId="9" fontId="7" fillId="3" borderId="0" xfId="0" applyNumberFormat="1" applyFont="1" applyFill="1"/>
    <xf numFmtId="164" fontId="1" fillId="0" borderId="0" xfId="0" applyNumberFormat="1" applyFont="1"/>
    <xf numFmtId="164" fontId="6" fillId="4" borderId="0" xfId="0" applyNumberFormat="1" applyFont="1" applyFill="1"/>
    <xf numFmtId="174" fontId="1" fillId="0" borderId="0" xfId="0" applyNumberFormat="1" applyFont="1"/>
    <xf numFmtId="174" fontId="15" fillId="0" borderId="0" xfId="0" applyNumberFormat="1" applyFont="1"/>
    <xf numFmtId="175" fontId="15" fillId="0" borderId="0" xfId="0" applyNumberFormat="1" applyFont="1"/>
    <xf numFmtId="3" fontId="6" fillId="0" borderId="0" xfId="0" applyNumberFormat="1" applyFont="1"/>
    <xf numFmtId="165" fontId="6" fillId="0" borderId="0" xfId="0" applyNumberFormat="1" applyFont="1"/>
    <xf numFmtId="164" fontId="19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171" fontId="15" fillId="0" borderId="0" xfId="0" applyNumberFormat="1" applyFont="1" applyAlignment="1">
      <alignment horizontal="center"/>
    </xf>
    <xf numFmtId="169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171" fontId="20" fillId="0" borderId="0" xfId="0" applyNumberFormat="1" applyFont="1" applyAlignment="1">
      <alignment horizontal="center"/>
    </xf>
    <xf numFmtId="169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14" fillId="2" borderId="0" xfId="0" applyFont="1" applyFill="1" applyAlignment="1">
      <alignment horizontal="center"/>
    </xf>
    <xf numFmtId="0" fontId="22" fillId="0" borderId="0" xfId="0" applyFont="1"/>
    <xf numFmtId="173" fontId="0" fillId="0" borderId="0" xfId="0" applyNumberFormat="1"/>
    <xf numFmtId="2" fontId="23" fillId="0" borderId="0" xfId="0" applyNumberFormat="1" applyFont="1"/>
    <xf numFmtId="0" fontId="24" fillId="0" borderId="0" xfId="0" applyFont="1"/>
  </cellXfs>
  <cellStyles count="1">
    <cellStyle name="Normal" xfId="0" builtinId="0"/>
  </cellStyles>
  <dxfs count="1">
    <dxf>
      <font>
        <color rgb="FFC00000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Central: serving force vs minimum force to hold the line (men)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Dashboard!$H$4</c:f>
              <c:strCache>
                <c:ptCount val="1"/>
                <c:pt idx="0">
                  <c:v>Serving (Base)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Dashboard!$G$5:$G$17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Dashboard!$H$5:$H$17</c:f>
              <c:numCache>
                <c:formatCode>#,##0</c:formatCode>
                <c:ptCount val="13"/>
                <c:pt idx="0">
                  <c:v>800000</c:v>
                </c:pt>
                <c:pt idx="1">
                  <c:v>800000</c:v>
                </c:pt>
                <c:pt idx="2">
                  <c:v>800000</c:v>
                </c:pt>
                <c:pt idx="3">
                  <c:v>628001.37187452253</c:v>
                </c:pt>
                <c:pt idx="4">
                  <c:v>411822.69256274664</c:v>
                </c:pt>
                <c:pt idx="5">
                  <c:v>231621.04835600362</c:v>
                </c:pt>
                <c:pt idx="6">
                  <c:v>88072.243574958862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B-4717-9DC1-3665D0AAF1AE}"/>
            </c:ext>
          </c:extLst>
        </c:ser>
        <c:ser>
          <c:idx val="1"/>
          <c:order val="1"/>
          <c:tx>
            <c:strRef>
              <c:f>Dashboard!$I$4</c:f>
              <c:strCache>
                <c:ptCount val="1"/>
                <c:pt idx="0">
                  <c:v>Serving (Combined)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Dashboard!$G$5:$G$17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Dashboard!$I$5:$I$17</c:f>
              <c:numCache>
                <c:formatCode>#,##0</c:formatCode>
                <c:ptCount val="13"/>
                <c:pt idx="0">
                  <c:v>800000</c:v>
                </c:pt>
                <c:pt idx="1">
                  <c:v>800000</c:v>
                </c:pt>
                <c:pt idx="2">
                  <c:v>800000</c:v>
                </c:pt>
                <c:pt idx="3">
                  <c:v>676755.80656300427</c:v>
                </c:pt>
                <c:pt idx="4">
                  <c:v>478838.82985170378</c:v>
                </c:pt>
                <c:pt idx="5">
                  <c:v>310623.31107459107</c:v>
                </c:pt>
                <c:pt idx="6">
                  <c:v>170284.96780623595</c:v>
                </c:pt>
                <c:pt idx="7">
                  <c:v>58669.76371086896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FB-4717-9DC1-3665D0AAF1AE}"/>
            </c:ext>
          </c:extLst>
        </c:ser>
        <c:ser>
          <c:idx val="2"/>
          <c:order val="2"/>
          <c:tx>
            <c:strRef>
              <c:f>Dashboard!$J$4</c:f>
              <c:strCache>
                <c:ptCount val="1"/>
                <c:pt idx="0">
                  <c:v>Min force (Base)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Dashboard!$G$5:$G$17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Dashboard!$J$5:$J$17</c:f>
              <c:numCache>
                <c:formatCode>#,##0</c:formatCode>
                <c:ptCount val="13"/>
                <c:pt idx="0">
                  <c:v>495000</c:v>
                </c:pt>
                <c:pt idx="1">
                  <c:v>495000</c:v>
                </c:pt>
                <c:pt idx="2">
                  <c:v>495000</c:v>
                </c:pt>
                <c:pt idx="3">
                  <c:v>495000</c:v>
                </c:pt>
                <c:pt idx="4">
                  <c:v>495000</c:v>
                </c:pt>
                <c:pt idx="5">
                  <c:v>495000</c:v>
                </c:pt>
                <c:pt idx="6">
                  <c:v>495000</c:v>
                </c:pt>
                <c:pt idx="7">
                  <c:v>495000</c:v>
                </c:pt>
                <c:pt idx="8">
                  <c:v>495000</c:v>
                </c:pt>
                <c:pt idx="9">
                  <c:v>495000</c:v>
                </c:pt>
                <c:pt idx="10">
                  <c:v>495000</c:v>
                </c:pt>
                <c:pt idx="11">
                  <c:v>495000</c:v>
                </c:pt>
                <c:pt idx="12">
                  <c:v>495000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FB-4717-9DC1-3665D0AAF1AE}"/>
            </c:ext>
          </c:extLst>
        </c:ser>
        <c:ser>
          <c:idx val="3"/>
          <c:order val="3"/>
          <c:tx>
            <c:strRef>
              <c:f>Dashboard!$K$4</c:f>
              <c:strCache>
                <c:ptCount val="1"/>
                <c:pt idx="0">
                  <c:v>Min force (Combined)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Dashboard!$G$5:$G$17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Dashboard!$K$5:$K$17</c:f>
              <c:numCache>
                <c:formatCode>#,##0</c:formatCode>
                <c:ptCount val="13"/>
                <c:pt idx="0">
                  <c:v>495000</c:v>
                </c:pt>
                <c:pt idx="1">
                  <c:v>494250</c:v>
                </c:pt>
                <c:pt idx="2">
                  <c:v>493500</c:v>
                </c:pt>
                <c:pt idx="3">
                  <c:v>489750</c:v>
                </c:pt>
                <c:pt idx="4">
                  <c:v>486000</c:v>
                </c:pt>
                <c:pt idx="5">
                  <c:v>486000</c:v>
                </c:pt>
                <c:pt idx="6">
                  <c:v>486000</c:v>
                </c:pt>
                <c:pt idx="7">
                  <c:v>486000</c:v>
                </c:pt>
                <c:pt idx="8">
                  <c:v>486000</c:v>
                </c:pt>
                <c:pt idx="9">
                  <c:v>486000</c:v>
                </c:pt>
                <c:pt idx="10">
                  <c:v>486000</c:v>
                </c:pt>
                <c:pt idx="11">
                  <c:v>486000</c:v>
                </c:pt>
                <c:pt idx="12">
                  <c:v>486000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FB-4717-9DC1-3665D0AAF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7555536"/>
        <c:axId val="900130576"/>
      </c:lineChart>
      <c:catAx>
        <c:axId val="1717555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Years from Sep 2026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130576"/>
        <c:crosses val="autoZero"/>
        <c:auto val="1"/>
        <c:lblAlgn val="ctr"/>
        <c:lblOffset val="100"/>
        <c:noMultiLvlLbl val="0"/>
      </c:catAx>
      <c:valAx>
        <c:axId val="90013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55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Ground Robot Missions in Ukraine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Dashboard!$A$56:$A$63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Dashboard!$B$56:$B$63</c:f>
              <c:numCache>
                <c:formatCode>General</c:formatCode>
                <c:ptCount val="8"/>
                <c:pt idx="0">
                  <c:v>7511</c:v>
                </c:pt>
                <c:pt idx="1">
                  <c:v>7960</c:v>
                </c:pt>
                <c:pt idx="2">
                  <c:v>9072</c:v>
                </c:pt>
                <c:pt idx="3">
                  <c:v>11028</c:v>
                </c:pt>
                <c:pt idx="4">
                  <c:v>14059</c:v>
                </c:pt>
                <c:pt idx="5">
                  <c:v>16664</c:v>
                </c:pt>
                <c:pt idx="6">
                  <c:v>19969</c:v>
                </c:pt>
                <c:pt idx="7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C-41EB-9CE8-EDC0E0FE7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-27"/>
        <c:axId val="1138642271"/>
        <c:axId val="481410031"/>
      </c:barChart>
      <c:catAx>
        <c:axId val="113864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10031"/>
        <c:crosses val="autoZero"/>
        <c:auto val="1"/>
        <c:lblAlgn val="ctr"/>
        <c:lblOffset val="100"/>
        <c:noMultiLvlLbl val="0"/>
      </c:catAx>
      <c:valAx>
        <c:axId val="48141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4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the Men Lost per Month 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'Article Table'!$B$10</c:f>
              <c:strCache>
                <c:ptCount val="1"/>
                <c:pt idx="0">
                  <c:v>Men / month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4C-4639-B01F-53F02FBCFB46}"/>
              </c:ext>
            </c:extLst>
          </c:dPt>
          <c:dPt>
            <c:idx val="1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E4C-4639-B01F-53F02FBCFB46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4C-4639-B01F-53F02FBCFB46}"/>
              </c:ext>
            </c:extLst>
          </c:dPt>
          <c:cat>
            <c:strRef>
              <c:f>'Article Table'!$A$11:$A$13</c:f>
              <c:strCache>
                <c:ptCount val="3"/>
                <c:pt idx="0">
                  <c:v>Irrecoverable losses (KIA, MIA, POW, disabled)</c:v>
                </c:pt>
                <c:pt idx="1">
                  <c:v>Net permanent AWOL / desertion</c:v>
                </c:pt>
                <c:pt idx="2">
                  <c:v>Other discharges</c:v>
                </c:pt>
              </c:strCache>
            </c:strRef>
          </c:cat>
          <c:val>
            <c:numRef>
              <c:f>'Article Table'!$B$11:$B$13</c:f>
              <c:numCache>
                <c:formatCode>#,##0</c:formatCode>
                <c:ptCount val="3"/>
                <c:pt idx="0">
                  <c:v>12500</c:v>
                </c:pt>
                <c:pt idx="1">
                  <c:v>6749.9999999999991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C-4639-B01F-53F02FBCF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6693961349205"/>
          <c:y val="0.20101040818173585"/>
          <c:w val="0.30181154760373646"/>
          <c:h val="0.731725948049597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runway (yrs) when one input moves to its Pessimistic / Optimistic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Tornado!$Z$21:$Z$33</c:f>
              <c:strCache>
                <c:ptCount val="13"/>
                <c:pt idx="0">
                  <c:v>Runway @ Opt</c:v>
                </c:pt>
                <c:pt idx="1">
                  <c:v>4.00</c:v>
                </c:pt>
                <c:pt idx="2">
                  <c:v>3.84</c:v>
                </c:pt>
                <c:pt idx="3">
                  <c:v>3.91</c:v>
                </c:pt>
                <c:pt idx="4">
                  <c:v>3.88</c:v>
                </c:pt>
                <c:pt idx="5">
                  <c:v>3.79</c:v>
                </c:pt>
                <c:pt idx="6">
                  <c:v>3.76</c:v>
                </c:pt>
                <c:pt idx="7">
                  <c:v>3.76</c:v>
                </c:pt>
                <c:pt idx="8">
                  <c:v>3.72</c:v>
                </c:pt>
                <c:pt idx="9">
                  <c:v>3.67</c:v>
                </c:pt>
                <c:pt idx="10">
                  <c:v>3.61</c:v>
                </c:pt>
                <c:pt idx="11">
                  <c:v>3.61</c:v>
                </c:pt>
                <c:pt idx="12">
                  <c:v>3.58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Tornado!$X$34:$Y$34</c:f>
              <c:strCache>
                <c:ptCount val="2"/>
                <c:pt idx="0">
                  <c:v>Mobilization capacity/mo</c:v>
                </c:pt>
                <c:pt idx="1">
                  <c:v>3.53</c:v>
                </c:pt>
              </c:strCache>
            </c:strRef>
          </c:cat>
          <c:val>
            <c:numRef>
              <c:f>Tornado!$Z$34</c:f>
              <c:numCache>
                <c:formatCode>0.00</c:formatCode>
                <c:ptCount val="1"/>
                <c:pt idx="0">
                  <c:v>3.5254901960784313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1-455D-8A8B-8082F7BEF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3187168"/>
        <c:axId val="900145936"/>
      </c:barChart>
      <c:catAx>
        <c:axId val="1003187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145936"/>
        <c:crosses val="autoZero"/>
        <c:auto val="1"/>
        <c:lblAlgn val="ctr"/>
        <c:lblOffset val="100"/>
        <c:noMultiLvlLbl val="0"/>
      </c:catAx>
      <c:valAx>
        <c:axId val="90014593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18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Runway sensitivity: one input at a time vs Central (yrs)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Tornado!$AF$21</c:f>
              <c:strCache>
                <c:ptCount val="1"/>
                <c:pt idx="0">
                  <c:v>Pessimistic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cat>
            <c:strRef>
              <c:f>Tornado!$AE$22:$AE$34</c:f>
              <c:strCache>
                <c:ptCount val="13"/>
                <c:pt idx="0">
                  <c:v>Irrecoverable losses/mo (0.84 yr swing)</c:v>
                </c:pt>
                <c:pt idx="1">
                  <c:v>Serving force S0 (0.78 yr swing)</c:v>
                </c:pt>
                <c:pt idx="2">
                  <c:v>Reachability (0.78 yr swing)</c:v>
                </c:pt>
                <c:pt idx="3">
                  <c:v>Civilian men 25–60 (0.71 yr swing)</c:v>
                </c:pt>
                <c:pt idx="4">
                  <c:v>AWOL return share (0.61 yr swing)</c:v>
                </c:pt>
                <c:pt idx="5">
                  <c:v>Line troops per km (0.47 yr swing)</c:v>
                </c:pt>
                <c:pt idx="6">
                  <c:v>AWOL cases/mo (0.45 yr swing)</c:v>
                </c:pt>
                <c:pt idx="7">
                  <c:v>Unfit/exempt share (0.39 yr swing)</c:v>
                </c:pt>
                <c:pt idx="8">
                  <c:v>Reserved workers (0.21 yr swing)</c:v>
                </c:pt>
                <c:pt idx="9">
                  <c:v>Discharges/mo (0.17 yr swing)</c:v>
                </c:pt>
                <c:pt idx="10">
                  <c:v>Front length (km) (0.16 yr swing)</c:v>
                </c:pt>
                <c:pt idx="11">
                  <c:v>Support ratio (0.12 yr swing)</c:v>
                </c:pt>
                <c:pt idx="12">
                  <c:v>Mobilization capacity/mo (0.00 yr swing)</c:v>
                </c:pt>
              </c:strCache>
            </c:strRef>
          </c:cat>
          <c:val>
            <c:numRef>
              <c:f>Tornado!$AF$22:$AF$34</c:f>
              <c:numCache>
                <c:formatCode>\+0.00;\-0.00;0.00</c:formatCode>
                <c:ptCount val="13"/>
                <c:pt idx="0">
                  <c:v>-0.37110423116615054</c:v>
                </c:pt>
                <c:pt idx="1">
                  <c:v>-0.47058823529411775</c:v>
                </c:pt>
                <c:pt idx="2">
                  <c:v>-0.38823529411764701</c:v>
                </c:pt>
                <c:pt idx="3">
                  <c:v>-0.35294117647058831</c:v>
                </c:pt>
                <c:pt idx="4">
                  <c:v>-0.33754693366708421</c:v>
                </c:pt>
                <c:pt idx="5">
                  <c:v>-0.23294117647058776</c:v>
                </c:pt>
                <c:pt idx="6">
                  <c:v>-0.21059344091618959</c:v>
                </c:pt>
                <c:pt idx="7">
                  <c:v>-0.19411764705882328</c:v>
                </c:pt>
                <c:pt idx="8">
                  <c:v>-7.0588235294117396E-2</c:v>
                </c:pt>
                <c:pt idx="9">
                  <c:v>-8.1045751633987084E-2</c:v>
                </c:pt>
                <c:pt idx="10">
                  <c:v>-8.0882352941176183E-2</c:v>
                </c:pt>
                <c:pt idx="11">
                  <c:v>-5.8823529411764497E-2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1-43BF-A764-01DAA1640CC7}"/>
            </c:ext>
          </c:extLst>
        </c:ser>
        <c:ser>
          <c:idx val="1"/>
          <c:order val="1"/>
          <c:tx>
            <c:strRef>
              <c:f>Tornado!$AG$21</c:f>
              <c:strCache>
                <c:ptCount val="1"/>
                <c:pt idx="0">
                  <c:v>Optimistic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cat>
            <c:strRef>
              <c:f>Tornado!$AE$22:$AE$34</c:f>
              <c:strCache>
                <c:ptCount val="13"/>
                <c:pt idx="0">
                  <c:v>Irrecoverable losses/mo (0.84 yr swing)</c:v>
                </c:pt>
                <c:pt idx="1">
                  <c:v>Serving force S0 (0.78 yr swing)</c:v>
                </c:pt>
                <c:pt idx="2">
                  <c:v>Reachability (0.78 yr swing)</c:v>
                </c:pt>
                <c:pt idx="3">
                  <c:v>Civilian men 25–60 (0.71 yr swing)</c:v>
                </c:pt>
                <c:pt idx="4">
                  <c:v>AWOL return share (0.61 yr swing)</c:v>
                </c:pt>
                <c:pt idx="5">
                  <c:v>Line troops per km (0.47 yr swing)</c:v>
                </c:pt>
                <c:pt idx="6">
                  <c:v>AWOL cases/mo (0.45 yr swing)</c:v>
                </c:pt>
                <c:pt idx="7">
                  <c:v>Unfit/exempt share (0.39 yr swing)</c:v>
                </c:pt>
                <c:pt idx="8">
                  <c:v>Reserved workers (0.21 yr swing)</c:v>
                </c:pt>
                <c:pt idx="9">
                  <c:v>Discharges/mo (0.17 yr swing)</c:v>
                </c:pt>
                <c:pt idx="10">
                  <c:v>Front length (km) (0.16 yr swing)</c:v>
                </c:pt>
                <c:pt idx="11">
                  <c:v>Support ratio (0.12 yr swing)</c:v>
                </c:pt>
                <c:pt idx="12">
                  <c:v>Mobilization capacity/mo (0.00 yr swing)</c:v>
                </c:pt>
              </c:strCache>
            </c:strRef>
          </c:cat>
          <c:val>
            <c:numRef>
              <c:f>Tornado!$AG$22:$AG$34</c:f>
              <c:numCache>
                <c:formatCode>\+0.00;\-0.00;0.00</c:formatCode>
                <c:ptCount val="13"/>
                <c:pt idx="0">
                  <c:v>0.47006535947712402</c:v>
                </c:pt>
                <c:pt idx="1">
                  <c:v>0.31372549019607865</c:v>
                </c:pt>
                <c:pt idx="2">
                  <c:v>0.38823529411764701</c:v>
                </c:pt>
                <c:pt idx="3">
                  <c:v>0.35294117647058831</c:v>
                </c:pt>
                <c:pt idx="4">
                  <c:v>0.26775874906924813</c:v>
                </c:pt>
                <c:pt idx="5">
                  <c:v>0.23294117647058821</c:v>
                </c:pt>
                <c:pt idx="6">
                  <c:v>0.23916642033697899</c:v>
                </c:pt>
                <c:pt idx="7">
                  <c:v>0.19411764705882328</c:v>
                </c:pt>
                <c:pt idx="8">
                  <c:v>0.14117647058823524</c:v>
                </c:pt>
                <c:pt idx="9">
                  <c:v>8.4951570989841851E-2</c:v>
                </c:pt>
                <c:pt idx="10">
                  <c:v>8.0882352941177071E-2</c:v>
                </c:pt>
                <c:pt idx="11">
                  <c:v>5.8823529411764941E-2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01-43BF-A764-01DAA1640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444582143"/>
        <c:axId val="481425871"/>
      </c:barChart>
      <c:scatterChart>
        <c:scatterStyle val="lineMarker"/>
        <c:varyColors val="0"/>
        <c:ser>
          <c:idx val="2"/>
          <c:order val="2"/>
          <c:tx>
            <c:v>Entire UGV effect</c:v>
          </c:tx>
          <c:spPr>
            <a:ln w="25400" cap="rnd">
              <a:solidFill>
                <a:srgbClr val="000000"/>
              </a:solidFill>
              <a:prstDash val="lgDash"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Tornado!$AF$40</c:f>
                  <c:strCache>
                    <c:ptCount val="1"/>
                    <c:pt idx="0">
                      <c:v>Entire UGV effect (0.37 yrs)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{6D424CF1-F2C8-4272-A8CC-5BEF6A689B97}</c15:txfldGUID>
                      <c15:f>Tornado!$AF$40</c15:f>
                      <c15:dlblFieldTableCache>
                        <c:ptCount val="1"/>
                        <c:pt idx="0">
                          <c:v>Entire UGV effect (0.37 yrs)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C801-43BF-A764-01DAA1640C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Tornado!$AF$38:$AF$39</c:f>
              <c:numCache>
                <c:formatCode>0.00</c:formatCode>
                <c:ptCount val="2"/>
                <c:pt idx="0">
                  <c:v>0.36518871303391354</c:v>
                </c:pt>
                <c:pt idx="1">
                  <c:v>0.36518871303391354</c:v>
                </c:pt>
              </c:numCache>
            </c:numRef>
          </c:xVal>
          <c:yVal>
            <c:numRef>
              <c:f>Tornado!$AG$38:$AG$39</c:f>
              <c:numCache>
                <c:formatCode>General</c:formatCode>
                <c:ptCount val="2"/>
                <c:pt idx="0">
                  <c:v>0.03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01-43BF-A764-01DAA1640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495471"/>
        <c:axId val="481501711"/>
      </c:scatterChart>
      <c:catAx>
        <c:axId val="14445821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25871"/>
        <c:crosses val="autoZero"/>
        <c:auto val="1"/>
        <c:lblAlgn val="ctr"/>
        <c:lblOffset val="100"/>
        <c:noMultiLvlLbl val="0"/>
      </c:catAx>
      <c:valAx>
        <c:axId val="481425871"/>
        <c:scaling>
          <c:orientation val="minMax"/>
          <c:max val="0.6"/>
          <c:min val="-0.6"/>
        </c:scaling>
        <c:delete val="0"/>
        <c:axPos val="b"/>
        <c:majorGridlines>
          <c:spPr>
            <a:ln w="9525" cap="flat" cmpd="sng" algn="ctr">
              <a:solidFill>
                <a:srgbClr val="E0E0E0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Change in runway vs Central (yrs)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+0.0;\-0.0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582143"/>
        <c:crosses val="max"/>
        <c:crossBetween val="between"/>
        <c:majorUnit val="0.2"/>
      </c:valAx>
      <c:valAx>
        <c:axId val="481501711"/>
        <c:scaling>
          <c:orientation val="minMax"/>
          <c:max val="1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481495471"/>
        <c:crosses val="max"/>
        <c:crossBetween val="midCat"/>
      </c:valAx>
      <c:valAx>
        <c:axId val="481495471"/>
        <c:scaling>
          <c:orientation val="minMax"/>
          <c:max val="0.6"/>
          <c:min val="-0.6"/>
        </c:scaling>
        <c:delete val="1"/>
        <c:axPos val="b"/>
        <c:numFmt formatCode="0.00" sourceLinked="1"/>
        <c:majorTickMark val="out"/>
        <c:minorTickMark val="none"/>
        <c:tickLblPos val="nextTo"/>
        <c:crossAx val="48150171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253999</xdr:colOff>
      <xdr:row>17</xdr:row>
      <xdr:rowOff>184149</xdr:rowOff>
    </xdr:from>
    <xdr:to>
      <xdr:col>19</xdr:col>
      <xdr:colOff>448236</xdr:colOff>
      <xdr:row>47</xdr:row>
      <xdr:rowOff>149412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12A5C7-397E-49D2-10BD-08A3B60BB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377321</xdr:colOff>
      <xdr:row>50</xdr:row>
      <xdr:rowOff>116913</xdr:rowOff>
    </xdr:from>
    <xdr:to>
      <xdr:col>9</xdr:col>
      <xdr:colOff>866588</xdr:colOff>
      <xdr:row>68</xdr:row>
      <xdr:rowOff>119529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0EB24-D0A6-66B2-3898-30AFF0E01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422275</xdr:colOff>
      <xdr:row>8</xdr:row>
      <xdr:rowOff>127000</xdr:rowOff>
    </xdr:from>
    <xdr:to>
      <xdr:col>9</xdr:col>
      <xdr:colOff>463550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49E7A-4A7C-5D2E-578F-E9C01EE8C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38</xdr:row>
      <xdr:rowOff>0</xdr:rowOff>
    </xdr:from>
    <xdr:to>
      <xdr:col>29</xdr:col>
      <xdr:colOff>0</xdr:colOff>
      <xdr:row>64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55892-8A5A-4E22-0A09-47F57B38E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423334</xdr:colOff>
      <xdr:row>18</xdr:row>
      <xdr:rowOff>77982</xdr:rowOff>
    </xdr:from>
    <xdr:to>
      <xdr:col>52</xdr:col>
      <xdr:colOff>423334</xdr:colOff>
      <xdr:row>48</xdr:row>
      <xdr:rowOff>141482</xdr:rowOff>
    </xdr:to>
    <xdr:graphicFrame macro="">
      <xdr:nvGraphicFramePr>
        <xdr:cNvPr id="3" name="Figure6_Tornado">
          <a:extLst>
            <a:ext uri="{FF2B5EF4-FFF2-40B4-BE49-F238E27FC236}">
              <a16:creationId xmlns:a16="http://schemas.microsoft.com/office/drawing/2014/main" id="{C9CA8DB3-438D-2F5C-CA9E-79AFDA1F5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589BCD-B651-4282-ADA7-4A98E36296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122c635-2bbf-4e47-92e0-70d4b609d8a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opLeftCell="A4" zoomScaleNormal="100" workbookViewId="0">
      <selection activeCell="A8" sqref="A8"/>
    </sheetView>
  </sheetViews>
  <sheetFormatPr defaultColWidth="8.6328125" defaultRowHeight="14.5" x14ac:dyDescent="0.35"/>
  <cols>
    <col min="1" max="1" width="163.6328125" customWidth="1"/>
  </cols>
  <sheetData>
    <row r="1" spans="1:1" ht="18" x14ac:dyDescent="0.4">
      <c r="A1" s="2" t="s">
        <v>393</v>
      </c>
    </row>
    <row r="2" spans="1:1" x14ac:dyDescent="0.35">
      <c r="A2" s="1"/>
    </row>
    <row r="3" spans="1:1" x14ac:dyDescent="0.35">
      <c r="A3" s="7" t="s">
        <v>0</v>
      </c>
    </row>
    <row r="4" spans="1:1" x14ac:dyDescent="0.35">
      <c r="A4" s="1" t="s">
        <v>394</v>
      </c>
    </row>
    <row r="5" spans="1:1" x14ac:dyDescent="0.35">
      <c r="A5" s="1" t="s">
        <v>395</v>
      </c>
    </row>
    <row r="6" spans="1:1" x14ac:dyDescent="0.35">
      <c r="A6" s="1"/>
    </row>
    <row r="7" spans="1:1" x14ac:dyDescent="0.35">
      <c r="A7" s="7" t="s">
        <v>396</v>
      </c>
    </row>
    <row r="8" spans="1:1" x14ac:dyDescent="0.35">
      <c r="A8" s="1" t="s">
        <v>397</v>
      </c>
    </row>
    <row r="9" spans="1:1" x14ac:dyDescent="0.35">
      <c r="A9" s="1" t="s">
        <v>398</v>
      </c>
    </row>
    <row r="10" spans="1:1" x14ac:dyDescent="0.35">
      <c r="A10" s="1" t="s">
        <v>399</v>
      </c>
    </row>
    <row r="11" spans="1:1" x14ac:dyDescent="0.35">
      <c r="A11" s="1"/>
    </row>
    <row r="12" spans="1:1" x14ac:dyDescent="0.35">
      <c r="A12" s="7" t="s">
        <v>400</v>
      </c>
    </row>
    <row r="13" spans="1:1" x14ac:dyDescent="0.35">
      <c r="A13" s="1" t="s">
        <v>401</v>
      </c>
    </row>
    <row r="14" spans="1:1" x14ac:dyDescent="0.35">
      <c r="A14" s="1" t="s">
        <v>402</v>
      </c>
    </row>
    <row r="15" spans="1:1" x14ac:dyDescent="0.35">
      <c r="A15" s="1" t="s">
        <v>403</v>
      </c>
    </row>
    <row r="16" spans="1:1" x14ac:dyDescent="0.35">
      <c r="A16" s="1" t="s">
        <v>404</v>
      </c>
    </row>
    <row r="17" spans="1:1" x14ac:dyDescent="0.35">
      <c r="A17" s="1"/>
    </row>
    <row r="18" spans="1:1" x14ac:dyDescent="0.35">
      <c r="A18" s="7" t="s">
        <v>405</v>
      </c>
    </row>
    <row r="19" spans="1:1" x14ac:dyDescent="0.35">
      <c r="A19" s="1" t="s">
        <v>406</v>
      </c>
    </row>
    <row r="20" spans="1:1" x14ac:dyDescent="0.35">
      <c r="A20" s="1" t="s">
        <v>407</v>
      </c>
    </row>
    <row r="21" spans="1:1" x14ac:dyDescent="0.35">
      <c r="A21" s="1" t="s">
        <v>408</v>
      </c>
    </row>
    <row r="22" spans="1:1" x14ac:dyDescent="0.35">
      <c r="A22" s="1" t="s">
        <v>409</v>
      </c>
    </row>
    <row r="23" spans="1:1" x14ac:dyDescent="0.35">
      <c r="A23" s="1" t="s">
        <v>410</v>
      </c>
    </row>
    <row r="24" spans="1:1" x14ac:dyDescent="0.35">
      <c r="A24" s="1" t="s">
        <v>411</v>
      </c>
    </row>
    <row r="25" spans="1:1" x14ac:dyDescent="0.35">
      <c r="A25" s="1" t="s">
        <v>412</v>
      </c>
    </row>
    <row r="26" spans="1:1" x14ac:dyDescent="0.35">
      <c r="A26" s="1" t="s">
        <v>413</v>
      </c>
    </row>
    <row r="27" spans="1:1" x14ac:dyDescent="0.35">
      <c r="A27" s="1"/>
    </row>
    <row r="28" spans="1:1" x14ac:dyDescent="0.35">
      <c r="A28" s="7" t="s">
        <v>1</v>
      </c>
    </row>
    <row r="29" spans="1:1" x14ac:dyDescent="0.35">
      <c r="A29" s="1" t="s">
        <v>414</v>
      </c>
    </row>
    <row r="30" spans="1:1" x14ac:dyDescent="0.35">
      <c r="A30" s="1" t="s">
        <v>415</v>
      </c>
    </row>
    <row r="31" spans="1:1" x14ac:dyDescent="0.35">
      <c r="A31" s="1"/>
    </row>
    <row r="32" spans="1:1" x14ac:dyDescent="0.35">
      <c r="A32" s="7" t="s">
        <v>2</v>
      </c>
    </row>
    <row r="33" spans="1:1" x14ac:dyDescent="0.35">
      <c r="A33" s="1" t="s">
        <v>416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showGridLines="0" topLeftCell="E16" zoomScale="111" zoomScaleNormal="70" workbookViewId="0">
      <selection activeCell="X37" sqref="X37"/>
    </sheetView>
  </sheetViews>
  <sheetFormatPr defaultColWidth="8.6328125" defaultRowHeight="14.5" x14ac:dyDescent="0.35"/>
  <cols>
    <col min="1" max="1" width="60" customWidth="1"/>
    <col min="2" max="5" width="19.08984375" customWidth="1"/>
    <col min="6" max="6" width="3.6328125" customWidth="1"/>
    <col min="7" max="11" width="16.36328125" customWidth="1"/>
  </cols>
  <sheetData>
    <row r="1" spans="1:11" ht="18" x14ac:dyDescent="0.4">
      <c r="A1" s="2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4" t="str">
        <f>"Years from "&amp;TEXT(Inputs!B67,"mmm yyyy")&amp;" until the serving force falls below the minimum force needed to hold the line. '&gt;20' = survives the 240-month horizon. Active UGV set: "&amp;Inputs!B40</f>
        <v>Years from Sep 2026 until the serving force falls below the minimum force needed to hold the line. '&gt;20' = survives the 240-month horizon. Active UGV set: Central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1"/>
      <c r="B3" s="1"/>
      <c r="C3" s="1"/>
      <c r="D3" s="1"/>
      <c r="E3" s="1"/>
      <c r="F3" s="1"/>
      <c r="G3" s="3" t="s">
        <v>226</v>
      </c>
      <c r="H3" s="1"/>
      <c r="I3" s="1"/>
      <c r="J3" s="1"/>
      <c r="K3" s="1"/>
    </row>
    <row r="4" spans="1:11" ht="30" customHeight="1" x14ac:dyDescent="0.35">
      <c r="A4" s="39" t="s">
        <v>3</v>
      </c>
      <c r="B4" s="39" t="s">
        <v>191</v>
      </c>
      <c r="C4" s="39" t="s">
        <v>192</v>
      </c>
      <c r="D4" s="39" t="s">
        <v>193</v>
      </c>
      <c r="E4" s="39" t="s">
        <v>6</v>
      </c>
      <c r="F4" s="1"/>
      <c r="G4" s="39" t="s">
        <v>225</v>
      </c>
      <c r="H4" s="39" t="s">
        <v>426</v>
      </c>
      <c r="I4" s="39" t="s">
        <v>427</v>
      </c>
      <c r="J4" s="39" t="s">
        <v>428</v>
      </c>
      <c r="K4" s="39" t="s">
        <v>429</v>
      </c>
    </row>
    <row r="5" spans="1:11" x14ac:dyDescent="0.35">
      <c r="A5" s="1" t="s">
        <v>37</v>
      </c>
      <c r="B5" s="41" cm="1">
        <f t="array" ref="B5">IFERROR(_xlfn.LET(_xlpm.i,MATCH(1,Engine!$U$5:$U$245,0),IF(_xlpm.i=1,0,((_xlpm.i-2)+INDEX(Engine!$T$5:$T$245,_xlpm.i-1)/(INDEX(Engine!$T$5:$T$245,_xlpm.i-1)-INDEX(Engine!$T$5:$T$245,_xlpm.i)))/12)),"&gt;20")</f>
        <v>1.130580841690821</v>
      </c>
      <c r="C5" s="41" cm="1">
        <f t="array" ref="C5">IFERROR(_xlfn.LET(_xlpm.i,MATCH(1,Engine!$AV$5:$AV$245,0),IF(_xlpm.i=1,0,((_xlpm.i-2)+INDEX(Engine!$AU$5:$AU$245,_xlpm.i-1)/(INDEX(Engine!$AU$5:$AU$245,_xlpm.i-1)-INDEX(Engine!$AU$5:$AU$245,_xlpm.i)))/12)),"&gt;20")</f>
        <v>1.211200491395275</v>
      </c>
      <c r="D5" s="41" cm="1">
        <f t="array" ref="D5">IFERROR(_xlfn.LET(_xlpm.i,MATCH(1,Engine!$BW$5:$BW$245,0),IF(_xlpm.i=1,0,((_xlpm.i-2)+INDEX(Engine!$BV$5:$BV$245,_xlpm.i-1)/(INDEX(Engine!$BV$5:$BV$245,_xlpm.i-1)-INDEX(Engine!$BV$5:$BV$245,_xlpm.i)))/12)),"&gt;20")</f>
        <v>1.2553215252647665</v>
      </c>
      <c r="E5" s="41" cm="1">
        <f t="array" ref="E5">IFERROR(_xlfn.LET(_xlpm.i,MATCH(1,Engine!$CX$5:$CX$245,0),IF(_xlpm.i=1,0,((_xlpm.i-2)+INDEX(Engine!$CW$5:$CW$245,_xlpm.i-1)/(INDEX(Engine!$CW$5:$CW$245,_xlpm.i-1)-INDEX(Engine!$CW$5:$CW$245,_xlpm.i)))/12)),"&gt;20")</f>
        <v>1.3373479571287676</v>
      </c>
      <c r="F5" s="1"/>
      <c r="G5" s="1">
        <v>0</v>
      </c>
      <c r="H5" s="45" cm="1">
        <f t="array" ref="H5">INDEX(Engine!$Z$5:$Z$245,G5*12+1)</f>
        <v>800000</v>
      </c>
      <c r="I5" s="45" cm="1">
        <f t="array" ref="I5">INDEX(Engine!$DC$5:$DC$245,G5*12+1)</f>
        <v>800000</v>
      </c>
      <c r="J5" s="45" cm="1">
        <f t="array" ref="J5">INDEX(Engine!$AB$5:$AB$245,G5*12+1)</f>
        <v>495000</v>
      </c>
      <c r="K5" s="45" cm="1">
        <f t="array" ref="K5">INDEX(Engine!$DE$5:$DE$245,G5*12+1)</f>
        <v>495000</v>
      </c>
    </row>
    <row r="6" spans="1:11" x14ac:dyDescent="0.35">
      <c r="A6" s="8" t="s">
        <v>38</v>
      </c>
      <c r="B6" s="54" cm="1">
        <f t="array" ref="B6">IFERROR(_xlfn.LET(_xlpm.i,MATCH(1,Engine!$AD$5:$AD$245,0),IF(_xlpm.i=1,0,((_xlpm.i-2)+INDEX(Engine!$AC$5:$AC$245,_xlpm.i-1)/(INDEX(Engine!$AC$5:$AC$245,_xlpm.i-1)-INDEX(Engine!$AC$5:$AC$245,_xlpm.i)))/12)),"&gt;20")</f>
        <v>3.5950011682224736</v>
      </c>
      <c r="C6" s="54" cm="1">
        <f t="array" ref="C6">IFERROR(_xlfn.LET(_xlpm.i,MATCH(1,Engine!$BE$5:$BE$245,0),IF(_xlpm.i=1,0,((_xlpm.i-2)+INDEX(Engine!$BD$5:$BD$245,_xlpm.i-1)/(INDEX(Engine!$BD$5:$BD$245,_xlpm.i-1)-INDEX(Engine!$BD$5:$BD$245,_xlpm.i)))/12)),"&gt;20")</f>
        <v>3.8235913582267127</v>
      </c>
      <c r="D6" s="54" cm="1">
        <f t="array" ref="D6">IFERROR(_xlfn.LET(_xlpm.i,MATCH(1,Engine!$CF$5:$CF$245,0),IF(_xlpm.i=1,0,((_xlpm.i-2)+INDEX(Engine!$CE$5:$CE$245,_xlpm.i-1)/(INDEX(Engine!$CE$5:$CE$245,_xlpm.i-1)-INDEX(Engine!$CE$5:$CE$245,_xlpm.i)))/12)),"&gt;20")</f>
        <v>3.7735809236924109</v>
      </c>
      <c r="E6" s="54" cm="1">
        <f t="array" ref="E6">IFERROR(_xlfn.LET(_xlpm.i,MATCH(1,Engine!$DG$5:$DG$245,0),IF(_xlpm.i=1,0,((_xlpm.i-2)+INDEX(Engine!$DF$5:$DF$245,_xlpm.i-1)/(INDEX(Engine!$DF$5:$DF$245,_xlpm.i-1)-INDEX(Engine!$DF$5:$DF$245,_xlpm.i)))/12)),"&gt;20")</f>
        <v>3.9601898812563872</v>
      </c>
      <c r="F6" s="1"/>
      <c r="G6" s="1">
        <v>1</v>
      </c>
      <c r="H6" s="45" cm="1">
        <f t="array" ref="H6">INDEX(Engine!$Z$5:$Z$245,G6*12+1)</f>
        <v>800000</v>
      </c>
      <c r="I6" s="45" cm="1">
        <f t="array" ref="I6">INDEX(Engine!$DC$5:$DC$245,G6*12+1)</f>
        <v>800000</v>
      </c>
      <c r="J6" s="45" cm="1">
        <f t="array" ref="J6">INDEX(Engine!$AB$5:$AB$245,G6*12+1)</f>
        <v>495000</v>
      </c>
      <c r="K6" s="45" cm="1">
        <f t="array" ref="K6">INDEX(Engine!$DE$5:$DE$245,G6*12+1)</f>
        <v>494250</v>
      </c>
    </row>
    <row r="7" spans="1:11" x14ac:dyDescent="0.35">
      <c r="A7" s="1" t="s">
        <v>39</v>
      </c>
      <c r="B7" s="41" cm="1">
        <f t="array" ref="B7">IFERROR(_xlfn.LET(_xlpm.i,MATCH(1,Engine!$AM$5:$AM$245,0),IF(_xlpm.i=1,0,((_xlpm.i-2)+INDEX(Engine!$AL$5:$AL$245,_xlpm.i-1)/(INDEX(Engine!$AL$5:$AL$245,_xlpm.i-1)-INDEX(Engine!$AL$5:$AL$245,_xlpm.i)))/12)),"&gt;20")</f>
        <v>8.9256216545221623</v>
      </c>
      <c r="C7" s="41" cm="1">
        <f t="array" ref="C7">IFERROR(_xlfn.LET(_xlpm.i,MATCH(1,Engine!$BN$5:$BN$245,0),IF(_xlpm.i=1,0,((_xlpm.i-2)+INDEX(Engine!$BM$5:$BM$245,_xlpm.i-1)/(INDEX(Engine!$BM$5:$BM$245,_xlpm.i-1)-INDEX(Engine!$BM$5:$BM$245,_xlpm.i)))/12)),"&gt;20")</f>
        <v>9.7599385023958636</v>
      </c>
      <c r="D7" s="41" cm="1">
        <f t="array" ref="D7">IFERROR(_xlfn.LET(_xlpm.i,MATCH(1,Engine!$CO$5:$CO$245,0),IF(_xlpm.i=1,0,((_xlpm.i-2)+INDEX(Engine!$CN$5:$CN$245,_xlpm.i-1)/(INDEX(Engine!$CN$5:$CN$245,_xlpm.i-1)-INDEX(Engine!$CN$5:$CN$245,_xlpm.i)))/12)),"&gt;20")</f>
        <v>9.5576840194997903</v>
      </c>
      <c r="E7" s="41" cm="1">
        <f t="array" ref="E7">IFERROR(_xlfn.LET(_xlpm.i,MATCH(1,Engine!$DP$5:$DP$245,0),IF(_xlpm.i=1,0,((_xlpm.i-2)+INDEX(Engine!$DO$5:$DO$245,_xlpm.i-1)/(INDEX(Engine!$DO$5:$DO$245,_xlpm.i-1)-INDEX(Engine!$DO$5:$DO$245,_xlpm.i)))/12)),"&gt;20")</f>
        <v>10.159425282304523</v>
      </c>
      <c r="F7" s="1"/>
      <c r="G7" s="1">
        <v>2</v>
      </c>
      <c r="H7" s="45" cm="1">
        <f t="array" ref="H7">INDEX(Engine!$Z$5:$Z$245,G7*12+1)</f>
        <v>800000</v>
      </c>
      <c r="I7" s="45" cm="1">
        <f t="array" ref="I7">INDEX(Engine!$DC$5:$DC$245,G7*12+1)</f>
        <v>800000</v>
      </c>
      <c r="J7" s="45" cm="1">
        <f t="array" ref="J7">INDEX(Engine!$AB$5:$AB$245,G7*12+1)</f>
        <v>495000</v>
      </c>
      <c r="K7" s="45" cm="1">
        <f t="array" ref="K7">INDEX(Engine!$DE$5:$DE$245,G7*12+1)</f>
        <v>493500</v>
      </c>
    </row>
    <row r="8" spans="1:11" x14ac:dyDescent="0.35">
      <c r="A8" s="1"/>
      <c r="B8" s="41"/>
      <c r="C8" s="41"/>
      <c r="D8" s="41"/>
      <c r="E8" s="41"/>
      <c r="F8" s="1"/>
      <c r="G8" s="1">
        <v>3</v>
      </c>
      <c r="H8" s="45" cm="1">
        <f t="array" ref="H8">INDEX(Engine!$Z$5:$Z$245,G8*12+1)</f>
        <v>628001.37187452253</v>
      </c>
      <c r="I8" s="45" cm="1">
        <f t="array" ref="I8">INDEX(Engine!$DC$5:$DC$245,G8*12+1)</f>
        <v>676755.80656300427</v>
      </c>
      <c r="J8" s="45" cm="1">
        <f t="array" ref="J8">INDEX(Engine!$AB$5:$AB$245,G8*12+1)</f>
        <v>495000</v>
      </c>
      <c r="K8" s="45" cm="1">
        <f t="array" ref="K8">INDEX(Engine!$DE$5:$DE$245,G8*12+1)</f>
        <v>489750</v>
      </c>
    </row>
    <row r="9" spans="1:11" ht="26.5" x14ac:dyDescent="0.35">
      <c r="A9" s="39" t="s">
        <v>194</v>
      </c>
      <c r="B9" s="42" t="s">
        <v>191</v>
      </c>
      <c r="C9" s="42" t="s">
        <v>192</v>
      </c>
      <c r="D9" s="42" t="s">
        <v>193</v>
      </c>
      <c r="E9" s="42" t="s">
        <v>6</v>
      </c>
      <c r="F9" s="1"/>
      <c r="G9" s="1">
        <v>4</v>
      </c>
      <c r="H9" s="45" cm="1">
        <f t="array" ref="H9">INDEX(Engine!$Z$5:$Z$245,G9*12+1)</f>
        <v>411822.69256274664</v>
      </c>
      <c r="I9" s="45" cm="1">
        <f t="array" ref="I9">INDEX(Engine!$DC$5:$DC$245,G9*12+1)</f>
        <v>478838.82985170378</v>
      </c>
      <c r="J9" s="45" cm="1">
        <f t="array" ref="J9">INDEX(Engine!$AB$5:$AB$245,G9*12+1)</f>
        <v>495000</v>
      </c>
      <c r="K9" s="45" cm="1">
        <f t="array" ref="K9">INDEX(Engine!$DE$5:$DE$245,G9*12+1)</f>
        <v>486000</v>
      </c>
    </row>
    <row r="10" spans="1:11" x14ac:dyDescent="0.35">
      <c r="A10" s="1" t="s">
        <v>37</v>
      </c>
      <c r="B10" s="41">
        <f t="shared" ref="B10:E12" si="0">IFERROR(B5-$B5,"n/a")</f>
        <v>0</v>
      </c>
      <c r="C10" s="41">
        <f t="shared" si="0"/>
        <v>8.0619649704454011E-2</v>
      </c>
      <c r="D10" s="41">
        <f t="shared" si="0"/>
        <v>0.12474068357394552</v>
      </c>
      <c r="E10" s="41">
        <f t="shared" si="0"/>
        <v>0.20676711543794668</v>
      </c>
      <c r="F10" s="1"/>
      <c r="G10" s="1">
        <v>5</v>
      </c>
      <c r="H10" s="45" cm="1">
        <f t="array" ref="H10">INDEX(Engine!$Z$5:$Z$245,G10*12+1)</f>
        <v>231621.04835600362</v>
      </c>
      <c r="I10" s="45" cm="1">
        <f t="array" ref="I10">INDEX(Engine!$DC$5:$DC$245,G10*12+1)</f>
        <v>310623.31107459107</v>
      </c>
      <c r="J10" s="45" cm="1">
        <f t="array" ref="J10">INDEX(Engine!$AB$5:$AB$245,G10*12+1)</f>
        <v>495000</v>
      </c>
      <c r="K10" s="45" cm="1">
        <f t="array" ref="K10">INDEX(Engine!$DE$5:$DE$245,G10*12+1)</f>
        <v>486000</v>
      </c>
    </row>
    <row r="11" spans="1:11" x14ac:dyDescent="0.35">
      <c r="A11" s="1" t="s">
        <v>38</v>
      </c>
      <c r="B11" s="41">
        <f t="shared" si="0"/>
        <v>0</v>
      </c>
      <c r="C11" s="41">
        <f t="shared" si="0"/>
        <v>0.22859019000423908</v>
      </c>
      <c r="D11" s="41">
        <f t="shared" si="0"/>
        <v>0.17857975546993732</v>
      </c>
      <c r="E11" s="41">
        <f t="shared" si="0"/>
        <v>0.36518871303391354</v>
      </c>
      <c r="F11" s="1"/>
      <c r="G11" s="1">
        <v>6</v>
      </c>
      <c r="H11" s="45" cm="1">
        <f t="array" ref="H11">INDEX(Engine!$Z$5:$Z$245,G11*12+1)</f>
        <v>88072.243574958862</v>
      </c>
      <c r="I11" s="45" cm="1">
        <f t="array" ref="I11">INDEX(Engine!$DC$5:$DC$245,G11*12+1)</f>
        <v>170284.96780623595</v>
      </c>
      <c r="J11" s="45" cm="1">
        <f t="array" ref="J11">INDEX(Engine!$AB$5:$AB$245,G11*12+1)</f>
        <v>495000</v>
      </c>
      <c r="K11" s="45" cm="1">
        <f t="array" ref="K11">INDEX(Engine!$DE$5:$DE$245,G11*12+1)</f>
        <v>486000</v>
      </c>
    </row>
    <row r="12" spans="1:11" x14ac:dyDescent="0.35">
      <c r="A12" s="1" t="s">
        <v>39</v>
      </c>
      <c r="B12" s="41">
        <f t="shared" si="0"/>
        <v>0</v>
      </c>
      <c r="C12" s="41">
        <f t="shared" si="0"/>
        <v>0.83431684787370131</v>
      </c>
      <c r="D12" s="41">
        <f t="shared" si="0"/>
        <v>0.63206236497762802</v>
      </c>
      <c r="E12" s="41">
        <f t="shared" si="0"/>
        <v>1.2338036277823612</v>
      </c>
      <c r="F12" s="1"/>
      <c r="G12" s="1">
        <v>7</v>
      </c>
      <c r="H12" s="45" cm="1">
        <f t="array" ref="H12">INDEX(Engine!$Z$5:$Z$245,G12*12+1)</f>
        <v>0</v>
      </c>
      <c r="I12" s="45" cm="1">
        <f t="array" ref="I12">INDEX(Engine!$DC$5:$DC$245,G12*12+1)</f>
        <v>58669.76371086896</v>
      </c>
      <c r="J12" s="45" cm="1">
        <f t="array" ref="J12">INDEX(Engine!$AB$5:$AB$245,G12*12+1)</f>
        <v>495000</v>
      </c>
      <c r="K12" s="45" cm="1">
        <f t="array" ref="K12">INDEX(Engine!$DE$5:$DE$245,G12*12+1)</f>
        <v>486000</v>
      </c>
    </row>
    <row r="13" spans="1:11" x14ac:dyDescent="0.35">
      <c r="A13" s="1"/>
      <c r="B13" s="13"/>
      <c r="C13" s="13"/>
      <c r="D13" s="13"/>
      <c r="E13" s="13"/>
      <c r="F13" s="1"/>
      <c r="G13" s="1">
        <v>8</v>
      </c>
      <c r="H13" s="45" cm="1">
        <f t="array" ref="H13">INDEX(Engine!$Z$5:$Z$245,G13*12+1)</f>
        <v>0</v>
      </c>
      <c r="I13" s="45" cm="1">
        <f t="array" ref="I13">INDEX(Engine!$DC$5:$DC$245,G13*12+1)</f>
        <v>0</v>
      </c>
      <c r="J13" s="45" cm="1">
        <f t="array" ref="J13">INDEX(Engine!$AB$5:$AB$245,G13*12+1)</f>
        <v>495000</v>
      </c>
      <c r="K13" s="45" cm="1">
        <f t="array" ref="K13">INDEX(Engine!$DE$5:$DE$245,G13*12+1)</f>
        <v>486000</v>
      </c>
    </row>
    <row r="14" spans="1:11" ht="26.5" x14ac:dyDescent="0.35">
      <c r="A14" s="39" t="s">
        <v>195</v>
      </c>
      <c r="B14" s="43" t="s">
        <v>191</v>
      </c>
      <c r="C14" s="43" t="s">
        <v>192</v>
      </c>
      <c r="D14" s="43" t="s">
        <v>193</v>
      </c>
      <c r="E14" s="43" t="s">
        <v>6</v>
      </c>
      <c r="F14" s="1"/>
      <c r="G14" s="1">
        <v>9</v>
      </c>
      <c r="H14" s="45" cm="1">
        <f t="array" ref="H14">INDEX(Engine!$Z$5:$Z$245,G14*12+1)</f>
        <v>0</v>
      </c>
      <c r="I14" s="45" cm="1">
        <f t="array" ref="I14">INDEX(Engine!$DC$5:$DC$245,G14*12+1)</f>
        <v>0</v>
      </c>
      <c r="J14" s="45" cm="1">
        <f t="array" ref="J14">INDEX(Engine!$AB$5:$AB$245,G14*12+1)</f>
        <v>495000</v>
      </c>
      <c r="K14" s="45" cm="1">
        <f t="array" ref="K14">INDEX(Engine!$DE$5:$DE$245,G14*12+1)</f>
        <v>486000</v>
      </c>
    </row>
    <row r="15" spans="1:11" x14ac:dyDescent="0.35">
      <c r="A15" s="1" t="s">
        <v>37</v>
      </c>
      <c r="B15" s="15">
        <f t="shared" ref="B15:E17" si="1">IFERROR(B5/$B5-1,"n/a")</f>
        <v>0</v>
      </c>
      <c r="C15" s="15">
        <f t="shared" si="1"/>
        <v>7.1308168979658859E-2</v>
      </c>
      <c r="D15" s="15">
        <f t="shared" si="1"/>
        <v>0.11033327204394494</v>
      </c>
      <c r="E15" s="15">
        <f t="shared" si="1"/>
        <v>0.18288574139352964</v>
      </c>
      <c r="F15" s="1"/>
      <c r="G15" s="1">
        <v>10</v>
      </c>
      <c r="H15" s="45" cm="1">
        <f t="array" ref="H15">INDEX(Engine!$Z$5:$Z$245,G15*12+1)</f>
        <v>0</v>
      </c>
      <c r="I15" s="45" cm="1">
        <f t="array" ref="I15">INDEX(Engine!$DC$5:$DC$245,G15*12+1)</f>
        <v>0</v>
      </c>
      <c r="J15" s="45" cm="1">
        <f t="array" ref="J15">INDEX(Engine!$AB$5:$AB$245,G15*12+1)</f>
        <v>495000</v>
      </c>
      <c r="K15" s="45" cm="1">
        <f t="array" ref="K15">INDEX(Engine!$DE$5:$DE$245,G15*12+1)</f>
        <v>486000</v>
      </c>
    </row>
    <row r="16" spans="1:11" x14ac:dyDescent="0.35">
      <c r="A16" s="1" t="s">
        <v>38</v>
      </c>
      <c r="B16" s="15">
        <f t="shared" si="1"/>
        <v>0</v>
      </c>
      <c r="C16" s="15">
        <f t="shared" si="1"/>
        <v>6.3585567655674469E-2</v>
      </c>
      <c r="D16" s="15">
        <f t="shared" si="1"/>
        <v>4.9674463821728132E-2</v>
      </c>
      <c r="E16" s="15">
        <f t="shared" si="1"/>
        <v>0.10158236282701383</v>
      </c>
      <c r="F16" s="1"/>
      <c r="G16" s="1">
        <v>11</v>
      </c>
      <c r="H16" s="45" cm="1">
        <f t="array" ref="H16">INDEX(Engine!$Z$5:$Z$245,G16*12+1)</f>
        <v>0</v>
      </c>
      <c r="I16" s="45" cm="1">
        <f t="array" ref="I16">INDEX(Engine!$DC$5:$DC$245,G16*12+1)</f>
        <v>0</v>
      </c>
      <c r="J16" s="45" cm="1">
        <f t="array" ref="J16">INDEX(Engine!$AB$5:$AB$245,G16*12+1)</f>
        <v>495000</v>
      </c>
      <c r="K16" s="45" cm="1">
        <f t="array" ref="K16">INDEX(Engine!$DE$5:$DE$245,G16*12+1)</f>
        <v>486000</v>
      </c>
    </row>
    <row r="17" spans="1:11" x14ac:dyDescent="0.35">
      <c r="A17" s="1" t="s">
        <v>39</v>
      </c>
      <c r="B17" s="15">
        <f t="shared" si="1"/>
        <v>0</v>
      </c>
      <c r="C17" s="15">
        <f t="shared" si="1"/>
        <v>9.3474368527708629E-2</v>
      </c>
      <c r="D17" s="15">
        <f t="shared" si="1"/>
        <v>7.0814380156635215E-2</v>
      </c>
      <c r="E17" s="15">
        <f t="shared" si="1"/>
        <v>0.1382316745587413</v>
      </c>
      <c r="F17" s="1"/>
      <c r="G17" s="1">
        <v>12</v>
      </c>
      <c r="H17" s="45" cm="1">
        <f t="array" ref="H17">INDEX(Engine!$Z$5:$Z$245,G17*12+1)</f>
        <v>0</v>
      </c>
      <c r="I17" s="45" cm="1">
        <f t="array" ref="I17">INDEX(Engine!$DC$5:$DC$245,G17*12+1)</f>
        <v>0</v>
      </c>
      <c r="J17" s="45" cm="1">
        <f t="array" ref="J17">INDEX(Engine!$AB$5:$AB$245,G17*12+1)</f>
        <v>495000</v>
      </c>
      <c r="K17" s="45" cm="1">
        <f t="array" ref="K17">INDEX(Engine!$DE$5:$DE$245,G17*12+1)</f>
        <v>486000</v>
      </c>
    </row>
    <row r="18" spans="1:11" x14ac:dyDescent="0.35">
      <c r="A18" s="1"/>
      <c r="B18" s="13"/>
      <c r="C18" s="13"/>
      <c r="D18" s="13"/>
      <c r="E18" s="13"/>
      <c r="F18" s="1"/>
      <c r="G18" s="1"/>
      <c r="H18" s="1"/>
      <c r="I18" s="1"/>
      <c r="J18" s="1"/>
      <c r="K18" s="1"/>
    </row>
    <row r="19" spans="1:11" ht="26.5" x14ac:dyDescent="0.35">
      <c r="A19" s="39" t="s">
        <v>196</v>
      </c>
      <c r="B19" s="43" t="s">
        <v>191</v>
      </c>
      <c r="C19" s="43" t="s">
        <v>192</v>
      </c>
      <c r="D19" s="43" t="s">
        <v>193</v>
      </c>
      <c r="E19" s="43" t="s">
        <v>6</v>
      </c>
      <c r="F19" s="1"/>
      <c r="G19" s="1"/>
      <c r="H19" s="1"/>
      <c r="I19" s="1"/>
      <c r="J19" s="1"/>
      <c r="K19" s="1"/>
    </row>
    <row r="20" spans="1:11" x14ac:dyDescent="0.35">
      <c r="A20" s="1" t="s">
        <v>37</v>
      </c>
      <c r="B20" s="44">
        <f>IF(ISNUMBER(B5),EDATE(Inputs!$B$67,ROUNDDOWN(B5*12,0)),"after "&amp;TEXT(EDATE(Inputs!$B$67,240),"yyyy"))</f>
        <v>46661</v>
      </c>
      <c r="C20" s="44">
        <f>IF(ISNUMBER(C5),EDATE(Inputs!$B$67,ROUNDDOWN(C5*12,0)),"after "&amp;TEXT(EDATE(Inputs!$B$67,240),"yyyy"))</f>
        <v>46692</v>
      </c>
      <c r="D20" s="44">
        <f>IF(ISNUMBER(D5),EDATE(Inputs!$B$67,ROUNDDOWN(D5*12,0)),"after "&amp;TEXT(EDATE(Inputs!$B$67,240),"yyyy"))</f>
        <v>46722</v>
      </c>
      <c r="E20" s="44">
        <f>IF(ISNUMBER(E5),EDATE(Inputs!$B$67,ROUNDDOWN(E5*12,0)),"after "&amp;TEXT(EDATE(Inputs!$B$67,240),"yyyy"))</f>
        <v>46753</v>
      </c>
      <c r="F20" s="1"/>
      <c r="G20" s="1"/>
      <c r="H20" s="1"/>
      <c r="I20" s="1"/>
      <c r="J20" s="1"/>
      <c r="K20" s="1"/>
    </row>
    <row r="21" spans="1:11" x14ac:dyDescent="0.35">
      <c r="A21" s="1" t="s">
        <v>38</v>
      </c>
      <c r="B21" s="44">
        <f>IF(ISNUMBER(B6),EDATE(Inputs!$B$67,ROUNDDOWN(B6*12,0)),"after "&amp;TEXT(EDATE(Inputs!$B$67,240),"yyyy"))</f>
        <v>47574</v>
      </c>
      <c r="C21" s="44">
        <f>IF(ISNUMBER(C6),EDATE(Inputs!$B$67,ROUNDDOWN(C6*12,0)),"after "&amp;TEXT(EDATE(Inputs!$B$67,240),"yyyy"))</f>
        <v>47635</v>
      </c>
      <c r="D21" s="44">
        <f>IF(ISNUMBER(D6),EDATE(Inputs!$B$67,ROUNDDOWN(D6*12,0)),"after "&amp;TEXT(EDATE(Inputs!$B$67,240),"yyyy"))</f>
        <v>47635</v>
      </c>
      <c r="E21" s="44">
        <f>IF(ISNUMBER(E6),EDATE(Inputs!$B$67,ROUNDDOWN(E6*12,0)),"after "&amp;TEXT(EDATE(Inputs!$B$67,240),"yyyy"))</f>
        <v>47696</v>
      </c>
      <c r="F21" s="1"/>
      <c r="G21" s="1"/>
      <c r="H21" s="1"/>
      <c r="I21" s="1"/>
      <c r="J21" s="1"/>
      <c r="K21" s="1"/>
    </row>
    <row r="22" spans="1:11" x14ac:dyDescent="0.35">
      <c r="A22" s="1" t="s">
        <v>39</v>
      </c>
      <c r="B22" s="44">
        <f>IF(ISNUMBER(B7),EDATE(Inputs!$B$67,ROUNDDOWN(B7*12,0)),"after "&amp;TEXT(EDATE(Inputs!$B$67,240),"yyyy"))</f>
        <v>49522</v>
      </c>
      <c r="C22" s="44">
        <f>IF(ISNUMBER(C7),EDATE(Inputs!$B$67,ROUNDDOWN(C7*12,0)),"after "&amp;TEXT(EDATE(Inputs!$B$67,240),"yyyy"))</f>
        <v>49827</v>
      </c>
      <c r="D22" s="44">
        <f>IF(ISNUMBER(D7),EDATE(Inputs!$B$67,ROUNDDOWN(D7*12,0)),"after "&amp;TEXT(EDATE(Inputs!$B$67,240),"yyyy"))</f>
        <v>49735</v>
      </c>
      <c r="E22" s="44">
        <f>IF(ISNUMBER(E7),EDATE(Inputs!$B$67,ROUNDDOWN(E7*12,0)),"after "&amp;TEXT(EDATE(Inputs!$B$67,240),"yyyy"))</f>
        <v>49949</v>
      </c>
      <c r="F22" s="1"/>
      <c r="G22" s="1"/>
      <c r="H22" s="1"/>
      <c r="I22" s="1"/>
      <c r="J22" s="1"/>
      <c r="K22" s="1"/>
    </row>
    <row r="23" spans="1:11" x14ac:dyDescent="0.35">
      <c r="A23" s="1"/>
      <c r="B23" s="13"/>
      <c r="C23" s="13"/>
      <c r="D23" s="13"/>
      <c r="E23" s="13"/>
      <c r="F23" s="1"/>
      <c r="G23" s="1"/>
      <c r="H23" s="1"/>
      <c r="I23" s="1"/>
      <c r="J23" s="1"/>
      <c r="K23" s="1"/>
    </row>
    <row r="24" spans="1:11" ht="26.5" x14ac:dyDescent="0.35">
      <c r="A24" s="39" t="s">
        <v>197</v>
      </c>
      <c r="B24" s="43" t="s">
        <v>191</v>
      </c>
      <c r="C24" s="43" t="s">
        <v>192</v>
      </c>
      <c r="D24" s="43" t="s">
        <v>193</v>
      </c>
      <c r="E24" s="43" t="s">
        <v>6</v>
      </c>
      <c r="F24" s="1"/>
      <c r="G24" s="1"/>
      <c r="H24" s="1"/>
      <c r="I24" s="1"/>
      <c r="J24" s="1"/>
      <c r="K24" s="1"/>
    </row>
    <row r="25" spans="1:11" x14ac:dyDescent="0.35">
      <c r="A25" s="1" t="s">
        <v>37</v>
      </c>
      <c r="B25" s="13" t="str">
        <f>IFERROR(IF(INDEX(Engine!$R$5:$R$245,MATCH(1,Engine!$U$5:$U$245,0))&gt;1,"Throughput","Pool exhausted"),"Survives 20 yrs")</f>
        <v>Throughput</v>
      </c>
      <c r="C25" s="13" t="str">
        <f>IFERROR(IF(INDEX(Engine!$AS$5:$AS$245,MATCH(1,Engine!$AV$5:$AV$245,0))&gt;1,"Throughput","Pool exhausted"),"Survives 20 yrs")</f>
        <v>Throughput</v>
      </c>
      <c r="D25" s="13" t="str">
        <f>IFERROR(IF(INDEX(Engine!$BT$5:$BT$245,MATCH(1,Engine!$BW$5:$BW$245,0))&gt;1,"Throughput","Pool exhausted"),"Survives 20 yrs")</f>
        <v>Throughput</v>
      </c>
      <c r="E25" s="13" t="str">
        <f>IFERROR(IF(INDEX(Engine!$CU$5:$CU$245,MATCH(1,Engine!$CX$5:$CX$245,0))&gt;1,"Throughput","Pool exhausted"),"Survives 20 yrs")</f>
        <v>Pool exhausted</v>
      </c>
      <c r="F25" s="1"/>
      <c r="G25" s="1"/>
      <c r="H25" s="1"/>
      <c r="I25" s="1"/>
      <c r="J25" s="1"/>
      <c r="K25" s="1"/>
    </row>
    <row r="26" spans="1:11" x14ac:dyDescent="0.35">
      <c r="A26" s="1" t="s">
        <v>38</v>
      </c>
      <c r="B26" s="13" t="str">
        <f>IFERROR(IF(INDEX(Engine!$AA$5:$AA$245,MATCH(1,Engine!$AD$5:$AD$245,0))&gt;1,"Throughput","Pool exhausted"),"Survives 20 yrs")</f>
        <v>Pool exhausted</v>
      </c>
      <c r="C26" s="13" t="str">
        <f>IFERROR(IF(INDEX(Engine!$BB$5:$BB$245,MATCH(1,Engine!$BE$5:$BE$245,0))&gt;1,"Throughput","Pool exhausted"),"Survives 20 yrs")</f>
        <v>Pool exhausted</v>
      </c>
      <c r="D26" s="13" t="str">
        <f>IFERROR(IF(INDEX(Engine!$CC$5:$CC$245,MATCH(1,Engine!$CF$5:$CF$245,0))&gt;1,"Throughput","Pool exhausted"),"Survives 20 yrs")</f>
        <v>Pool exhausted</v>
      </c>
      <c r="E26" s="13" t="str">
        <f>IFERROR(IF(INDEX(Engine!$DD$5:$DD$245,MATCH(1,Engine!$DG$5:$DG$245,0))&gt;1,"Throughput","Pool exhausted"),"Survives 20 yrs")</f>
        <v>Pool exhausted</v>
      </c>
      <c r="F26" s="1"/>
      <c r="G26" s="1"/>
      <c r="H26" s="1"/>
      <c r="I26" s="1"/>
      <c r="J26" s="1"/>
      <c r="K26" s="1"/>
    </row>
    <row r="27" spans="1:11" x14ac:dyDescent="0.35">
      <c r="A27" s="1" t="s">
        <v>39</v>
      </c>
      <c r="B27" s="13" t="str">
        <f>IFERROR(IF(INDEX(Engine!$AJ$5:$AJ$245,MATCH(1,Engine!$AM$5:$AM$245,0))&gt;1,"Throughput","Pool exhausted"),"Survives 20 yrs")</f>
        <v>Pool exhausted</v>
      </c>
      <c r="C27" s="13" t="str">
        <f>IFERROR(IF(INDEX(Engine!$BK$5:$BK$245,MATCH(1,Engine!$BN$5:$BN$245,0))&gt;1,"Throughput","Pool exhausted"),"Survives 20 yrs")</f>
        <v>Pool exhausted</v>
      </c>
      <c r="D27" s="13" t="str">
        <f>IFERROR(IF(INDEX(Engine!$CL$5:$CL$245,MATCH(1,Engine!$CO$5:$CO$245,0))&gt;1,"Throughput","Pool exhausted"),"Survives 20 yrs")</f>
        <v>Pool exhausted</v>
      </c>
      <c r="E27" s="13" t="str">
        <f>IFERROR(IF(INDEX(Engine!$DM$5:$DM$245,MATCH(1,Engine!$DP$5:$DP$245,0))&gt;1,"Throughput","Pool exhausted"),"Survives 20 yrs")</f>
        <v>Pool exhausted</v>
      </c>
      <c r="F27" s="1"/>
      <c r="G27" s="1"/>
      <c r="H27" s="1"/>
      <c r="I27" s="1"/>
      <c r="J27" s="1"/>
      <c r="K27" s="1"/>
    </row>
    <row r="28" spans="1:1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5">
      <c r="A29" s="39" t="s">
        <v>198</v>
      </c>
      <c r="B29" s="39" t="s">
        <v>7</v>
      </c>
      <c r="C29" s="39" t="s">
        <v>199</v>
      </c>
      <c r="D29" s="1"/>
      <c r="E29" s="1"/>
      <c r="F29" s="1"/>
      <c r="G29" s="1"/>
      <c r="H29" s="1"/>
      <c r="I29" s="1"/>
      <c r="J29" s="1"/>
      <c r="K29" s="1"/>
    </row>
    <row r="30" spans="1:11" x14ac:dyDescent="0.35">
      <c r="A30" s="1" t="s">
        <v>200</v>
      </c>
      <c r="B30" s="50">
        <f>Inputs!C13</f>
        <v>1394000</v>
      </c>
      <c r="C30" s="1" t="s">
        <v>201</v>
      </c>
      <c r="D30" s="1"/>
      <c r="E30" s="1"/>
      <c r="F30" s="1"/>
      <c r="G30" s="1"/>
      <c r="H30" s="1"/>
      <c r="I30" s="1"/>
      <c r="J30" s="1"/>
      <c r="K30" s="1"/>
    </row>
    <row r="31" spans="1:11" x14ac:dyDescent="0.35">
      <c r="A31" s="1" t="s">
        <v>202</v>
      </c>
      <c r="B31" s="50">
        <f>Inputs!C22</f>
        <v>495000</v>
      </c>
      <c r="C31" s="1" t="s">
        <v>203</v>
      </c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1" t="s">
        <v>204</v>
      </c>
      <c r="B32" s="50">
        <f>Inputs!C23</f>
        <v>899000</v>
      </c>
      <c r="C32" s="1" t="s">
        <v>205</v>
      </c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1" t="s">
        <v>206</v>
      </c>
      <c r="B33" s="50">
        <f>Inputs!C34</f>
        <v>21250</v>
      </c>
      <c r="C33" s="1" t="s">
        <v>207</v>
      </c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 t="s">
        <v>208</v>
      </c>
      <c r="B34" s="50">
        <f>Inputs!C35</f>
        <v>29500</v>
      </c>
      <c r="C34" s="1" t="s">
        <v>209</v>
      </c>
      <c r="D34" s="1"/>
      <c r="E34" s="1"/>
      <c r="F34" s="1"/>
      <c r="G34" s="1"/>
      <c r="H34" s="1"/>
      <c r="I34" s="1"/>
      <c r="J34" s="1"/>
      <c r="K34" s="1"/>
    </row>
    <row r="35" spans="1:11" x14ac:dyDescent="0.35">
      <c r="A35" s="1" t="s">
        <v>210</v>
      </c>
      <c r="B35" s="50">
        <f>Inputs!C36</f>
        <v>30000</v>
      </c>
      <c r="C35" s="1" t="s">
        <v>211</v>
      </c>
      <c r="D35" s="1"/>
      <c r="E35" s="1"/>
      <c r="F35" s="1"/>
      <c r="G35" s="1"/>
      <c r="H35" s="1"/>
      <c r="I35" s="1"/>
      <c r="J35" s="1"/>
      <c r="K35" s="1"/>
    </row>
    <row r="36" spans="1:11" x14ac:dyDescent="0.35">
      <c r="A36" s="1" t="s">
        <v>212</v>
      </c>
      <c r="B36" s="51">
        <f>Engine!E29</f>
        <v>0.7</v>
      </c>
      <c r="C36" s="1" t="s">
        <v>213</v>
      </c>
      <c r="D36" s="1"/>
      <c r="E36" s="1"/>
      <c r="F36" s="1"/>
      <c r="G36" s="1"/>
      <c r="H36" s="1"/>
      <c r="I36" s="1"/>
      <c r="J36" s="1"/>
      <c r="K36" s="1"/>
    </row>
    <row r="37" spans="1:11" x14ac:dyDescent="0.35">
      <c r="A37" s="1" t="s">
        <v>214</v>
      </c>
      <c r="B37" s="51">
        <f>1-Engine!G41</f>
        <v>0.1576872536136662</v>
      </c>
      <c r="C37" s="1" t="s">
        <v>215</v>
      </c>
      <c r="D37" s="1"/>
      <c r="E37" s="1"/>
      <c r="F37" s="1"/>
      <c r="G37" s="1"/>
      <c r="H37" s="1"/>
      <c r="I37" s="1"/>
      <c r="J37" s="1"/>
      <c r="K37" s="1"/>
    </row>
    <row r="38" spans="1:11" x14ac:dyDescent="0.35">
      <c r="A38" s="1" t="s">
        <v>216</v>
      </c>
      <c r="B38" s="52">
        <f>SUM(Engine!K5:K245)</f>
        <v>0</v>
      </c>
      <c r="C38" s="1" t="s">
        <v>217</v>
      </c>
      <c r="D38" s="1"/>
      <c r="E38" s="1"/>
      <c r="F38" s="1"/>
      <c r="G38" s="1"/>
      <c r="H38" s="1"/>
      <c r="I38" s="1"/>
      <c r="J38" s="1"/>
      <c r="K38" s="1"/>
    </row>
    <row r="39" spans="1:11" x14ac:dyDescent="0.35">
      <c r="A39" s="1" t="s">
        <v>218</v>
      </c>
      <c r="B39" s="50">
        <f>Engine!J41</f>
        <v>5999.9999999999991</v>
      </c>
      <c r="C39" s="1" t="s">
        <v>219</v>
      </c>
      <c r="D39" s="1"/>
      <c r="E39" s="1"/>
      <c r="F39" s="1"/>
      <c r="G39" s="1"/>
      <c r="H39" s="1"/>
      <c r="I39" s="1"/>
      <c r="J39" s="1"/>
      <c r="K39" s="1"/>
    </row>
    <row r="40" spans="1:1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5">
      <c r="A41" s="39" t="s">
        <v>220</v>
      </c>
      <c r="B41" s="39" t="s">
        <v>221</v>
      </c>
      <c r="C41" s="39" t="s">
        <v>222</v>
      </c>
      <c r="D41" s="1"/>
      <c r="E41" s="1"/>
      <c r="F41" s="1"/>
      <c r="G41" s="1"/>
      <c r="H41" s="1"/>
      <c r="I41" s="1"/>
      <c r="J41" s="1"/>
      <c r="K41" s="1"/>
    </row>
    <row r="42" spans="1:11" x14ac:dyDescent="0.35">
      <c r="A42" s="1" t="s">
        <v>232</v>
      </c>
      <c r="B42" s="40">
        <f>Inputs!C14*(1-Inputs!C24)/Inputs!C27/12</f>
        <v>3.5</v>
      </c>
      <c r="C42" s="47"/>
      <c r="D42" s="1"/>
      <c r="E42" s="1"/>
      <c r="F42" s="1"/>
      <c r="G42" s="1"/>
      <c r="H42" s="1"/>
      <c r="I42" s="1"/>
      <c r="J42" s="1"/>
      <c r="K42" s="1"/>
    </row>
    <row r="43" spans="1:11" x14ac:dyDescent="0.35">
      <c r="A43" s="1" t="s">
        <v>227</v>
      </c>
      <c r="B43" s="40">
        <f>Inputs!C13*(1-Inputs!C24)/Inputs!C27/12</f>
        <v>6.5053333333333327</v>
      </c>
      <c r="C43" s="47">
        <f>IFERROR(B43-B42,"n/a")</f>
        <v>3.0053333333333327</v>
      </c>
      <c r="D43" s="1"/>
      <c r="E43" s="1"/>
      <c r="F43" s="1"/>
      <c r="G43" s="1"/>
      <c r="H43" s="1"/>
      <c r="I43" s="1"/>
      <c r="J43" s="1"/>
      <c r="K43" s="1"/>
    </row>
    <row r="44" spans="1:11" x14ac:dyDescent="0.35">
      <c r="A44" s="1" t="s">
        <v>228</v>
      </c>
      <c r="B44" s="40">
        <f>(Inputs!C13-Inputs!C22)/Inputs!C27/12</f>
        <v>5.9933333333333332</v>
      </c>
      <c r="C44" s="47">
        <f>IFERROR(B44-B43,"n/a")</f>
        <v>-0.51199999999999957</v>
      </c>
      <c r="D44" s="1"/>
      <c r="E44" s="1"/>
      <c r="F44" s="1"/>
      <c r="G44" s="1"/>
      <c r="H44" s="1"/>
      <c r="I44" s="1"/>
      <c r="J44" s="1"/>
      <c r="K44" s="1"/>
    </row>
    <row r="45" spans="1:11" x14ac:dyDescent="0.35">
      <c r="A45" s="1" t="s">
        <v>229</v>
      </c>
      <c r="B45" s="40">
        <f>(Inputs!C13-Inputs!C22)/Inputs!C34/12</f>
        <v>3.5254901960784313</v>
      </c>
      <c r="C45" s="47">
        <f>IFERROR(B45-B44,"n/a")</f>
        <v>-2.4678431372549019</v>
      </c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230</v>
      </c>
      <c r="B46" s="40">
        <f>_xlfn.LET(_xlpm.S,Inputs!C6,_xlpm.R,Inputs!C12,_xlpm.Q,Inputs!C22,_xlpm.d,Inputs!C34,_xlpm.c,MIN(Inputs!C36,_xlpm.d),_xlpm.dec,_xlpm.d-_xlpm.c,_xlpm.TR,_xlpm.R/_xlpm.c,IF(_xlpm.S&lt;_xlpm.Q,0,IF(AND(_xlpm.dec&gt;0,(_xlpm.S-_xlpm.Q)/MAX(_xlpm.dec,1)&lt;_xlpm.TR),(_xlpm.S-_xlpm.Q)/_xlpm.dec,_xlpm.TR+(_xlpm.S-_xlpm.dec*_xlpm.TR-_xlpm.Q)/_xlpm.d))/12)</f>
        <v>3.5254901960784313</v>
      </c>
      <c r="C46" s="47">
        <f>IFERROR(B46-B45,"n/a")</f>
        <v>0</v>
      </c>
      <c r="D46" s="1"/>
      <c r="E46" s="1"/>
      <c r="F46" s="1"/>
      <c r="G46" s="1"/>
      <c r="H46" s="1"/>
      <c r="I46" s="1"/>
      <c r="J46" s="1"/>
      <c r="K46" s="1"/>
    </row>
    <row r="47" spans="1:11" x14ac:dyDescent="0.35">
      <c r="A47" s="8" t="s">
        <v>231</v>
      </c>
      <c r="B47" s="53">
        <f>B6</f>
        <v>3.5950011682224736</v>
      </c>
      <c r="C47" s="49">
        <f>IFERROR(B47-B46,"n/a")</f>
        <v>6.9510972144042338E-2</v>
      </c>
      <c r="D47" s="1"/>
      <c r="E47" s="1"/>
      <c r="F47" s="1"/>
      <c r="G47" s="1"/>
      <c r="H47" s="1"/>
      <c r="I47" s="1"/>
      <c r="J47" s="1"/>
      <c r="K47" s="1"/>
    </row>
    <row r="48" spans="1:11" x14ac:dyDescent="0.35">
      <c r="A48" s="1"/>
      <c r="B48" s="40"/>
      <c r="C48" s="47"/>
      <c r="D48" s="1"/>
      <c r="E48" s="1"/>
      <c r="F48" s="1"/>
      <c r="G48" s="1"/>
      <c r="H48" s="1"/>
      <c r="I48" s="1"/>
      <c r="J48" s="1"/>
      <c r="K48" s="1"/>
    </row>
    <row r="49" spans="1:11" x14ac:dyDescent="0.35">
      <c r="A49" s="1" t="s">
        <v>223</v>
      </c>
      <c r="B49" s="40">
        <f>IFERROR(E6-B6,"n/a")</f>
        <v>0.36518871303391354</v>
      </c>
      <c r="C49" s="47"/>
      <c r="D49" s="1"/>
      <c r="E49" s="1"/>
      <c r="F49" s="1"/>
      <c r="G49" s="1"/>
      <c r="H49" s="1"/>
      <c r="I49" s="1"/>
      <c r="J49" s="1"/>
      <c r="K49" s="1"/>
    </row>
    <row r="50" spans="1:11" x14ac:dyDescent="0.35">
      <c r="A50" s="8" t="s">
        <v>224</v>
      </c>
      <c r="B50" s="48">
        <f>E6</f>
        <v>3.9601898812563872</v>
      </c>
      <c r="C50" s="47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5">
      <c r="A55" s="1" t="s">
        <v>417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5">
      <c r="A56" s="1" t="s">
        <v>418</v>
      </c>
      <c r="B56" s="1">
        <v>7511</v>
      </c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 t="s">
        <v>419</v>
      </c>
      <c r="B57" s="1">
        <v>7960</v>
      </c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 t="s">
        <v>420</v>
      </c>
      <c r="B58" s="1">
        <v>9072</v>
      </c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 t="s">
        <v>421</v>
      </c>
      <c r="B59" s="1">
        <v>11028</v>
      </c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 t="s">
        <v>422</v>
      </c>
      <c r="B60" s="1">
        <v>14059</v>
      </c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 t="s">
        <v>423</v>
      </c>
      <c r="B61" s="1">
        <v>16664</v>
      </c>
    </row>
    <row r="62" spans="1:11" x14ac:dyDescent="0.35">
      <c r="A62" s="1" t="s">
        <v>424</v>
      </c>
      <c r="B62" s="1">
        <v>19969</v>
      </c>
    </row>
    <row r="63" spans="1:11" x14ac:dyDescent="0.35">
      <c r="A63" s="1" t="s">
        <v>425</v>
      </c>
      <c r="B63" s="1">
        <v>25000</v>
      </c>
    </row>
  </sheetData>
  <phoneticPr fontId="21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showGridLines="0" zoomScale="124" zoomScaleNormal="145" workbookViewId="0">
      <selection activeCell="D18" sqref="D18"/>
    </sheetView>
  </sheetViews>
  <sheetFormatPr defaultColWidth="8.6328125" defaultRowHeight="14.5" x14ac:dyDescent="0.35"/>
  <cols>
    <col min="1" max="1" width="49.08984375" customWidth="1"/>
    <col min="2" max="7" width="19.08984375" customWidth="1"/>
  </cols>
  <sheetData>
    <row r="1" spans="1:7" ht="16.5" x14ac:dyDescent="0.35">
      <c r="A1" s="55" t="s">
        <v>324</v>
      </c>
      <c r="B1" s="1"/>
      <c r="C1" s="1"/>
      <c r="D1" s="1"/>
      <c r="E1" s="1"/>
      <c r="F1" s="1"/>
      <c r="G1" s="1"/>
    </row>
    <row r="2" spans="1:7" x14ac:dyDescent="0.35">
      <c r="A2" s="3" t="str">
        <f>"Years from "&amp;TEXT(Inputs!B67,"mmm yyyy")&amp;" until the serving force falls below the minimum needed to hold the line. Active UGV set: "&amp;Inputs!B40&amp;"."</f>
        <v>Years from Sep 2026 until the serving force falls below the minimum needed to hold the line. Active UGV set: Central.</v>
      </c>
      <c r="B2" s="1"/>
      <c r="C2" s="1"/>
      <c r="D2" s="1"/>
      <c r="E2" s="1"/>
      <c r="F2" s="1"/>
      <c r="G2" s="1"/>
    </row>
    <row r="3" spans="1:7" x14ac:dyDescent="0.35">
      <c r="A3" s="1"/>
      <c r="B3" s="1"/>
      <c r="C3" s="1"/>
      <c r="D3" s="1"/>
      <c r="E3" s="1"/>
      <c r="F3" s="1"/>
      <c r="G3" s="1"/>
    </row>
    <row r="4" spans="1:7" ht="42" customHeight="1" x14ac:dyDescent="0.35">
      <c r="A4" s="39" t="s">
        <v>33</v>
      </c>
      <c r="B4" s="39" t="s">
        <v>325</v>
      </c>
      <c r="C4" s="39" t="s">
        <v>326</v>
      </c>
      <c r="D4" s="39" t="s">
        <v>327</v>
      </c>
      <c r="E4" s="39" t="s">
        <v>328</v>
      </c>
      <c r="F4" s="39" t="s">
        <v>329</v>
      </c>
      <c r="G4" s="39" t="s">
        <v>330</v>
      </c>
    </row>
    <row r="5" spans="1:7" x14ac:dyDescent="0.35">
      <c r="A5" s="1" t="s">
        <v>37</v>
      </c>
      <c r="B5" s="74">
        <f>Inputs!B14*(1-Inputs!B24)/Inputs!B27/12</f>
        <v>1.9444444444444444</v>
      </c>
      <c r="C5" s="75">
        <f>Dashboard!B5</f>
        <v>1.130580841690821</v>
      </c>
      <c r="D5" s="75">
        <f>Dashboard!E5</f>
        <v>1.3373479571287676</v>
      </c>
      <c r="E5" s="76">
        <f>Dashboard!E10</f>
        <v>0.20676711543794668</v>
      </c>
      <c r="F5" s="77">
        <f>Dashboard!B20</f>
        <v>46661</v>
      </c>
      <c r="G5" s="78" t="str">
        <f>Dashboard!B25</f>
        <v>Throughput</v>
      </c>
    </row>
    <row r="6" spans="1:7" x14ac:dyDescent="0.35">
      <c r="A6" s="8" t="s">
        <v>38</v>
      </c>
      <c r="B6" s="79">
        <f>Inputs!C14*(1-Inputs!C24)/Inputs!C27/12</f>
        <v>3.5</v>
      </c>
      <c r="C6" s="80">
        <f>Dashboard!B6</f>
        <v>3.5950011682224736</v>
      </c>
      <c r="D6" s="80">
        <f>Dashboard!E6</f>
        <v>3.9601898812563872</v>
      </c>
      <c r="E6" s="81">
        <f>Dashboard!E11</f>
        <v>0.36518871303391354</v>
      </c>
      <c r="F6" s="82">
        <f>Dashboard!B21</f>
        <v>47574</v>
      </c>
      <c r="G6" s="83" t="str">
        <f>Dashboard!B26</f>
        <v>Pool exhausted</v>
      </c>
    </row>
    <row r="7" spans="1:7" x14ac:dyDescent="0.35">
      <c r="A7" s="1" t="s">
        <v>39</v>
      </c>
      <c r="B7" s="74">
        <f>Inputs!D14*(1-Inputs!D24)/Inputs!D27/12</f>
        <v>5.833333333333333</v>
      </c>
      <c r="C7" s="75">
        <f>Dashboard!B7</f>
        <v>8.9256216545221623</v>
      </c>
      <c r="D7" s="75">
        <f>Dashboard!E7</f>
        <v>10.159425282304523</v>
      </c>
      <c r="E7" s="76">
        <f>Dashboard!E12</f>
        <v>1.2338036277823612</v>
      </c>
      <c r="F7" s="77">
        <f>Dashboard!B22</f>
        <v>49522</v>
      </c>
      <c r="G7" s="78" t="str">
        <f>Dashboard!B27</f>
        <v>Pool exhausted</v>
      </c>
    </row>
    <row r="8" spans="1:7" x14ac:dyDescent="0.35">
      <c r="A8" s="1"/>
      <c r="B8" s="1"/>
      <c r="C8" s="1"/>
      <c r="D8" s="1"/>
      <c r="E8" s="1"/>
      <c r="F8" s="1"/>
      <c r="G8" s="1"/>
    </row>
    <row r="9" spans="1:7" x14ac:dyDescent="0.35">
      <c r="A9" s="1"/>
      <c r="B9" s="1"/>
      <c r="C9" s="1"/>
      <c r="D9" s="1"/>
      <c r="E9" s="1"/>
      <c r="F9" s="1"/>
      <c r="G9" s="1"/>
    </row>
    <row r="10" spans="1:7" ht="30" customHeight="1" x14ac:dyDescent="0.35">
      <c r="A10" s="39" t="s">
        <v>331</v>
      </c>
      <c r="B10" s="39" t="s">
        <v>332</v>
      </c>
      <c r="C10" s="39" t="s">
        <v>333</v>
      </c>
      <c r="D10" s="39" t="s">
        <v>334</v>
      </c>
      <c r="E10" s="1"/>
      <c r="F10" s="1"/>
      <c r="G10" s="1"/>
    </row>
    <row r="11" spans="1:7" x14ac:dyDescent="0.35">
      <c r="A11" s="1" t="s">
        <v>335</v>
      </c>
      <c r="B11" s="50">
        <f>Inputs!C27</f>
        <v>12500</v>
      </c>
      <c r="C11" s="46">
        <f>B11/$B$14</f>
        <v>0.58823529411764708</v>
      </c>
      <c r="D11" s="1" t="s">
        <v>336</v>
      </c>
      <c r="E11" s="1"/>
      <c r="F11" s="1"/>
      <c r="G11" s="1"/>
    </row>
    <row r="12" spans="1:7" x14ac:dyDescent="0.35">
      <c r="A12" s="1" t="s">
        <v>337</v>
      </c>
      <c r="B12" s="50">
        <f>Inputs!C32</f>
        <v>6749.9999999999991</v>
      </c>
      <c r="C12" s="46">
        <f>B12/$B$14</f>
        <v>0.31764705882352939</v>
      </c>
      <c r="D12" s="1" t="s">
        <v>338</v>
      </c>
      <c r="E12" s="1"/>
      <c r="F12" s="1"/>
      <c r="G12" s="1"/>
    </row>
    <row r="13" spans="1:7" x14ac:dyDescent="0.35">
      <c r="A13" s="1" t="s">
        <v>339</v>
      </c>
      <c r="B13" s="50">
        <f>Inputs!C33</f>
        <v>2000</v>
      </c>
      <c r="C13" s="46">
        <f>B13/$B$14</f>
        <v>9.4117647058823528E-2</v>
      </c>
      <c r="D13" s="1" t="s">
        <v>338</v>
      </c>
      <c r="E13" s="1"/>
      <c r="F13" s="1"/>
      <c r="G13" s="1"/>
    </row>
    <row r="14" spans="1:7" x14ac:dyDescent="0.35">
      <c r="A14" s="8" t="s">
        <v>340</v>
      </c>
      <c r="B14" s="72">
        <f>SUM(B11:B13)</f>
        <v>21250</v>
      </c>
      <c r="C14" s="73">
        <f>SUM(C11:C13)</f>
        <v>1</v>
      </c>
      <c r="D14" s="8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8" t="s">
        <v>341</v>
      </c>
      <c r="B16" s="1"/>
      <c r="C16" s="1"/>
      <c r="D16" s="1"/>
      <c r="E16" s="1"/>
      <c r="F16" s="1"/>
      <c r="G16" s="1"/>
    </row>
    <row r="17" spans="1:7" x14ac:dyDescent="0.35">
      <c r="A17" s="1" t="s">
        <v>342</v>
      </c>
      <c r="B17" s="50">
        <f>Inputs!C13</f>
        <v>1394000</v>
      </c>
      <c r="C17" s="1"/>
      <c r="D17" s="1"/>
      <c r="E17" s="1"/>
      <c r="F17" s="1"/>
      <c r="G17" s="1"/>
    </row>
    <row r="18" spans="1:7" x14ac:dyDescent="0.35">
      <c r="A18" s="1" t="s">
        <v>343</v>
      </c>
      <c r="B18" s="50">
        <f>Inputs!C22</f>
        <v>495000</v>
      </c>
      <c r="C18" s="1"/>
      <c r="D18" s="1"/>
      <c r="E18" s="1"/>
      <c r="F18" s="1"/>
      <c r="G18" s="1"/>
    </row>
    <row r="19" spans="1:7" x14ac:dyDescent="0.35">
      <c r="A19" s="1" t="s">
        <v>344</v>
      </c>
      <c r="B19" s="51">
        <f>Dashboard!B37</f>
        <v>0.1576872536136662</v>
      </c>
      <c r="C19" s="1"/>
      <c r="D19" s="1"/>
      <c r="E19" s="1"/>
      <c r="F19" s="1"/>
      <c r="G19" s="1"/>
    </row>
    <row r="20" spans="1:7" x14ac:dyDescent="0.35">
      <c r="A20" s="1" t="s">
        <v>345</v>
      </c>
      <c r="B20" s="70">
        <f>Dashboard!E11</f>
        <v>0.36518871303391354</v>
      </c>
      <c r="C20" s="1"/>
      <c r="D20" s="1"/>
      <c r="E20" s="1"/>
      <c r="F20" s="1"/>
      <c r="G20" s="1"/>
    </row>
    <row r="21" spans="1:7" x14ac:dyDescent="0.35">
      <c r="A21" s="1" t="s">
        <v>346</v>
      </c>
      <c r="B21" s="71">
        <f>Dashboard!E16</f>
        <v>0.10158236282701383</v>
      </c>
      <c r="C21" s="1"/>
      <c r="D21" s="1"/>
      <c r="E21" s="1"/>
      <c r="F21" s="1"/>
      <c r="G21" s="1"/>
    </row>
    <row r="22" spans="1:7" x14ac:dyDescent="0.35">
      <c r="A22" s="1"/>
      <c r="B22" s="1"/>
      <c r="C22" s="1"/>
      <c r="D22" s="1"/>
      <c r="E22" s="1"/>
      <c r="F22" s="1"/>
      <c r="G22" s="1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"/>
  <sheetViews>
    <sheetView zoomScaleNormal="100" workbookViewId="0">
      <pane ySplit="4" topLeftCell="A5" activePane="bottomLeft" state="frozen"/>
      <selection pane="bottomLeft" activeCell="C36" sqref="C36"/>
    </sheetView>
  </sheetViews>
  <sheetFormatPr defaultColWidth="8.6328125" defaultRowHeight="14.5" x14ac:dyDescent="0.35"/>
  <cols>
    <col min="1" max="1" width="65.453125" customWidth="1"/>
    <col min="2" max="5" width="14.54296875" customWidth="1"/>
    <col min="6" max="7" width="12.7265625" customWidth="1"/>
    <col min="8" max="8" width="101.81640625" customWidth="1"/>
  </cols>
  <sheetData>
    <row r="1" spans="1:8" ht="18" x14ac:dyDescent="0.4">
      <c r="A1" s="2" t="s">
        <v>34</v>
      </c>
      <c r="B1" s="1"/>
      <c r="C1" s="1"/>
      <c r="D1" s="1"/>
      <c r="E1" s="1"/>
      <c r="F1" s="1"/>
      <c r="G1" s="1"/>
      <c r="H1" s="1"/>
    </row>
    <row r="2" spans="1:8" x14ac:dyDescent="0.35">
      <c r="A2" s="4" t="s">
        <v>35</v>
      </c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5" t="s">
        <v>36</v>
      </c>
      <c r="B4" s="9" t="s">
        <v>37</v>
      </c>
      <c r="C4" s="9" t="s">
        <v>38</v>
      </c>
      <c r="D4" s="9" t="s">
        <v>39</v>
      </c>
      <c r="E4" s="9"/>
      <c r="F4" s="9" t="s">
        <v>8</v>
      </c>
      <c r="G4" s="9" t="s">
        <v>40</v>
      </c>
      <c r="H4" s="5" t="s">
        <v>41</v>
      </c>
    </row>
    <row r="5" spans="1:8" x14ac:dyDescent="0.35">
      <c r="A5" s="7" t="s">
        <v>42</v>
      </c>
      <c r="B5" s="10"/>
      <c r="C5" s="10"/>
      <c r="D5" s="10"/>
      <c r="E5" s="10"/>
      <c r="F5" s="10"/>
      <c r="G5" s="10"/>
      <c r="H5" s="7"/>
    </row>
    <row r="6" spans="1:8" x14ac:dyDescent="0.35">
      <c r="A6" s="1" t="s">
        <v>43</v>
      </c>
      <c r="B6" s="11">
        <v>680000</v>
      </c>
      <c r="C6" s="11">
        <v>800000</v>
      </c>
      <c r="D6" s="11">
        <v>880000</v>
      </c>
      <c r="E6" s="12"/>
      <c r="F6" s="13" t="s">
        <v>44</v>
      </c>
      <c r="G6" s="13" t="s">
        <v>45</v>
      </c>
      <c r="H6" s="1" t="s">
        <v>46</v>
      </c>
    </row>
    <row r="7" spans="1:8" x14ac:dyDescent="0.35">
      <c r="A7" s="1" t="s">
        <v>47</v>
      </c>
      <c r="B7" s="11">
        <v>4000000</v>
      </c>
      <c r="C7" s="11">
        <v>4500000</v>
      </c>
      <c r="D7" s="11">
        <v>5000000</v>
      </c>
      <c r="E7" s="12"/>
      <c r="F7" s="13" t="s">
        <v>44</v>
      </c>
      <c r="G7" s="13" t="s">
        <v>48</v>
      </c>
      <c r="H7" s="1" t="s">
        <v>57</v>
      </c>
    </row>
    <row r="8" spans="1:8" x14ac:dyDescent="0.35">
      <c r="A8" s="1" t="s">
        <v>49</v>
      </c>
      <c r="B8" s="11">
        <v>1300000</v>
      </c>
      <c r="C8" s="11">
        <v>1200000</v>
      </c>
      <c r="D8" s="11">
        <v>1000000</v>
      </c>
      <c r="E8" s="12"/>
      <c r="F8" s="13" t="s">
        <v>44</v>
      </c>
      <c r="G8" s="13" t="s">
        <v>45</v>
      </c>
      <c r="H8" s="1" t="s">
        <v>50</v>
      </c>
    </row>
    <row r="9" spans="1:8" x14ac:dyDescent="0.35">
      <c r="A9" s="1" t="s">
        <v>51</v>
      </c>
      <c r="B9" s="14">
        <v>0.45</v>
      </c>
      <c r="C9" s="14">
        <v>0.4</v>
      </c>
      <c r="D9" s="14">
        <v>0.35</v>
      </c>
      <c r="E9" s="15"/>
      <c r="F9" s="13" t="s">
        <v>20</v>
      </c>
      <c r="G9" s="13" t="s">
        <v>52</v>
      </c>
      <c r="H9" s="1" t="s">
        <v>53</v>
      </c>
    </row>
    <row r="10" spans="1:8" x14ac:dyDescent="0.35">
      <c r="A10" s="8" t="s">
        <v>58</v>
      </c>
      <c r="B10" s="16">
        <f>(B7-B8)*(1-B9)</f>
        <v>1485000.0000000002</v>
      </c>
      <c r="C10" s="16">
        <f>(C7-C8)*(1-C9)</f>
        <v>1980000</v>
      </c>
      <c r="D10" s="16">
        <f>(D7-D8)*(1-D9)</f>
        <v>2600000</v>
      </c>
      <c r="E10" s="16"/>
      <c r="F10" s="13" t="s">
        <v>44</v>
      </c>
      <c r="G10" s="13" t="s">
        <v>54</v>
      </c>
      <c r="H10" s="1"/>
    </row>
    <row r="11" spans="1:8" x14ac:dyDescent="0.35">
      <c r="A11" s="1" t="s">
        <v>55</v>
      </c>
      <c r="B11" s="14">
        <v>0.25</v>
      </c>
      <c r="C11" s="14">
        <v>0.3</v>
      </c>
      <c r="D11" s="14">
        <v>0.35</v>
      </c>
      <c r="E11" s="15"/>
      <c r="F11" s="13" t="s">
        <v>20</v>
      </c>
      <c r="G11" s="13" t="s">
        <v>52</v>
      </c>
      <c r="H11" s="1" t="s">
        <v>56</v>
      </c>
    </row>
    <row r="12" spans="1:8" x14ac:dyDescent="0.35">
      <c r="A12" s="8" t="s">
        <v>59</v>
      </c>
      <c r="B12" s="16">
        <f>B10*B11</f>
        <v>371250.00000000006</v>
      </c>
      <c r="C12" s="16">
        <f>C10*C11</f>
        <v>594000</v>
      </c>
      <c r="D12" s="16">
        <f>D10*D11</f>
        <v>910000</v>
      </c>
      <c r="E12" s="16"/>
      <c r="F12" s="13" t="s">
        <v>44</v>
      </c>
      <c r="G12" s="13" t="s">
        <v>54</v>
      </c>
      <c r="H12" s="1"/>
    </row>
    <row r="13" spans="1:8" x14ac:dyDescent="0.35">
      <c r="A13" s="8" t="s">
        <v>60</v>
      </c>
      <c r="B13" s="16">
        <f>B6+B12</f>
        <v>1051250</v>
      </c>
      <c r="C13" s="16">
        <f>C6+C12</f>
        <v>1394000</v>
      </c>
      <c r="D13" s="16">
        <f>D6+D12</f>
        <v>1790000</v>
      </c>
      <c r="E13" s="16"/>
      <c r="F13" s="13" t="s">
        <v>44</v>
      </c>
      <c r="G13" s="13" t="s">
        <v>54</v>
      </c>
      <c r="H13" s="1" t="s">
        <v>61</v>
      </c>
    </row>
    <row r="14" spans="1:8" x14ac:dyDescent="0.35">
      <c r="A14" s="1" t="s">
        <v>62</v>
      </c>
      <c r="B14" s="11">
        <v>500000</v>
      </c>
      <c r="C14" s="11">
        <v>750000</v>
      </c>
      <c r="D14" s="11">
        <v>1000000</v>
      </c>
      <c r="E14" s="12"/>
      <c r="F14" s="13" t="s">
        <v>44</v>
      </c>
      <c r="G14" s="13" t="s">
        <v>63</v>
      </c>
      <c r="H14" s="1" t="s">
        <v>64</v>
      </c>
    </row>
    <row r="15" spans="1:8" x14ac:dyDescent="0.35">
      <c r="A15" s="1"/>
      <c r="B15" s="13"/>
      <c r="C15" s="13"/>
      <c r="D15" s="13"/>
      <c r="E15" s="13"/>
      <c r="F15" s="13"/>
      <c r="G15" s="13"/>
      <c r="H15" s="1"/>
    </row>
    <row r="16" spans="1:8" x14ac:dyDescent="0.35">
      <c r="A16" s="7" t="s">
        <v>65</v>
      </c>
      <c r="B16" s="10"/>
      <c r="C16" s="10"/>
      <c r="D16" s="10"/>
      <c r="E16" s="10"/>
      <c r="F16" s="10"/>
      <c r="G16" s="10"/>
      <c r="H16" s="7"/>
    </row>
    <row r="17" spans="1:8" x14ac:dyDescent="0.35">
      <c r="A17" s="1" t="s">
        <v>66</v>
      </c>
      <c r="B17" s="11">
        <v>1250</v>
      </c>
      <c r="C17" s="11">
        <v>1200</v>
      </c>
      <c r="D17" s="11">
        <v>1150</v>
      </c>
      <c r="E17" s="12"/>
      <c r="F17" s="13" t="s">
        <v>67</v>
      </c>
      <c r="G17" s="13" t="s">
        <v>45</v>
      </c>
      <c r="H17" s="1" t="s">
        <v>68</v>
      </c>
    </row>
    <row r="18" spans="1:8" x14ac:dyDescent="0.35">
      <c r="A18" s="1" t="s">
        <v>69</v>
      </c>
      <c r="B18" s="17">
        <v>140</v>
      </c>
      <c r="C18" s="17">
        <v>125</v>
      </c>
      <c r="D18" s="17">
        <v>110</v>
      </c>
      <c r="E18" s="12"/>
      <c r="F18" s="13" t="s">
        <v>70</v>
      </c>
      <c r="G18" s="13" t="s">
        <v>52</v>
      </c>
      <c r="H18" s="1" t="s">
        <v>71</v>
      </c>
    </row>
    <row r="19" spans="1:8" x14ac:dyDescent="0.35">
      <c r="A19" s="8" t="s">
        <v>72</v>
      </c>
      <c r="B19" s="16">
        <f>B17*B18</f>
        <v>175000</v>
      </c>
      <c r="C19" s="16">
        <f>C17*C18</f>
        <v>150000</v>
      </c>
      <c r="D19" s="16">
        <f>D17*D18</f>
        <v>126500</v>
      </c>
      <c r="E19" s="16"/>
      <c r="F19" s="13" t="s">
        <v>44</v>
      </c>
      <c r="G19" s="13" t="s">
        <v>54</v>
      </c>
      <c r="H19" s="1" t="s">
        <v>73</v>
      </c>
    </row>
    <row r="20" spans="1:8" x14ac:dyDescent="0.35">
      <c r="A20" s="1" t="s">
        <v>74</v>
      </c>
      <c r="B20" s="18">
        <v>2.4</v>
      </c>
      <c r="C20" s="18">
        <v>2.2999999999999998</v>
      </c>
      <c r="D20" s="18">
        <v>2.2000000000000002</v>
      </c>
      <c r="E20" s="19"/>
      <c r="F20" s="13" t="s">
        <v>75</v>
      </c>
      <c r="G20" s="13" t="s">
        <v>52</v>
      </c>
      <c r="H20" s="1" t="s">
        <v>76</v>
      </c>
    </row>
    <row r="21" spans="1:8" x14ac:dyDescent="0.35">
      <c r="A21" s="8" t="s">
        <v>77</v>
      </c>
      <c r="B21" s="16">
        <f>B19*B20</f>
        <v>420000</v>
      </c>
      <c r="C21" s="16">
        <f>C19*C20</f>
        <v>345000</v>
      </c>
      <c r="D21" s="16">
        <f>D19*D20</f>
        <v>278300</v>
      </c>
      <c r="E21" s="16"/>
      <c r="F21" s="13" t="s">
        <v>44</v>
      </c>
      <c r="G21" s="13" t="s">
        <v>54</v>
      </c>
      <c r="H21" s="1"/>
    </row>
    <row r="22" spans="1:8" x14ac:dyDescent="0.35">
      <c r="A22" s="8" t="s">
        <v>78</v>
      </c>
      <c r="B22" s="16">
        <f>B19+B21</f>
        <v>595000</v>
      </c>
      <c r="C22" s="16">
        <f>C19+C21</f>
        <v>495000</v>
      </c>
      <c r="D22" s="16">
        <f>D19+D21</f>
        <v>404800</v>
      </c>
      <c r="E22" s="16"/>
      <c r="F22" s="13" t="s">
        <v>44</v>
      </c>
      <c r="G22" s="13" t="s">
        <v>54</v>
      </c>
      <c r="H22" s="1" t="s">
        <v>79</v>
      </c>
    </row>
    <row r="23" spans="1:8" x14ac:dyDescent="0.35">
      <c r="A23" s="8" t="s">
        <v>80</v>
      </c>
      <c r="B23" s="16">
        <f>B13-B22</f>
        <v>456250</v>
      </c>
      <c r="C23" s="16">
        <f>C13-C22</f>
        <v>899000</v>
      </c>
      <c r="D23" s="16">
        <f>D13-D22</f>
        <v>1385200</v>
      </c>
      <c r="E23" s="16"/>
      <c r="F23" s="13" t="s">
        <v>44</v>
      </c>
      <c r="G23" s="13" t="s">
        <v>54</v>
      </c>
      <c r="H23" s="1"/>
    </row>
    <row r="24" spans="1:8" x14ac:dyDescent="0.35">
      <c r="A24" s="1" t="s">
        <v>81</v>
      </c>
      <c r="B24" s="20">
        <v>0.3</v>
      </c>
      <c r="C24" s="20">
        <v>0.3</v>
      </c>
      <c r="D24" s="20">
        <v>0.3</v>
      </c>
      <c r="E24" s="15"/>
      <c r="F24" s="13" t="s">
        <v>20</v>
      </c>
      <c r="G24" s="13" t="s">
        <v>63</v>
      </c>
      <c r="H24" s="1" t="s">
        <v>82</v>
      </c>
    </row>
    <row r="25" spans="1:8" x14ac:dyDescent="0.35">
      <c r="A25" s="1"/>
      <c r="B25" s="13"/>
      <c r="C25" s="13"/>
      <c r="D25" s="13"/>
      <c r="E25" s="13"/>
      <c r="F25" s="13"/>
      <c r="G25" s="13"/>
      <c r="H25" s="1"/>
    </row>
    <row r="26" spans="1:8" x14ac:dyDescent="0.35">
      <c r="A26" s="7" t="s">
        <v>83</v>
      </c>
      <c r="B26" s="10"/>
      <c r="C26" s="10"/>
      <c r="D26" s="10"/>
      <c r="E26" s="10"/>
      <c r="F26" s="10"/>
      <c r="G26" s="10"/>
      <c r="H26" s="7"/>
    </row>
    <row r="27" spans="1:8" x14ac:dyDescent="0.35">
      <c r="A27" s="1" t="s">
        <v>84</v>
      </c>
      <c r="B27" s="11">
        <v>15000</v>
      </c>
      <c r="C27" s="11">
        <v>12500</v>
      </c>
      <c r="D27" s="11">
        <v>10000</v>
      </c>
      <c r="E27" s="12"/>
      <c r="F27" s="13" t="s">
        <v>85</v>
      </c>
      <c r="G27" s="13" t="s">
        <v>48</v>
      </c>
      <c r="H27" s="1" t="s">
        <v>86</v>
      </c>
    </row>
    <row r="28" spans="1:8" x14ac:dyDescent="0.35">
      <c r="A28" s="1" t="s">
        <v>87</v>
      </c>
      <c r="B28" s="14">
        <v>0.05</v>
      </c>
      <c r="C28" s="14">
        <v>0</v>
      </c>
      <c r="D28" s="14">
        <v>-0.05</v>
      </c>
      <c r="E28" s="15"/>
      <c r="F28" s="13" t="s">
        <v>88</v>
      </c>
      <c r="G28" s="13" t="s">
        <v>52</v>
      </c>
      <c r="H28" s="1" t="s">
        <v>89</v>
      </c>
    </row>
    <row r="29" spans="1:8" x14ac:dyDescent="0.35">
      <c r="A29" s="1" t="s">
        <v>90</v>
      </c>
      <c r="B29" s="18">
        <v>0</v>
      </c>
      <c r="C29" s="18">
        <v>0.25</v>
      </c>
      <c r="D29" s="18">
        <v>0.5</v>
      </c>
      <c r="E29" s="19"/>
      <c r="F29" s="13" t="s">
        <v>91</v>
      </c>
      <c r="G29" s="13" t="s">
        <v>52</v>
      </c>
      <c r="H29" s="1" t="s">
        <v>92</v>
      </c>
    </row>
    <row r="30" spans="1:8" x14ac:dyDescent="0.35">
      <c r="A30" s="1" t="s">
        <v>93</v>
      </c>
      <c r="B30" s="11">
        <v>18000</v>
      </c>
      <c r="C30" s="11">
        <v>15000</v>
      </c>
      <c r="D30" s="11">
        <v>12000</v>
      </c>
      <c r="E30" s="12"/>
      <c r="F30" s="13" t="s">
        <v>85</v>
      </c>
      <c r="G30" s="13" t="s">
        <v>45</v>
      </c>
      <c r="H30" s="1" t="s">
        <v>94</v>
      </c>
    </row>
    <row r="31" spans="1:8" x14ac:dyDescent="0.35">
      <c r="A31" s="1" t="s">
        <v>95</v>
      </c>
      <c r="B31" s="14">
        <v>0.4</v>
      </c>
      <c r="C31" s="14">
        <v>0.55000000000000004</v>
      </c>
      <c r="D31" s="14">
        <v>0.65</v>
      </c>
      <c r="E31" s="15"/>
      <c r="F31" s="13" t="s">
        <v>20</v>
      </c>
      <c r="G31" s="13" t="s">
        <v>52</v>
      </c>
      <c r="H31" s="1" t="s">
        <v>96</v>
      </c>
    </row>
    <row r="32" spans="1:8" x14ac:dyDescent="0.35">
      <c r="A32" s="8" t="s">
        <v>97</v>
      </c>
      <c r="B32" s="16">
        <f>B30*(1-B31)</f>
        <v>10800</v>
      </c>
      <c r="C32" s="16">
        <f>C30*(1-C31)</f>
        <v>6749.9999999999991</v>
      </c>
      <c r="D32" s="16">
        <f>D30*(1-D31)</f>
        <v>4200</v>
      </c>
      <c r="E32" s="16"/>
      <c r="F32" s="13" t="s">
        <v>85</v>
      </c>
      <c r="G32" s="13" t="s">
        <v>54</v>
      </c>
      <c r="H32" s="1" t="s">
        <v>98</v>
      </c>
    </row>
    <row r="33" spans="1:8" x14ac:dyDescent="0.35">
      <c r="A33" s="1" t="s">
        <v>99</v>
      </c>
      <c r="B33" s="17">
        <v>2500</v>
      </c>
      <c r="C33" s="17">
        <v>2000</v>
      </c>
      <c r="D33" s="17">
        <v>1500</v>
      </c>
      <c r="E33" s="12"/>
      <c r="F33" s="13" t="s">
        <v>85</v>
      </c>
      <c r="G33" s="13" t="s">
        <v>52</v>
      </c>
      <c r="H33" s="1"/>
    </row>
    <row r="34" spans="1:8" x14ac:dyDescent="0.35">
      <c r="A34" s="8" t="s">
        <v>100</v>
      </c>
      <c r="B34" s="16">
        <f>B27+B32+B33</f>
        <v>28300</v>
      </c>
      <c r="C34" s="16">
        <f>C27+C32+C33</f>
        <v>21250</v>
      </c>
      <c r="D34" s="16">
        <f>D27+D32+D33</f>
        <v>15700</v>
      </c>
      <c r="E34" s="16"/>
      <c r="F34" s="13" t="s">
        <v>85</v>
      </c>
      <c r="G34" s="13" t="s">
        <v>54</v>
      </c>
      <c r="H34" s="1"/>
    </row>
    <row r="35" spans="1:8" x14ac:dyDescent="0.35">
      <c r="A35" s="8" t="s">
        <v>101</v>
      </c>
      <c r="B35" s="16">
        <f>B27+B30+B33</f>
        <v>35500</v>
      </c>
      <c r="C35" s="16">
        <f>C27+C30+C33</f>
        <v>29500</v>
      </c>
      <c r="D35" s="16">
        <f>D27+D30+D33</f>
        <v>23500</v>
      </c>
      <c r="E35" s="16"/>
      <c r="F35" s="13" t="s">
        <v>85</v>
      </c>
      <c r="G35" s="13" t="s">
        <v>54</v>
      </c>
      <c r="H35" s="1" t="s">
        <v>102</v>
      </c>
    </row>
    <row r="36" spans="1:8" x14ac:dyDescent="0.35">
      <c r="A36" s="1" t="s">
        <v>103</v>
      </c>
      <c r="B36" s="11">
        <v>22000</v>
      </c>
      <c r="C36" s="11">
        <v>30000</v>
      </c>
      <c r="D36" s="11">
        <v>34000</v>
      </c>
      <c r="E36" s="12"/>
      <c r="F36" s="13" t="s">
        <v>85</v>
      </c>
      <c r="G36" s="13" t="s">
        <v>45</v>
      </c>
      <c r="H36" s="1" t="s">
        <v>104</v>
      </c>
    </row>
    <row r="37" spans="1:8" x14ac:dyDescent="0.35">
      <c r="A37" s="1"/>
      <c r="B37" s="13"/>
      <c r="C37" s="13"/>
      <c r="D37" s="13"/>
      <c r="E37" s="13"/>
      <c r="F37" s="13"/>
      <c r="G37" s="13"/>
      <c r="H37" s="1"/>
    </row>
    <row r="38" spans="1:8" x14ac:dyDescent="0.35">
      <c r="A38" s="1"/>
      <c r="B38" s="13"/>
      <c r="C38" s="13"/>
      <c r="D38" s="13"/>
      <c r="E38" s="13"/>
      <c r="F38" s="13"/>
      <c r="G38" s="13"/>
      <c r="H38" s="1"/>
    </row>
    <row r="39" spans="1:8" x14ac:dyDescent="0.35">
      <c r="A39" s="5" t="s">
        <v>105</v>
      </c>
      <c r="B39" s="9" t="s">
        <v>106</v>
      </c>
      <c r="C39" s="9" t="s">
        <v>38</v>
      </c>
      <c r="D39" s="9" t="s">
        <v>107</v>
      </c>
      <c r="E39" s="9" t="s">
        <v>108</v>
      </c>
      <c r="F39" s="9" t="s">
        <v>8</v>
      </c>
      <c r="G39" s="9" t="s">
        <v>40</v>
      </c>
      <c r="H39" s="5" t="s">
        <v>41</v>
      </c>
    </row>
    <row r="40" spans="1:8" x14ac:dyDescent="0.35">
      <c r="A40" s="1" t="s">
        <v>109</v>
      </c>
      <c r="B40" s="21" t="s">
        <v>38</v>
      </c>
      <c r="C40" s="13"/>
      <c r="D40" s="13"/>
      <c r="E40" s="22">
        <f>MATCH(B40,B39:D39,0)</f>
        <v>2</v>
      </c>
      <c r="F40" s="13" t="s">
        <v>110</v>
      </c>
      <c r="G40" s="13" t="s">
        <v>111</v>
      </c>
      <c r="H40" s="1" t="s">
        <v>112</v>
      </c>
    </row>
    <row r="41" spans="1:8" x14ac:dyDescent="0.35">
      <c r="A41" s="1" t="s">
        <v>9</v>
      </c>
      <c r="B41" s="14">
        <v>0.2</v>
      </c>
      <c r="C41" s="14">
        <v>0.25</v>
      </c>
      <c r="D41" s="14">
        <v>0.3</v>
      </c>
      <c r="E41" s="23" cm="1">
        <f t="array" ref="E41">INDEX(B41:D41,$E$40)</f>
        <v>0.25</v>
      </c>
      <c r="F41" s="13" t="s">
        <v>10</v>
      </c>
      <c r="G41" s="13" t="s">
        <v>52</v>
      </c>
      <c r="H41" s="1" t="s">
        <v>113</v>
      </c>
    </row>
    <row r="42" spans="1:8" x14ac:dyDescent="0.35">
      <c r="A42" s="1" t="s">
        <v>11</v>
      </c>
      <c r="B42" s="15">
        <f>1-B41</f>
        <v>0.8</v>
      </c>
      <c r="C42" s="15">
        <f>1-C41</f>
        <v>0.75</v>
      </c>
      <c r="D42" s="15">
        <f>1-D41</f>
        <v>0.7</v>
      </c>
      <c r="E42" s="23" cm="1">
        <f t="array" ref="E42">INDEX(B42:D42,$E$40)</f>
        <v>0.75</v>
      </c>
      <c r="F42" s="13" t="s">
        <v>10</v>
      </c>
      <c r="G42" s="13" t="s">
        <v>54</v>
      </c>
      <c r="H42" s="1" t="s">
        <v>12</v>
      </c>
    </row>
    <row r="43" spans="1:8" x14ac:dyDescent="0.35">
      <c r="A43" s="1" t="s">
        <v>114</v>
      </c>
      <c r="B43" s="11">
        <v>24000</v>
      </c>
      <c r="C43" s="11">
        <v>24000</v>
      </c>
      <c r="D43" s="11">
        <v>24000</v>
      </c>
      <c r="E43" s="24" cm="1">
        <f t="array" ref="E43">INDEX(B43:D43,$E$40)</f>
        <v>24000</v>
      </c>
      <c r="F43" s="13" t="s">
        <v>115</v>
      </c>
      <c r="G43" s="13" t="s">
        <v>45</v>
      </c>
      <c r="H43" s="1" t="s">
        <v>116</v>
      </c>
    </row>
    <row r="44" spans="1:8" x14ac:dyDescent="0.35">
      <c r="A44" s="1" t="s">
        <v>117</v>
      </c>
      <c r="B44" s="14">
        <v>0.2</v>
      </c>
      <c r="C44" s="14">
        <v>0.2</v>
      </c>
      <c r="D44" s="14">
        <v>0.2</v>
      </c>
      <c r="E44" s="23" cm="1">
        <f t="array" ref="E44">INDEX(B44:D44,$E$40)</f>
        <v>0.2</v>
      </c>
      <c r="F44" s="13" t="s">
        <v>20</v>
      </c>
      <c r="G44" s="13" t="s">
        <v>52</v>
      </c>
      <c r="H44" s="1" t="s">
        <v>118</v>
      </c>
    </row>
    <row r="45" spans="1:8" x14ac:dyDescent="0.35">
      <c r="A45" s="8" t="s">
        <v>119</v>
      </c>
      <c r="B45" s="16">
        <f>B43/B44</f>
        <v>120000</v>
      </c>
      <c r="C45" s="16">
        <f>C43/C44</f>
        <v>120000</v>
      </c>
      <c r="D45" s="16">
        <f>D43/D44</f>
        <v>120000</v>
      </c>
      <c r="E45" s="25" cm="1">
        <f t="array" ref="E45">INDEX(B45:D45,$E$40)</f>
        <v>120000</v>
      </c>
      <c r="F45" s="13" t="s">
        <v>120</v>
      </c>
      <c r="G45" s="13" t="s">
        <v>54</v>
      </c>
      <c r="H45" s="1" t="s">
        <v>121</v>
      </c>
    </row>
    <row r="46" spans="1:8" x14ac:dyDescent="0.35">
      <c r="A46" s="1" t="s">
        <v>122</v>
      </c>
      <c r="B46" s="14">
        <v>0.5</v>
      </c>
      <c r="C46" s="14">
        <v>0.7</v>
      </c>
      <c r="D46" s="14">
        <v>0.85</v>
      </c>
      <c r="E46" s="23" cm="1">
        <f t="array" ref="E46">INDEX(B46:D46,$E$40)</f>
        <v>0.7</v>
      </c>
      <c r="F46" s="13" t="s">
        <v>20</v>
      </c>
      <c r="G46" s="13" t="s">
        <v>52</v>
      </c>
      <c r="H46" s="1" t="s">
        <v>123</v>
      </c>
    </row>
    <row r="47" spans="1:8" x14ac:dyDescent="0.35">
      <c r="A47" s="1" t="s">
        <v>13</v>
      </c>
      <c r="B47" s="17">
        <v>30</v>
      </c>
      <c r="C47" s="17">
        <v>24</v>
      </c>
      <c r="D47" s="17">
        <v>18</v>
      </c>
      <c r="E47" s="24" cm="1">
        <f t="array" ref="E47">INDEX(B47:D47,$E$40)</f>
        <v>24</v>
      </c>
      <c r="F47" s="13" t="s">
        <v>14</v>
      </c>
      <c r="G47" s="13" t="s">
        <v>52</v>
      </c>
      <c r="H47" s="1" t="s">
        <v>124</v>
      </c>
    </row>
    <row r="48" spans="1:8" x14ac:dyDescent="0.35">
      <c r="A48" s="1" t="s">
        <v>15</v>
      </c>
      <c r="B48" s="14">
        <v>0.02</v>
      </c>
      <c r="C48" s="14">
        <v>0.02</v>
      </c>
      <c r="D48" s="14">
        <v>0.02</v>
      </c>
      <c r="E48" s="23" cm="1">
        <f t="array" ref="E48">INDEX(B48:D48,$E$40)</f>
        <v>0.02</v>
      </c>
      <c r="F48" s="13" t="s">
        <v>20</v>
      </c>
      <c r="G48" s="13" t="s">
        <v>52</v>
      </c>
      <c r="H48" s="1" t="s">
        <v>125</v>
      </c>
    </row>
    <row r="49" spans="1:8" x14ac:dyDescent="0.35">
      <c r="A49" s="1" t="s">
        <v>16</v>
      </c>
      <c r="B49" s="14">
        <v>0.05</v>
      </c>
      <c r="C49" s="14">
        <v>0.12</v>
      </c>
      <c r="D49" s="14">
        <v>0.2</v>
      </c>
      <c r="E49" s="23" cm="1">
        <f t="array" ref="E49">INDEX(B49:D49,$E$40)</f>
        <v>0.12</v>
      </c>
      <c r="F49" s="13" t="s">
        <v>20</v>
      </c>
      <c r="G49" s="13" t="s">
        <v>52</v>
      </c>
      <c r="H49" s="1" t="s">
        <v>126</v>
      </c>
    </row>
    <row r="50" spans="1:8" x14ac:dyDescent="0.35">
      <c r="A50" s="1" t="s">
        <v>17</v>
      </c>
      <c r="B50" s="17">
        <v>48</v>
      </c>
      <c r="C50" s="17">
        <v>36</v>
      </c>
      <c r="D50" s="17">
        <v>30</v>
      </c>
      <c r="E50" s="24" cm="1">
        <f t="array" ref="E50">INDEX(B50:D50,$E$40)</f>
        <v>36</v>
      </c>
      <c r="F50" s="13" t="s">
        <v>14</v>
      </c>
      <c r="G50" s="13" t="s">
        <v>52</v>
      </c>
      <c r="H50" s="1"/>
    </row>
    <row r="51" spans="1:8" x14ac:dyDescent="0.35">
      <c r="A51" s="1" t="s">
        <v>127</v>
      </c>
      <c r="B51" s="14">
        <v>0.65</v>
      </c>
      <c r="C51" s="14">
        <v>0.75</v>
      </c>
      <c r="D51" s="14">
        <v>0.85</v>
      </c>
      <c r="E51" s="23" cm="1">
        <f t="array" ref="E51">INDEX(B51:D51,$E$40)</f>
        <v>0.75</v>
      </c>
      <c r="F51" s="13" t="s">
        <v>20</v>
      </c>
      <c r="G51" s="13" t="s">
        <v>52</v>
      </c>
      <c r="H51" s="1" t="s">
        <v>128</v>
      </c>
    </row>
    <row r="52" spans="1:8" x14ac:dyDescent="0.35">
      <c r="A52" s="1" t="s">
        <v>129</v>
      </c>
      <c r="B52" s="14">
        <v>0.05</v>
      </c>
      <c r="C52" s="14">
        <v>0.1</v>
      </c>
      <c r="D52" s="14">
        <v>0.2</v>
      </c>
      <c r="E52" s="23" cm="1">
        <f t="array" ref="E52">INDEX(B52:D52,$E$40)</f>
        <v>0.1</v>
      </c>
      <c r="F52" s="13" t="s">
        <v>20</v>
      </c>
      <c r="G52" s="13" t="s">
        <v>52</v>
      </c>
      <c r="H52" s="1" t="s">
        <v>130</v>
      </c>
    </row>
    <row r="53" spans="1:8" x14ac:dyDescent="0.35">
      <c r="A53" s="1" t="s">
        <v>18</v>
      </c>
      <c r="B53" s="17">
        <v>48</v>
      </c>
      <c r="C53" s="17">
        <v>48</v>
      </c>
      <c r="D53" s="17">
        <v>36</v>
      </c>
      <c r="E53" s="24" cm="1">
        <f t="array" ref="E53">INDEX(B53:D53,$E$40)</f>
        <v>48</v>
      </c>
      <c r="F53" s="13" t="s">
        <v>14</v>
      </c>
      <c r="G53" s="13" t="s">
        <v>52</v>
      </c>
      <c r="H53" s="1" t="s">
        <v>131</v>
      </c>
    </row>
    <row r="54" spans="1:8" x14ac:dyDescent="0.35">
      <c r="A54" s="1" t="s">
        <v>19</v>
      </c>
      <c r="B54" s="14">
        <v>0.6</v>
      </c>
      <c r="C54" s="14">
        <v>0.5</v>
      </c>
      <c r="D54" s="14">
        <v>0.4</v>
      </c>
      <c r="E54" s="23" cm="1">
        <f t="array" ref="E54">INDEX(B54:D54,$E$40)</f>
        <v>0.5</v>
      </c>
      <c r="F54" s="13" t="s">
        <v>20</v>
      </c>
      <c r="G54" s="13" t="s">
        <v>52</v>
      </c>
      <c r="H54" s="1" t="s">
        <v>132</v>
      </c>
    </row>
    <row r="55" spans="1:8" x14ac:dyDescent="0.35">
      <c r="A55" s="1" t="s">
        <v>133</v>
      </c>
      <c r="B55" s="11">
        <v>3500</v>
      </c>
      <c r="C55" s="11">
        <v>4200</v>
      </c>
      <c r="D55" s="11">
        <v>5000</v>
      </c>
      <c r="E55" s="24" cm="1">
        <f t="array" ref="E55">INDEX(B55:D55,$E$40)</f>
        <v>4200</v>
      </c>
      <c r="F55" s="13" t="s">
        <v>134</v>
      </c>
      <c r="G55" s="13" t="s">
        <v>45</v>
      </c>
      <c r="H55" s="1" t="s">
        <v>135</v>
      </c>
    </row>
    <row r="56" spans="1:8" x14ac:dyDescent="0.35">
      <c r="A56" s="1" t="s">
        <v>136</v>
      </c>
      <c r="B56" s="14">
        <v>0.15</v>
      </c>
      <c r="C56" s="14">
        <v>0.4</v>
      </c>
      <c r="D56" s="14">
        <v>0.75</v>
      </c>
      <c r="E56" s="23" cm="1">
        <f t="array" ref="E56">INDEX(B56:D56,$E$40)</f>
        <v>0.4</v>
      </c>
      <c r="F56" s="13" t="s">
        <v>88</v>
      </c>
      <c r="G56" s="13" t="s">
        <v>52</v>
      </c>
      <c r="H56" s="1"/>
    </row>
    <row r="57" spans="1:8" x14ac:dyDescent="0.35">
      <c r="A57" s="1" t="s">
        <v>137</v>
      </c>
      <c r="B57" s="17">
        <v>8000</v>
      </c>
      <c r="C57" s="17">
        <v>15000</v>
      </c>
      <c r="D57" s="17">
        <v>25000</v>
      </c>
      <c r="E57" s="24" cm="1">
        <f t="array" ref="E57">INDEX(B57:D57,$E$40)</f>
        <v>15000</v>
      </c>
      <c r="F57" s="13" t="s">
        <v>134</v>
      </c>
      <c r="G57" s="13" t="s">
        <v>52</v>
      </c>
      <c r="H57" s="1"/>
    </row>
    <row r="58" spans="1:8" x14ac:dyDescent="0.35">
      <c r="A58" s="1" t="s">
        <v>138</v>
      </c>
      <c r="B58" s="17">
        <v>6</v>
      </c>
      <c r="C58" s="17">
        <v>12</v>
      </c>
      <c r="D58" s="17">
        <v>20</v>
      </c>
      <c r="E58" s="24" cm="1">
        <f t="array" ref="E58">INDEX(B58:D58,$E$40)</f>
        <v>12</v>
      </c>
      <c r="F58" s="13" t="s">
        <v>139</v>
      </c>
      <c r="G58" s="13" t="s">
        <v>52</v>
      </c>
      <c r="H58" s="1" t="s">
        <v>140</v>
      </c>
    </row>
    <row r="59" spans="1:8" x14ac:dyDescent="0.35">
      <c r="A59" s="1" t="s">
        <v>141</v>
      </c>
      <c r="B59" s="14">
        <v>-0.2</v>
      </c>
      <c r="C59" s="14">
        <v>0</v>
      </c>
      <c r="D59" s="14">
        <v>0.15</v>
      </c>
      <c r="E59" s="23" cm="1">
        <f t="array" ref="E59">INDEX(B59:D59,$E$40)</f>
        <v>0</v>
      </c>
      <c r="F59" s="13" t="s">
        <v>88</v>
      </c>
      <c r="G59" s="13" t="s">
        <v>52</v>
      </c>
      <c r="H59" s="1" t="s">
        <v>142</v>
      </c>
    </row>
    <row r="60" spans="1:8" x14ac:dyDescent="0.35">
      <c r="A60" s="1" t="s">
        <v>143</v>
      </c>
      <c r="B60" s="17">
        <v>8</v>
      </c>
      <c r="C60" s="17">
        <v>10</v>
      </c>
      <c r="D60" s="17">
        <v>12</v>
      </c>
      <c r="E60" s="24" cm="1">
        <f t="array" ref="E60">INDEX(B60:D60,$E$40)</f>
        <v>10</v>
      </c>
      <c r="F60" s="13" t="s">
        <v>115</v>
      </c>
      <c r="G60" s="13" t="s">
        <v>52</v>
      </c>
      <c r="H60" s="1" t="s">
        <v>144</v>
      </c>
    </row>
    <row r="61" spans="1:8" x14ac:dyDescent="0.35">
      <c r="A61" s="1" t="s">
        <v>145</v>
      </c>
      <c r="B61" s="18">
        <v>1.5</v>
      </c>
      <c r="C61" s="18">
        <v>1</v>
      </c>
      <c r="D61" s="18">
        <v>0.7</v>
      </c>
      <c r="E61" s="26" cm="1">
        <f t="array" ref="E61">INDEX(B61:D61,$E$40)</f>
        <v>1</v>
      </c>
      <c r="F61" s="13" t="s">
        <v>44</v>
      </c>
      <c r="G61" s="13" t="s">
        <v>52</v>
      </c>
      <c r="H61" s="1" t="s">
        <v>146</v>
      </c>
    </row>
    <row r="62" spans="1:8" x14ac:dyDescent="0.35">
      <c r="A62" s="1" t="s">
        <v>21</v>
      </c>
      <c r="B62" s="14">
        <v>0</v>
      </c>
      <c r="C62" s="14">
        <v>0</v>
      </c>
      <c r="D62" s="14">
        <v>0</v>
      </c>
      <c r="E62" s="23" cm="1">
        <f t="array" ref="E62">INDEX(B62:D62,$E$40)</f>
        <v>0</v>
      </c>
      <c r="F62" s="13" t="s">
        <v>22</v>
      </c>
      <c r="G62" s="13" t="s">
        <v>52</v>
      </c>
      <c r="H62" s="1" t="s">
        <v>147</v>
      </c>
    </row>
    <row r="63" spans="1:8" x14ac:dyDescent="0.35">
      <c r="A63" s="1" t="s">
        <v>23</v>
      </c>
      <c r="B63" s="14">
        <v>0.08</v>
      </c>
      <c r="C63" s="14">
        <v>0.03</v>
      </c>
      <c r="D63" s="14">
        <v>0</v>
      </c>
      <c r="E63" s="23" cm="1">
        <f t="array" ref="E63">INDEX(B63:D63,$E$40)</f>
        <v>0.03</v>
      </c>
      <c r="F63" s="13" t="s">
        <v>22</v>
      </c>
      <c r="G63" s="13" t="s">
        <v>52</v>
      </c>
      <c r="H63" s="1"/>
    </row>
    <row r="64" spans="1:8" x14ac:dyDescent="0.35">
      <c r="A64" s="1" t="s">
        <v>24</v>
      </c>
      <c r="B64" s="17">
        <v>24</v>
      </c>
      <c r="C64" s="17">
        <v>24</v>
      </c>
      <c r="D64" s="17">
        <v>24</v>
      </c>
      <c r="E64" s="24" cm="1">
        <f t="array" ref="E64">INDEX(B64:D64,$E$40)</f>
        <v>24</v>
      </c>
      <c r="F64" s="13" t="s">
        <v>14</v>
      </c>
      <c r="G64" s="13" t="s">
        <v>52</v>
      </c>
      <c r="H64" s="1"/>
    </row>
    <row r="65" spans="1:8" x14ac:dyDescent="0.35">
      <c r="A65" s="1"/>
      <c r="B65" s="13"/>
      <c r="C65" s="13"/>
      <c r="D65" s="13"/>
      <c r="E65" s="13"/>
      <c r="F65" s="13"/>
      <c r="G65" s="13"/>
      <c r="H65" s="1"/>
    </row>
    <row r="66" spans="1:8" x14ac:dyDescent="0.35">
      <c r="A66" s="7" t="s">
        <v>148</v>
      </c>
      <c r="B66" s="10"/>
      <c r="C66" s="10"/>
      <c r="D66" s="10"/>
      <c r="E66" s="10"/>
      <c r="F66" s="10"/>
      <c r="G66" s="10"/>
      <c r="H66" s="7"/>
    </row>
    <row r="67" spans="1:8" x14ac:dyDescent="0.35">
      <c r="A67" s="1" t="s">
        <v>149</v>
      </c>
      <c r="B67" s="27">
        <f>DATE(2026,9,1)</f>
        <v>46266</v>
      </c>
      <c r="C67" s="13"/>
      <c r="D67" s="13"/>
      <c r="E67" s="13"/>
      <c r="F67" s="13" t="s">
        <v>150</v>
      </c>
      <c r="G67" s="13" t="s">
        <v>151</v>
      </c>
      <c r="H67" s="1" t="s">
        <v>152</v>
      </c>
    </row>
    <row r="68" spans="1:8" x14ac:dyDescent="0.35">
      <c r="A68" s="1"/>
      <c r="B68" s="13"/>
      <c r="C68" s="13"/>
      <c r="D68" s="13"/>
      <c r="E68" s="13"/>
      <c r="F68" s="13"/>
      <c r="G68" s="13"/>
      <c r="H68" s="1"/>
    </row>
    <row r="69" spans="1:8" x14ac:dyDescent="0.35">
      <c r="A69" s="5" t="s">
        <v>153</v>
      </c>
      <c r="B69" s="9" t="s">
        <v>25</v>
      </c>
      <c r="C69" s="9" t="s">
        <v>26</v>
      </c>
      <c r="D69" s="9"/>
      <c r="E69" s="9"/>
      <c r="F69" s="9"/>
      <c r="G69" s="9"/>
      <c r="H69" s="5" t="s">
        <v>27</v>
      </c>
    </row>
    <row r="70" spans="1:8" x14ac:dyDescent="0.35">
      <c r="A70" s="1" t="s">
        <v>154</v>
      </c>
      <c r="B70" s="28">
        <v>0</v>
      </c>
      <c r="C70" s="28">
        <v>0</v>
      </c>
      <c r="D70" s="13"/>
      <c r="E70" s="13"/>
      <c r="F70" s="13"/>
      <c r="G70" s="13" t="s">
        <v>111</v>
      </c>
      <c r="H70" s="1" t="s">
        <v>155</v>
      </c>
    </row>
    <row r="71" spans="1:8" x14ac:dyDescent="0.35">
      <c r="A71" s="1" t="s">
        <v>4</v>
      </c>
      <c r="B71" s="28">
        <v>1</v>
      </c>
      <c r="C71" s="28">
        <v>0</v>
      </c>
      <c r="D71" s="13"/>
      <c r="E71" s="13"/>
      <c r="F71" s="13"/>
      <c r="G71" s="13" t="s">
        <v>111</v>
      </c>
      <c r="H71" s="1" t="s">
        <v>156</v>
      </c>
    </row>
    <row r="72" spans="1:8" x14ac:dyDescent="0.35">
      <c r="A72" s="1" t="s">
        <v>5</v>
      </c>
      <c r="B72" s="28">
        <v>0</v>
      </c>
      <c r="C72" s="28">
        <v>1</v>
      </c>
      <c r="D72" s="13"/>
      <c r="E72" s="13"/>
      <c r="F72" s="13"/>
      <c r="G72" s="13" t="s">
        <v>111</v>
      </c>
      <c r="H72" s="1" t="s">
        <v>157</v>
      </c>
    </row>
    <row r="73" spans="1:8" x14ac:dyDescent="0.35">
      <c r="A73" s="1" t="s">
        <v>6</v>
      </c>
      <c r="B73" s="28">
        <v>1</v>
      </c>
      <c r="C73" s="28">
        <v>1</v>
      </c>
      <c r="D73" s="13"/>
      <c r="E73" s="13"/>
      <c r="F73" s="13"/>
      <c r="G73" s="13" t="s">
        <v>111</v>
      </c>
      <c r="H73" s="1" t="s">
        <v>158</v>
      </c>
    </row>
    <row r="74" spans="1:8" x14ac:dyDescent="0.35">
      <c r="A74" s="1"/>
      <c r="B74" s="13"/>
      <c r="C74" s="13"/>
      <c r="D74" s="13"/>
      <c r="E74" s="13"/>
      <c r="F74" s="13"/>
      <c r="G74" s="13"/>
      <c r="H74" s="1"/>
    </row>
    <row r="75" spans="1:8" x14ac:dyDescent="0.35">
      <c r="A75" s="1"/>
      <c r="B75" s="13"/>
      <c r="C75" s="13"/>
      <c r="D75" s="13"/>
      <c r="E75" s="13"/>
      <c r="F75" s="13"/>
      <c r="G75" s="13"/>
      <c r="H75" s="1"/>
    </row>
    <row r="76" spans="1:8" x14ac:dyDescent="0.35">
      <c r="A76" s="1"/>
      <c r="B76" s="13"/>
      <c r="C76" s="13"/>
      <c r="D76" s="13"/>
      <c r="E76" s="13"/>
      <c r="F76" s="13"/>
      <c r="G76" s="13"/>
      <c r="H76" s="1"/>
    </row>
    <row r="77" spans="1:8" x14ac:dyDescent="0.35">
      <c r="A77" s="1"/>
      <c r="B77" s="13"/>
      <c r="C77" s="13"/>
      <c r="D77" s="13"/>
      <c r="E77" s="13"/>
      <c r="F77" s="13"/>
      <c r="G77" s="13"/>
      <c r="H77" s="1"/>
    </row>
    <row r="78" spans="1:8" x14ac:dyDescent="0.35">
      <c r="A78" s="1"/>
      <c r="B78" s="13"/>
      <c r="C78" s="13"/>
      <c r="D78" s="13"/>
      <c r="E78" s="13"/>
      <c r="F78" s="13"/>
      <c r="G78" s="13"/>
      <c r="H78" s="1"/>
    </row>
    <row r="79" spans="1:8" x14ac:dyDescent="0.35">
      <c r="A79" s="1"/>
      <c r="B79" s="13"/>
      <c r="C79" s="13"/>
      <c r="D79" s="13"/>
      <c r="E79" s="13"/>
      <c r="F79" s="13"/>
      <c r="G79" s="13"/>
      <c r="H79" s="1"/>
    </row>
    <row r="80" spans="1:8" x14ac:dyDescent="0.35">
      <c r="A80" s="1"/>
      <c r="B80" s="13"/>
      <c r="C80" s="13"/>
      <c r="D80" s="13"/>
      <c r="E80" s="13"/>
      <c r="F80" s="13"/>
      <c r="G80" s="13"/>
      <c r="H80" s="1"/>
    </row>
  </sheetData>
  <dataValidations count="1">
    <dataValidation type="list" allowBlank="1" showInputMessage="1" showErrorMessage="1" sqref="B40" xr:uid="{45A221AD-06BA-4E93-9049-3073826ECB58}">
      <formula1>"Low,Central,High"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P24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8" sqref="A8"/>
    </sheetView>
  </sheetViews>
  <sheetFormatPr defaultColWidth="8.6328125" defaultRowHeight="14.5" x14ac:dyDescent="0.35"/>
  <cols>
    <col min="1" max="1" width="7.26953125" customWidth="1"/>
    <col min="2" max="120" width="11.26953125" customWidth="1"/>
  </cols>
  <sheetData>
    <row r="1" spans="1:120" ht="15.5" x14ac:dyDescent="0.35">
      <c r="A1" s="30" t="s">
        <v>159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</row>
    <row r="2" spans="1:120" x14ac:dyDescent="0.35">
      <c r="A2" s="31" t="s">
        <v>160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</row>
    <row r="3" spans="1:120" x14ac:dyDescent="0.35">
      <c r="A3" s="29"/>
      <c r="B3" s="29"/>
      <c r="C3" s="85" t="s">
        <v>170</v>
      </c>
      <c r="D3" s="85"/>
      <c r="E3" s="85"/>
      <c r="F3" s="85"/>
      <c r="G3" s="85"/>
      <c r="H3" s="85"/>
      <c r="I3" s="85"/>
      <c r="J3" s="85"/>
      <c r="K3" s="85"/>
      <c r="L3" s="32"/>
      <c r="M3" s="85" t="s">
        <v>171</v>
      </c>
      <c r="N3" s="85"/>
      <c r="O3" s="85"/>
      <c r="P3" s="85"/>
      <c r="Q3" s="85"/>
      <c r="R3" s="85"/>
      <c r="S3" s="85"/>
      <c r="T3" s="85"/>
      <c r="U3" s="85"/>
      <c r="V3" s="85" t="s">
        <v>179</v>
      </c>
      <c r="W3" s="85"/>
      <c r="X3" s="85"/>
      <c r="Y3" s="85"/>
      <c r="Z3" s="85"/>
      <c r="AA3" s="85"/>
      <c r="AB3" s="85"/>
      <c r="AC3" s="85"/>
      <c r="AD3" s="85"/>
      <c r="AE3" s="85" t="s">
        <v>180</v>
      </c>
      <c r="AF3" s="85"/>
      <c r="AG3" s="85"/>
      <c r="AH3" s="85"/>
      <c r="AI3" s="85"/>
      <c r="AJ3" s="85"/>
      <c r="AK3" s="85"/>
      <c r="AL3" s="85"/>
      <c r="AM3" s="85"/>
      <c r="AN3" s="85" t="s">
        <v>181</v>
      </c>
      <c r="AO3" s="85"/>
      <c r="AP3" s="85"/>
      <c r="AQ3" s="85"/>
      <c r="AR3" s="85"/>
      <c r="AS3" s="85"/>
      <c r="AT3" s="85"/>
      <c r="AU3" s="85"/>
      <c r="AV3" s="85"/>
      <c r="AW3" s="85" t="s">
        <v>182</v>
      </c>
      <c r="AX3" s="85"/>
      <c r="AY3" s="85"/>
      <c r="AZ3" s="85"/>
      <c r="BA3" s="85"/>
      <c r="BB3" s="85"/>
      <c r="BC3" s="85"/>
      <c r="BD3" s="85"/>
      <c r="BE3" s="85"/>
      <c r="BF3" s="85" t="s">
        <v>183</v>
      </c>
      <c r="BG3" s="85"/>
      <c r="BH3" s="85"/>
      <c r="BI3" s="85"/>
      <c r="BJ3" s="85"/>
      <c r="BK3" s="85"/>
      <c r="BL3" s="85"/>
      <c r="BM3" s="85"/>
      <c r="BN3" s="85"/>
      <c r="BO3" s="85" t="s">
        <v>184</v>
      </c>
      <c r="BP3" s="85"/>
      <c r="BQ3" s="85"/>
      <c r="BR3" s="85"/>
      <c r="BS3" s="85"/>
      <c r="BT3" s="85"/>
      <c r="BU3" s="85"/>
      <c r="BV3" s="85"/>
      <c r="BW3" s="85"/>
      <c r="BX3" s="85" t="s">
        <v>185</v>
      </c>
      <c r="BY3" s="85"/>
      <c r="BZ3" s="85"/>
      <c r="CA3" s="85"/>
      <c r="CB3" s="85"/>
      <c r="CC3" s="85"/>
      <c r="CD3" s="85"/>
      <c r="CE3" s="85"/>
      <c r="CF3" s="85"/>
      <c r="CG3" s="85" t="s">
        <v>186</v>
      </c>
      <c r="CH3" s="85"/>
      <c r="CI3" s="85"/>
      <c r="CJ3" s="85"/>
      <c r="CK3" s="85"/>
      <c r="CL3" s="85"/>
      <c r="CM3" s="85"/>
      <c r="CN3" s="85"/>
      <c r="CO3" s="85"/>
      <c r="CP3" s="85" t="s">
        <v>187</v>
      </c>
      <c r="CQ3" s="85"/>
      <c r="CR3" s="85"/>
      <c r="CS3" s="85"/>
      <c r="CT3" s="85"/>
      <c r="CU3" s="85"/>
      <c r="CV3" s="85"/>
      <c r="CW3" s="85"/>
      <c r="CX3" s="85"/>
      <c r="CY3" s="85" t="s">
        <v>188</v>
      </c>
      <c r="CZ3" s="85"/>
      <c r="DA3" s="85"/>
      <c r="DB3" s="85"/>
      <c r="DC3" s="85"/>
      <c r="DD3" s="85"/>
      <c r="DE3" s="85"/>
      <c r="DF3" s="85"/>
      <c r="DG3" s="85"/>
      <c r="DH3" s="85" t="s">
        <v>189</v>
      </c>
      <c r="DI3" s="85"/>
      <c r="DJ3" s="85"/>
      <c r="DK3" s="85"/>
      <c r="DL3" s="85"/>
      <c r="DM3" s="85"/>
      <c r="DN3" s="85"/>
      <c r="DO3" s="85"/>
      <c r="DP3" s="85"/>
    </row>
    <row r="4" spans="1:120" ht="28" customHeight="1" x14ac:dyDescent="0.35">
      <c r="A4" s="33" t="s">
        <v>28</v>
      </c>
      <c r="B4" s="33" t="s">
        <v>161</v>
      </c>
      <c r="C4" s="33" t="s">
        <v>162</v>
      </c>
      <c r="D4" s="33" t="s">
        <v>163</v>
      </c>
      <c r="E4" s="33" t="s">
        <v>164</v>
      </c>
      <c r="F4" s="33" t="s">
        <v>29</v>
      </c>
      <c r="G4" s="33" t="s">
        <v>165</v>
      </c>
      <c r="H4" s="33" t="s">
        <v>166</v>
      </c>
      <c r="I4" s="33" t="s">
        <v>167</v>
      </c>
      <c r="J4" s="33" t="s">
        <v>168</v>
      </c>
      <c r="K4" s="33" t="s">
        <v>169</v>
      </c>
      <c r="L4" s="33"/>
      <c r="M4" s="33" t="s">
        <v>172</v>
      </c>
      <c r="N4" s="33" t="s">
        <v>30</v>
      </c>
      <c r="O4" s="33" t="s">
        <v>173</v>
      </c>
      <c r="P4" s="33" t="s">
        <v>174</v>
      </c>
      <c r="Q4" s="33" t="s">
        <v>175</v>
      </c>
      <c r="R4" s="33" t="s">
        <v>176</v>
      </c>
      <c r="S4" s="33" t="s">
        <v>177</v>
      </c>
      <c r="T4" s="33" t="s">
        <v>178</v>
      </c>
      <c r="U4" s="33" t="s">
        <v>32</v>
      </c>
      <c r="V4" s="33" t="s">
        <v>172</v>
      </c>
      <c r="W4" s="33" t="s">
        <v>30</v>
      </c>
      <c r="X4" s="33" t="s">
        <v>173</v>
      </c>
      <c r="Y4" s="33" t="s">
        <v>174</v>
      </c>
      <c r="Z4" s="33" t="s">
        <v>175</v>
      </c>
      <c r="AA4" s="33" t="s">
        <v>176</v>
      </c>
      <c r="AB4" s="33" t="s">
        <v>177</v>
      </c>
      <c r="AC4" s="33" t="s">
        <v>178</v>
      </c>
      <c r="AD4" s="33" t="s">
        <v>32</v>
      </c>
      <c r="AE4" s="33" t="s">
        <v>172</v>
      </c>
      <c r="AF4" s="33" t="s">
        <v>30</v>
      </c>
      <c r="AG4" s="33" t="s">
        <v>173</v>
      </c>
      <c r="AH4" s="33" t="s">
        <v>174</v>
      </c>
      <c r="AI4" s="33" t="s">
        <v>175</v>
      </c>
      <c r="AJ4" s="33" t="s">
        <v>176</v>
      </c>
      <c r="AK4" s="33" t="s">
        <v>177</v>
      </c>
      <c r="AL4" s="33" t="s">
        <v>178</v>
      </c>
      <c r="AM4" s="33" t="s">
        <v>32</v>
      </c>
      <c r="AN4" s="33" t="s">
        <v>172</v>
      </c>
      <c r="AO4" s="33" t="s">
        <v>30</v>
      </c>
      <c r="AP4" s="33" t="s">
        <v>173</v>
      </c>
      <c r="AQ4" s="33" t="s">
        <v>174</v>
      </c>
      <c r="AR4" s="33" t="s">
        <v>175</v>
      </c>
      <c r="AS4" s="33" t="s">
        <v>176</v>
      </c>
      <c r="AT4" s="33" t="s">
        <v>177</v>
      </c>
      <c r="AU4" s="33" t="s">
        <v>178</v>
      </c>
      <c r="AV4" s="33" t="s">
        <v>32</v>
      </c>
      <c r="AW4" s="33" t="s">
        <v>172</v>
      </c>
      <c r="AX4" s="33" t="s">
        <v>30</v>
      </c>
      <c r="AY4" s="33" t="s">
        <v>173</v>
      </c>
      <c r="AZ4" s="33" t="s">
        <v>174</v>
      </c>
      <c r="BA4" s="33" t="s">
        <v>175</v>
      </c>
      <c r="BB4" s="33" t="s">
        <v>176</v>
      </c>
      <c r="BC4" s="33" t="s">
        <v>177</v>
      </c>
      <c r="BD4" s="33" t="s">
        <v>178</v>
      </c>
      <c r="BE4" s="33" t="s">
        <v>32</v>
      </c>
      <c r="BF4" s="33" t="s">
        <v>172</v>
      </c>
      <c r="BG4" s="33" t="s">
        <v>30</v>
      </c>
      <c r="BH4" s="33" t="s">
        <v>173</v>
      </c>
      <c r="BI4" s="33" t="s">
        <v>174</v>
      </c>
      <c r="BJ4" s="33" t="s">
        <v>175</v>
      </c>
      <c r="BK4" s="33" t="s">
        <v>176</v>
      </c>
      <c r="BL4" s="33" t="s">
        <v>177</v>
      </c>
      <c r="BM4" s="33" t="s">
        <v>178</v>
      </c>
      <c r="BN4" s="33" t="s">
        <v>32</v>
      </c>
      <c r="BO4" s="33" t="s">
        <v>172</v>
      </c>
      <c r="BP4" s="33" t="s">
        <v>30</v>
      </c>
      <c r="BQ4" s="33" t="s">
        <v>173</v>
      </c>
      <c r="BR4" s="33" t="s">
        <v>174</v>
      </c>
      <c r="BS4" s="33" t="s">
        <v>175</v>
      </c>
      <c r="BT4" s="33" t="s">
        <v>176</v>
      </c>
      <c r="BU4" s="33" t="s">
        <v>177</v>
      </c>
      <c r="BV4" s="33" t="s">
        <v>178</v>
      </c>
      <c r="BW4" s="33" t="s">
        <v>32</v>
      </c>
      <c r="BX4" s="33" t="s">
        <v>172</v>
      </c>
      <c r="BY4" s="33" t="s">
        <v>30</v>
      </c>
      <c r="BZ4" s="33" t="s">
        <v>173</v>
      </c>
      <c r="CA4" s="33" t="s">
        <v>174</v>
      </c>
      <c r="CB4" s="33" t="s">
        <v>175</v>
      </c>
      <c r="CC4" s="33" t="s">
        <v>176</v>
      </c>
      <c r="CD4" s="33" t="s">
        <v>177</v>
      </c>
      <c r="CE4" s="33" t="s">
        <v>178</v>
      </c>
      <c r="CF4" s="33" t="s">
        <v>32</v>
      </c>
      <c r="CG4" s="33" t="s">
        <v>172</v>
      </c>
      <c r="CH4" s="33" t="s">
        <v>30</v>
      </c>
      <c r="CI4" s="33" t="s">
        <v>173</v>
      </c>
      <c r="CJ4" s="33" t="s">
        <v>174</v>
      </c>
      <c r="CK4" s="33" t="s">
        <v>175</v>
      </c>
      <c r="CL4" s="33" t="s">
        <v>176</v>
      </c>
      <c r="CM4" s="33" t="s">
        <v>177</v>
      </c>
      <c r="CN4" s="33" t="s">
        <v>178</v>
      </c>
      <c r="CO4" s="33" t="s">
        <v>32</v>
      </c>
      <c r="CP4" s="33" t="s">
        <v>172</v>
      </c>
      <c r="CQ4" s="33" t="s">
        <v>30</v>
      </c>
      <c r="CR4" s="33" t="s">
        <v>173</v>
      </c>
      <c r="CS4" s="33" t="s">
        <v>174</v>
      </c>
      <c r="CT4" s="33" t="s">
        <v>175</v>
      </c>
      <c r="CU4" s="33" t="s">
        <v>176</v>
      </c>
      <c r="CV4" s="33" t="s">
        <v>177</v>
      </c>
      <c r="CW4" s="33" t="s">
        <v>178</v>
      </c>
      <c r="CX4" s="33" t="s">
        <v>32</v>
      </c>
      <c r="CY4" s="33" t="s">
        <v>172</v>
      </c>
      <c r="CZ4" s="33" t="s">
        <v>30</v>
      </c>
      <c r="DA4" s="33" t="s">
        <v>173</v>
      </c>
      <c r="DB4" s="33" t="s">
        <v>174</v>
      </c>
      <c r="DC4" s="33" t="s">
        <v>175</v>
      </c>
      <c r="DD4" s="33" t="s">
        <v>176</v>
      </c>
      <c r="DE4" s="33" t="s">
        <v>177</v>
      </c>
      <c r="DF4" s="33" t="s">
        <v>178</v>
      </c>
      <c r="DG4" s="33" t="s">
        <v>32</v>
      </c>
      <c r="DH4" s="33" t="s">
        <v>172</v>
      </c>
      <c r="DI4" s="33" t="s">
        <v>30</v>
      </c>
      <c r="DJ4" s="33" t="s">
        <v>173</v>
      </c>
      <c r="DK4" s="33" t="s">
        <v>174</v>
      </c>
      <c r="DL4" s="33" t="s">
        <v>175</v>
      </c>
      <c r="DM4" s="33" t="s">
        <v>176</v>
      </c>
      <c r="DN4" s="33" t="s">
        <v>177</v>
      </c>
      <c r="DO4" s="33" t="s">
        <v>178</v>
      </c>
      <c r="DP4" s="33" t="s">
        <v>32</v>
      </c>
    </row>
    <row r="5" spans="1:120" x14ac:dyDescent="0.35">
      <c r="A5" s="29">
        <v>0</v>
      </c>
      <c r="B5" s="34">
        <f>EDATE(Inputs!$B$67,$A5)</f>
        <v>46266</v>
      </c>
      <c r="C5" s="35">
        <f>IF(Inputs!$E$47&lt;=0,Inputs!$E$46,Inputs!$E$44+(Inputs!$E$46-Inputs!$E$44)*MIN($A5/Inputs!$E$47,1))</f>
        <v>0.2</v>
      </c>
      <c r="D5" s="35">
        <f>MIN(Inputs!$E$57,Inputs!$E$55*(1+Inputs!$E$56)^($A5/12))*Inputs!$E$58*(1+Inputs!$E$59)^($A5/12)/Inputs!$E$45</f>
        <v>0.42</v>
      </c>
      <c r="E5" s="35">
        <f>MAX(Inputs!$E$44,MIN(C5,D5))</f>
        <v>0.2</v>
      </c>
      <c r="F5" s="35">
        <f>IF(Inputs!$E$50&lt;=0,Inputs!$E$49,Inputs!$E$48+(Inputs!$E$49-Inputs!$E$48)*MIN($A5/Inputs!$E$50,1))</f>
        <v>0.02</v>
      </c>
      <c r="G5" s="36">
        <f>(Inputs!$E$41*(1-E5*Inputs!$E$51)+Inputs!$E$42*(1-F5*Inputs!$E$51))/(Inputs!$E$41*(1-Inputs!$E$44*Inputs!$E$51)+Inputs!$E$42*(1-Inputs!$E$48*Inputs!$E$51))</f>
        <v>1</v>
      </c>
      <c r="H5" s="35">
        <f>IF(Inputs!$E$53&lt;=0,Inputs!$E$52,Inputs!$E$52*MIN($A5/Inputs!$E$53,1))</f>
        <v>0</v>
      </c>
      <c r="I5" s="35">
        <f>IF(Inputs!$E$64&lt;=0,Inputs!$E$63,Inputs!$E$62+(Inputs!$E$63-Inputs!$E$62)*MIN($A5/Inputs!$E$64,1))</f>
        <v>0</v>
      </c>
      <c r="J5" s="37">
        <f>(E5-Inputs!$E$44)*Inputs!$E$45/Inputs!$E$60*Inputs!$E$61</f>
        <v>0</v>
      </c>
      <c r="K5" s="29">
        <f>IF(D5&lt;C5,1,0)</f>
        <v>0</v>
      </c>
      <c r="L5" s="29"/>
      <c r="M5" s="38">
        <v>0</v>
      </c>
      <c r="N5" s="38">
        <v>0</v>
      </c>
      <c r="O5" s="38">
        <v>0</v>
      </c>
      <c r="P5" s="38">
        <v>0</v>
      </c>
      <c r="Q5" s="38">
        <f>Inputs!$B$6</f>
        <v>680000</v>
      </c>
      <c r="R5" s="38">
        <f>Inputs!$B$12</f>
        <v>371250.00000000006</v>
      </c>
      <c r="S5" s="38">
        <f>Inputs!$B$19*(1-Inputs!$C$70*$H5)+Inputs!$B$21+Inputs!$B$70*$J5</f>
        <v>595000</v>
      </c>
      <c r="T5" s="38">
        <f>Q5-S5</f>
        <v>85000</v>
      </c>
      <c r="U5" s="38">
        <f>IF(T5&lt;0,1,0)</f>
        <v>0</v>
      </c>
      <c r="V5" s="38">
        <v>0</v>
      </c>
      <c r="W5" s="38">
        <v>0</v>
      </c>
      <c r="X5" s="38">
        <v>0</v>
      </c>
      <c r="Y5" s="38">
        <v>0</v>
      </c>
      <c r="Z5" s="38">
        <f>Inputs!$C$6</f>
        <v>800000</v>
      </c>
      <c r="AA5" s="38">
        <f>Inputs!$C$12</f>
        <v>594000</v>
      </c>
      <c r="AB5" s="38">
        <f>Inputs!$C$19*(1-Inputs!$C$70*$H5)+Inputs!$C$21+Inputs!$B$70*$J5</f>
        <v>495000</v>
      </c>
      <c r="AC5" s="38">
        <f>Z5-AB5</f>
        <v>305000</v>
      </c>
      <c r="AD5" s="38">
        <f>IF(AC5&lt;0,1,0)</f>
        <v>0</v>
      </c>
      <c r="AE5" s="38">
        <v>0</v>
      </c>
      <c r="AF5" s="38">
        <v>0</v>
      </c>
      <c r="AG5" s="38">
        <v>0</v>
      </c>
      <c r="AH5" s="38">
        <v>0</v>
      </c>
      <c r="AI5" s="38">
        <f>Inputs!$D$6</f>
        <v>880000</v>
      </c>
      <c r="AJ5" s="38">
        <f>Inputs!$D$12</f>
        <v>910000</v>
      </c>
      <c r="AK5" s="38">
        <f>Inputs!$D$19*(1-Inputs!$C$70*$H5)+Inputs!$D$21+Inputs!$B$70*$J5</f>
        <v>404800</v>
      </c>
      <c r="AL5" s="38">
        <f>AI5-AK5</f>
        <v>475200</v>
      </c>
      <c r="AM5" s="38">
        <f>IF(AL5&lt;0,1,0)</f>
        <v>0</v>
      </c>
      <c r="AN5" s="38">
        <v>0</v>
      </c>
      <c r="AO5" s="38">
        <v>0</v>
      </c>
      <c r="AP5" s="38">
        <v>0</v>
      </c>
      <c r="AQ5" s="38">
        <v>0</v>
      </c>
      <c r="AR5" s="38">
        <f>Inputs!$B$6</f>
        <v>680000</v>
      </c>
      <c r="AS5" s="38">
        <f>Inputs!$B$12</f>
        <v>371250.00000000006</v>
      </c>
      <c r="AT5" s="38">
        <f>Inputs!$B$19*(1-Inputs!$C$71*$H5)+Inputs!$B$21+Inputs!$B$71*$J5</f>
        <v>595000</v>
      </c>
      <c r="AU5" s="38">
        <f>AR5-AT5</f>
        <v>85000</v>
      </c>
      <c r="AV5" s="38">
        <f>IF(AU5&lt;0,1,0)</f>
        <v>0</v>
      </c>
      <c r="AW5" s="38">
        <v>0</v>
      </c>
      <c r="AX5" s="38">
        <v>0</v>
      </c>
      <c r="AY5" s="38">
        <v>0</v>
      </c>
      <c r="AZ5" s="38">
        <v>0</v>
      </c>
      <c r="BA5" s="38">
        <f>Inputs!$C$6</f>
        <v>800000</v>
      </c>
      <c r="BB5" s="38">
        <f>Inputs!$C$12</f>
        <v>594000</v>
      </c>
      <c r="BC5" s="38">
        <f>Inputs!$C$19*(1-Inputs!$C$71*$H5)+Inputs!$C$21+Inputs!$B$71*$J5</f>
        <v>495000</v>
      </c>
      <c r="BD5" s="38">
        <f>BA5-BC5</f>
        <v>305000</v>
      </c>
      <c r="BE5" s="38">
        <f>IF(BD5&lt;0,1,0)</f>
        <v>0</v>
      </c>
      <c r="BF5" s="38">
        <v>0</v>
      </c>
      <c r="BG5" s="38">
        <v>0</v>
      </c>
      <c r="BH5" s="38">
        <v>0</v>
      </c>
      <c r="BI5" s="38">
        <v>0</v>
      </c>
      <c r="BJ5" s="38">
        <f>Inputs!$D$6</f>
        <v>880000</v>
      </c>
      <c r="BK5" s="38">
        <f>Inputs!$D$12</f>
        <v>910000</v>
      </c>
      <c r="BL5" s="38">
        <f>Inputs!$D$19*(1-Inputs!$C$71*$H5)+Inputs!$D$21+Inputs!$B$71*$J5</f>
        <v>404800</v>
      </c>
      <c r="BM5" s="38">
        <f>BJ5-BL5</f>
        <v>475200</v>
      </c>
      <c r="BN5" s="38">
        <f>IF(BM5&lt;0,1,0)</f>
        <v>0</v>
      </c>
      <c r="BO5" s="38">
        <v>0</v>
      </c>
      <c r="BP5" s="38">
        <v>0</v>
      </c>
      <c r="BQ5" s="38">
        <v>0</v>
      </c>
      <c r="BR5" s="38">
        <v>0</v>
      </c>
      <c r="BS5" s="38">
        <f>Inputs!$B$6</f>
        <v>680000</v>
      </c>
      <c r="BT5" s="38">
        <f>Inputs!$B$12</f>
        <v>371250.00000000006</v>
      </c>
      <c r="BU5" s="38">
        <f>Inputs!$B$19*(1-Inputs!$C$72*$H5)+Inputs!$B$21+Inputs!$B$72*$J5</f>
        <v>595000</v>
      </c>
      <c r="BV5" s="38">
        <f>BS5-BU5</f>
        <v>85000</v>
      </c>
      <c r="BW5" s="38">
        <f>IF(BV5&lt;0,1,0)</f>
        <v>0</v>
      </c>
      <c r="BX5" s="38">
        <v>0</v>
      </c>
      <c r="BY5" s="38">
        <v>0</v>
      </c>
      <c r="BZ5" s="38">
        <v>0</v>
      </c>
      <c r="CA5" s="38">
        <v>0</v>
      </c>
      <c r="CB5" s="38">
        <f>Inputs!$C$6</f>
        <v>800000</v>
      </c>
      <c r="CC5" s="38">
        <f>Inputs!$C$12</f>
        <v>594000</v>
      </c>
      <c r="CD5" s="38">
        <f>Inputs!$C$19*(1-Inputs!$C$72*$H5)+Inputs!$C$21+Inputs!$B$72*$J5</f>
        <v>495000</v>
      </c>
      <c r="CE5" s="38">
        <f>CB5-CD5</f>
        <v>305000</v>
      </c>
      <c r="CF5" s="38">
        <f>IF(CE5&lt;0,1,0)</f>
        <v>0</v>
      </c>
      <c r="CG5" s="38">
        <v>0</v>
      </c>
      <c r="CH5" s="38">
        <v>0</v>
      </c>
      <c r="CI5" s="38">
        <v>0</v>
      </c>
      <c r="CJ5" s="38">
        <v>0</v>
      </c>
      <c r="CK5" s="38">
        <f>Inputs!$D$6</f>
        <v>880000</v>
      </c>
      <c r="CL5" s="38">
        <f>Inputs!$D$12</f>
        <v>910000</v>
      </c>
      <c r="CM5" s="38">
        <f>Inputs!$D$19*(1-Inputs!$C$72*$H5)+Inputs!$D$21+Inputs!$B$72*$J5</f>
        <v>404800</v>
      </c>
      <c r="CN5" s="38">
        <f>CK5-CM5</f>
        <v>475200</v>
      </c>
      <c r="CO5" s="38">
        <f>IF(CN5&lt;0,1,0)</f>
        <v>0</v>
      </c>
      <c r="CP5" s="38">
        <v>0</v>
      </c>
      <c r="CQ5" s="38">
        <v>0</v>
      </c>
      <c r="CR5" s="38">
        <v>0</v>
      </c>
      <c r="CS5" s="38">
        <v>0</v>
      </c>
      <c r="CT5" s="38">
        <f>Inputs!$B$6</f>
        <v>680000</v>
      </c>
      <c r="CU5" s="38">
        <f>Inputs!$B$12</f>
        <v>371250.00000000006</v>
      </c>
      <c r="CV5" s="38">
        <f>Inputs!$B$19*(1-Inputs!$C$73*$H5)+Inputs!$B$21+Inputs!$B$73*$J5</f>
        <v>595000</v>
      </c>
      <c r="CW5" s="38">
        <f>CT5-CV5</f>
        <v>85000</v>
      </c>
      <c r="CX5" s="38">
        <f>IF(CW5&lt;0,1,0)</f>
        <v>0</v>
      </c>
      <c r="CY5" s="38">
        <v>0</v>
      </c>
      <c r="CZ5" s="38">
        <v>0</v>
      </c>
      <c r="DA5" s="38">
        <v>0</v>
      </c>
      <c r="DB5" s="38">
        <v>0</v>
      </c>
      <c r="DC5" s="38">
        <f>Inputs!$C$6</f>
        <v>800000</v>
      </c>
      <c r="DD5" s="38">
        <f>Inputs!$C$12</f>
        <v>594000</v>
      </c>
      <c r="DE5" s="38">
        <f>Inputs!$C$19*(1-Inputs!$C$73*$H5)+Inputs!$C$21+Inputs!$B$73*$J5</f>
        <v>495000</v>
      </c>
      <c r="DF5" s="38">
        <f>DC5-DE5</f>
        <v>305000</v>
      </c>
      <c r="DG5" s="38">
        <f>IF(DF5&lt;0,1,0)</f>
        <v>0</v>
      </c>
      <c r="DH5" s="38">
        <v>0</v>
      </c>
      <c r="DI5" s="38">
        <v>0</v>
      </c>
      <c r="DJ5" s="38">
        <v>0</v>
      </c>
      <c r="DK5" s="38">
        <v>0</v>
      </c>
      <c r="DL5" s="38">
        <f>Inputs!$D$6</f>
        <v>880000</v>
      </c>
      <c r="DM5" s="38">
        <f>Inputs!$D$12</f>
        <v>910000</v>
      </c>
      <c r="DN5" s="38">
        <f>Inputs!$D$19*(1-Inputs!$C$73*$H5)+Inputs!$D$21+Inputs!$B$73*$J5</f>
        <v>404800</v>
      </c>
      <c r="DO5" s="38">
        <f>DL5-DN5</f>
        <v>475200</v>
      </c>
      <c r="DP5" s="38">
        <f>IF(DO5&lt;0,1,0)</f>
        <v>0</v>
      </c>
    </row>
    <row r="6" spans="1:120" x14ac:dyDescent="0.35">
      <c r="A6" s="29">
        <v>1</v>
      </c>
      <c r="B6" s="34">
        <f>EDATE(Inputs!$B$67,$A6)</f>
        <v>46296</v>
      </c>
      <c r="C6" s="35">
        <f>IF(Inputs!$E$47&lt;=0,Inputs!$E$46,Inputs!$E$44+(Inputs!$E$46-Inputs!$E$44)*MIN($A6/Inputs!$E$47,1))</f>
        <v>0.22083333333333333</v>
      </c>
      <c r="D6" s="35">
        <f>MIN(Inputs!$E$57,Inputs!$E$55*(1+Inputs!$E$56)^($A6/12))*Inputs!$E$58*(1+Inputs!$E$59)^($A6/12)/Inputs!$E$45</f>
        <v>0.43194318540507176</v>
      </c>
      <c r="E6" s="35">
        <f>MAX(Inputs!$E$44,MIN(C6,D6))</f>
        <v>0.22083333333333333</v>
      </c>
      <c r="F6" s="35">
        <f>IF(Inputs!$E$50&lt;=0,Inputs!$E$49,Inputs!$E$48+(Inputs!$E$49-Inputs!$E$48)*MIN($A6/Inputs!$E$50,1))</f>
        <v>2.2777777777777779E-2</v>
      </c>
      <c r="G6" s="36">
        <f>(Inputs!$E$41*(1-E6*Inputs!$E$51)+Inputs!$E$42*(1-F6*Inputs!$E$51))/(Inputs!$E$41*(1-Inputs!$E$44*Inputs!$E$51)+Inputs!$E$42*(1-Inputs!$E$48*Inputs!$E$51))</f>
        <v>0.99425098554533509</v>
      </c>
      <c r="H6" s="35">
        <f>IF(Inputs!$E$53&lt;=0,Inputs!$E$52,Inputs!$E$52*MIN($A6/Inputs!$E$53,1))</f>
        <v>2.0833333333333333E-3</v>
      </c>
      <c r="I6" s="35">
        <f>IF(Inputs!$E$64&lt;=0,Inputs!$E$63,Inputs!$E$62+(Inputs!$E$63-Inputs!$E$62)*MIN($A6/Inputs!$E$64,1))</f>
        <v>1.2499999999999998E-3</v>
      </c>
      <c r="J6" s="37">
        <f>(E6-Inputs!$E$44)*Inputs!$E$45/Inputs!$E$60*Inputs!$E$61</f>
        <v>249.99999999999977</v>
      </c>
      <c r="K6" s="29">
        <f t="shared" ref="K6:K69" si="0">IF(D6&lt;C6,1,0)</f>
        <v>0</v>
      </c>
      <c r="L6" s="29"/>
      <c r="M6" s="38">
        <f>MAX(0,MIN(Inputs!$B$36,R5,N6+O6+P6+Inputs!$B$6-Q5))</f>
        <v>22000</v>
      </c>
      <c r="N6" s="38">
        <f>Inputs!$B$27*(1+Inputs!$B$28)^($A6/12)*IF(Inputs!$B$70=1,$G6,1)*(1-Inputs!$C$70*$H6*(1-Inputs!$E$54*Inputs!$B$70))*(1+$I6)*IF(Inputs!$B$29=0,1,(MAX(Q5,0)/Inputs!$B$6)^Inputs!$B$29)</f>
        <v>15079.938246575668</v>
      </c>
      <c r="O6" s="38">
        <f>Inputs!$B$32*Q5/Inputs!$B$6</f>
        <v>10800</v>
      </c>
      <c r="P6" s="38">
        <f>Inputs!$B$33</f>
        <v>2500</v>
      </c>
      <c r="Q6" s="38">
        <f>MAX(Q5+M6-N6-O6-P6,0)</f>
        <v>673620.06175342435</v>
      </c>
      <c r="R6" s="38">
        <f>R5-M6</f>
        <v>349250.00000000006</v>
      </c>
      <c r="S6" s="38">
        <f>Inputs!$B$19*(1-Inputs!$C$70*$H6)+Inputs!$B$21+Inputs!$B$70*$J6</f>
        <v>595000</v>
      </c>
      <c r="T6" s="38">
        <f>Q6-S6</f>
        <v>78620.06175342435</v>
      </c>
      <c r="U6" s="38">
        <f>IF(T6&lt;0,1,0)</f>
        <v>0</v>
      </c>
      <c r="V6" s="38">
        <f>MAX(0,MIN(Inputs!$C$36,AA5,W6+X6+Y6+Inputs!$C$6-Z5))</f>
        <v>21265.625</v>
      </c>
      <c r="W6" s="38">
        <f>Inputs!$C$27*(1+Inputs!$C$28)^($A6/12)*IF(Inputs!$B$70=1,$G6,1)*(1-Inputs!$C$70*$H6*(1-Inputs!$E$54*Inputs!$B$70))*(1+$I6)*IF(Inputs!$C$29=0,1,(MAX(Z5,0)/Inputs!$C$6)^Inputs!$C$29)</f>
        <v>12515.625</v>
      </c>
      <c r="X6" s="38">
        <f>Inputs!$C$32*Z5/Inputs!$C$6</f>
        <v>6749.9999999999991</v>
      </c>
      <c r="Y6" s="38">
        <f>Inputs!$C$33</f>
        <v>2000</v>
      </c>
      <c r="Z6" s="38">
        <f>MAX(Z5+V6-W6-X6-Y6,0)</f>
        <v>800000</v>
      </c>
      <c r="AA6" s="38">
        <f>AA5-V6</f>
        <v>572734.375</v>
      </c>
      <c r="AB6" s="38">
        <f>Inputs!$C$19*(1-Inputs!$C$70*$H6)+Inputs!$C$21+Inputs!$B$70*$J6</f>
        <v>495000</v>
      </c>
      <c r="AC6" s="38">
        <f>Z6-AB6</f>
        <v>305000</v>
      </c>
      <c r="AD6" s="38">
        <f>IF(AC6&lt;0,1,0)</f>
        <v>0</v>
      </c>
      <c r="AE6" s="38">
        <f>MAX(0,MIN(Inputs!$D$36,AJ5,AF6+AG6+AH6+Inputs!$D$6-AI5))</f>
        <v>15669.793495739694</v>
      </c>
      <c r="AF6" s="38">
        <f>Inputs!$D$27*(1+Inputs!$D$28)^($A6/12)*IF(Inputs!$B$70=1,$G6,1)*(1-Inputs!$C$70*$H6*(1-Inputs!$E$54*Inputs!$B$70))*(1+$I6)*IF(Inputs!$D$29=0,1,(MAX(AI5,0)/Inputs!$D$6)^Inputs!$D$29)</f>
        <v>9969.7934957396737</v>
      </c>
      <c r="AG6" s="38">
        <f>Inputs!$D$32*AI5/Inputs!$D$6</f>
        <v>4200</v>
      </c>
      <c r="AH6" s="38">
        <f>Inputs!$D$33</f>
        <v>1500</v>
      </c>
      <c r="AI6" s="38">
        <f>MAX(AI5+AE6-AF6-AG6-AH6,0)</f>
        <v>880000</v>
      </c>
      <c r="AJ6" s="38">
        <f>AJ5-AE6</f>
        <v>894330.20650426031</v>
      </c>
      <c r="AK6" s="38">
        <f>Inputs!$D$19*(1-Inputs!$C$70*$H6)+Inputs!$D$21+Inputs!$B$70*$J6</f>
        <v>404800</v>
      </c>
      <c r="AL6" s="38">
        <f>AI6-AK6</f>
        <v>475200</v>
      </c>
      <c r="AM6" s="38">
        <f>IF(AL6&lt;0,1,0)</f>
        <v>0</v>
      </c>
      <c r="AN6" s="38">
        <f>MAX(0,MIN(Inputs!$B$36,AS5,AO6+AP6+AQ6+Inputs!$B$6-AR5))</f>
        <v>22000</v>
      </c>
      <c r="AO6" s="38">
        <f>Inputs!$B$27*(1+Inputs!$B$28)^($A6/12)*IF(Inputs!$B$71=1,$G6,1)*(1-Inputs!$C$71*$H6*(1-Inputs!$E$54*Inputs!$B$71))*(1+$I6)*IF(Inputs!$B$29=0,1,(MAX(AR5,0)/Inputs!$B$6)^Inputs!$B$29)</f>
        <v>14993.243463620651</v>
      </c>
      <c r="AP6" s="38">
        <f>Inputs!$B$32*AR5/Inputs!$B$6</f>
        <v>10800</v>
      </c>
      <c r="AQ6" s="38">
        <f>Inputs!$B$33</f>
        <v>2500</v>
      </c>
      <c r="AR6" s="38">
        <f>MAX(AR5+AN6-AO6-AP6-AQ6,0)</f>
        <v>673706.75653637934</v>
      </c>
      <c r="AS6" s="38">
        <f>AS5-AN6</f>
        <v>349250.00000000006</v>
      </c>
      <c r="AT6" s="38">
        <f>Inputs!$B$19*(1-Inputs!$C$71*$H6)+Inputs!$B$21+Inputs!$B$71*$J6</f>
        <v>595250</v>
      </c>
      <c r="AU6" s="38">
        <f>AR6-AT6</f>
        <v>78456.75653637934</v>
      </c>
      <c r="AV6" s="38">
        <f>IF(AU6&lt;0,1,0)</f>
        <v>0</v>
      </c>
      <c r="AW6" s="38">
        <f>MAX(0,MIN(Inputs!$C$36,BB5,AX6+AY6+AZ6+Inputs!$C$6-BA5))</f>
        <v>21193.672490965808</v>
      </c>
      <c r="AX6" s="38">
        <f>Inputs!$C$27*(1+Inputs!$C$28)^($A6/12)*IF(Inputs!$B$71=1,$G6,1)*(1-Inputs!$C$71*$H6*(1-Inputs!$E$54*Inputs!$B$71))*(1+$I6)*IF(Inputs!$C$29=0,1,(MAX(BA5,0)/Inputs!$C$6)^Inputs!$C$29)</f>
        <v>12443.672490965835</v>
      </c>
      <c r="AY6" s="38">
        <f>Inputs!$C$32*BA5/Inputs!$C$6</f>
        <v>6749.9999999999991</v>
      </c>
      <c r="AZ6" s="38">
        <f>Inputs!$C$33</f>
        <v>2000</v>
      </c>
      <c r="BA6" s="38">
        <f>MAX(BA5+AW6-AX6-AY6-AZ6,0)</f>
        <v>800000</v>
      </c>
      <c r="BB6" s="38">
        <f>BB5-AW6</f>
        <v>572806.32750903419</v>
      </c>
      <c r="BC6" s="38">
        <f>Inputs!$C$19*(1-Inputs!$C$71*$H6)+Inputs!$C$21+Inputs!$B$71*$J6</f>
        <v>495250</v>
      </c>
      <c r="BD6" s="38">
        <f>BA6-BC6</f>
        <v>304750</v>
      </c>
      <c r="BE6" s="38">
        <f>IF(BD6&lt;0,1,0)</f>
        <v>0</v>
      </c>
      <c r="BF6" s="38">
        <f>MAX(0,MIN(Inputs!$D$36,BK5,BG6+BH6+BI6+Inputs!$D$6-BJ5))</f>
        <v>15612.477008822607</v>
      </c>
      <c r="BG6" s="38">
        <f>Inputs!$D$27*(1+Inputs!$D$28)^($A6/12)*IF(Inputs!$B$71=1,$G6,1)*(1-Inputs!$C$71*$H6*(1-Inputs!$E$54*Inputs!$B$71))*(1+$I6)*IF(Inputs!$D$29=0,1,(MAX(BJ5,0)/Inputs!$D$6)^Inputs!$D$29)</f>
        <v>9912.4770088226414</v>
      </c>
      <c r="BH6" s="38">
        <f>Inputs!$D$32*BJ5/Inputs!$D$6</f>
        <v>4200</v>
      </c>
      <c r="BI6" s="38">
        <f>Inputs!$D$33</f>
        <v>1500</v>
      </c>
      <c r="BJ6" s="38">
        <f>MAX(BJ5+BF6-BG6-BH6-BI6,0)</f>
        <v>880000</v>
      </c>
      <c r="BK6" s="38">
        <f>BK5-BF6</f>
        <v>894387.52299117739</v>
      </c>
      <c r="BL6" s="38">
        <f>Inputs!$D$19*(1-Inputs!$C$71*$H6)+Inputs!$D$21+Inputs!$B$71*$J6</f>
        <v>405050</v>
      </c>
      <c r="BM6" s="38">
        <f>BJ6-BL6</f>
        <v>474950</v>
      </c>
      <c r="BN6" s="38">
        <f>IF(BM6&lt;0,1,0)</f>
        <v>0</v>
      </c>
      <c r="BO6" s="38">
        <f>MAX(0,MIN(Inputs!$B$36,BT5,BP6+BQ6+BR6+Inputs!$B$6-BS5))</f>
        <v>22000</v>
      </c>
      <c r="BP6" s="38">
        <f>Inputs!$B$27*(1+Inputs!$B$28)^($A6/12)*IF(Inputs!$B$72=1,$G6,1)*(1-Inputs!$C$72*$H6*(1-Inputs!$E$54*Inputs!$B$72))*(1+$I6)*IF(Inputs!$B$29=0,1,(MAX(BS5,0)/Inputs!$B$6)^Inputs!$B$29)</f>
        <v>15048.52170856197</v>
      </c>
      <c r="BQ6" s="38">
        <f>Inputs!$B$32*BS5/Inputs!$B$6</f>
        <v>10800</v>
      </c>
      <c r="BR6" s="38">
        <f>Inputs!$B$33</f>
        <v>2500</v>
      </c>
      <c r="BS6" s="38">
        <f>MAX(BS5+BO6-BP6-BQ6-BR6,0)</f>
        <v>673651.47829143808</v>
      </c>
      <c r="BT6" s="38">
        <f>BT5-BO6</f>
        <v>349250.00000000006</v>
      </c>
      <c r="BU6" s="38">
        <f>Inputs!$B$19*(1-Inputs!$C$72*$H6)+Inputs!$B$21+Inputs!$B$72*$J6</f>
        <v>594635.41666666663</v>
      </c>
      <c r="BV6" s="38">
        <f>BS6-BU6</f>
        <v>79016.06162477145</v>
      </c>
      <c r="BW6" s="38">
        <f>IF(BV6&lt;0,1,0)</f>
        <v>0</v>
      </c>
      <c r="BX6" s="38">
        <f>MAX(0,MIN(Inputs!$C$36,CC5,BY6+BZ6+CA6+Inputs!$C$6-CB5))</f>
        <v>21239.55078125</v>
      </c>
      <c r="BY6" s="38">
        <f>Inputs!$C$27*(1+Inputs!$C$28)^($A6/12)*IF(Inputs!$B$72=1,$G6,1)*(1-Inputs!$C$72*$H6*(1-Inputs!$E$54*Inputs!$B$72))*(1+$I6)*IF(Inputs!$C$29=0,1,(MAX(CB5,0)/Inputs!$C$6)^Inputs!$C$29)</f>
        <v>12489.55078125</v>
      </c>
      <c r="BZ6" s="38">
        <f>Inputs!$C$32*CB5/Inputs!$C$6</f>
        <v>6749.9999999999991</v>
      </c>
      <c r="CA6" s="38">
        <f>Inputs!$C$33</f>
        <v>2000</v>
      </c>
      <c r="CB6" s="38">
        <f>MAX(CB5+BX6-BY6-BZ6-CA6,0)</f>
        <v>800000</v>
      </c>
      <c r="CC6" s="38">
        <f>CC5-BX6</f>
        <v>572760.44921875</v>
      </c>
      <c r="CD6" s="38">
        <f>Inputs!$C$19*(1-Inputs!$C$72*$H6)+Inputs!$C$21+Inputs!$B$72*$J6</f>
        <v>494687.5</v>
      </c>
      <c r="CE6" s="38">
        <f>CB6-CD6</f>
        <v>305312.5</v>
      </c>
      <c r="CF6" s="38">
        <f>IF(CE6&lt;0,1,0)</f>
        <v>0</v>
      </c>
      <c r="CG6" s="38">
        <f>MAX(0,MIN(Inputs!$D$36,CL5,CH6+CI6+CJ6+Inputs!$D$6-CK5))</f>
        <v>15649.023092623567</v>
      </c>
      <c r="CH6" s="38">
        <f>Inputs!$D$27*(1+Inputs!$D$28)^($A6/12)*IF(Inputs!$B$72=1,$G6,1)*(1-Inputs!$C$72*$H6*(1-Inputs!$E$54*Inputs!$B$72))*(1+$I6)*IF(Inputs!$D$29=0,1,(MAX(CK5,0)/Inputs!$D$6)^Inputs!$D$29)</f>
        <v>9949.023092623549</v>
      </c>
      <c r="CI6" s="38">
        <f>Inputs!$D$32*CK5/Inputs!$D$6</f>
        <v>4200</v>
      </c>
      <c r="CJ6" s="38">
        <f>Inputs!$D$33</f>
        <v>1500</v>
      </c>
      <c r="CK6" s="38">
        <f>MAX(CK5+CG6-CH6-CI6-CJ6,0)</f>
        <v>880000</v>
      </c>
      <c r="CL6" s="38">
        <f>CL5-CG6</f>
        <v>894350.97690737643</v>
      </c>
      <c r="CM6" s="38">
        <f>Inputs!$D$19*(1-Inputs!$C$72*$H6)+Inputs!$D$21+Inputs!$B$72*$J6</f>
        <v>404536.45833333331</v>
      </c>
      <c r="CN6" s="38">
        <f>CK6-CM6</f>
        <v>475463.54166666669</v>
      </c>
      <c r="CO6" s="38">
        <f>IF(CN6&lt;0,1,0)</f>
        <v>0</v>
      </c>
      <c r="CP6" s="38">
        <f>MAX(0,MIN(Inputs!$B$36,CU5,CQ6+CR6+CS6+Inputs!$B$6-CT5))</f>
        <v>22000</v>
      </c>
      <c r="CQ6" s="38">
        <f>Inputs!$B$27*(1+Inputs!$B$28)^($A6/12)*IF(Inputs!$B$73=1,$G6,1)*(1-Inputs!$C$73*$H6*(1-Inputs!$E$54*Inputs!$B$73))*(1+$I6)*IF(Inputs!$B$29=0,1,(MAX(CT5,0)/Inputs!$B$6)^Inputs!$B$29)</f>
        <v>14977.625501679378</v>
      </c>
      <c r="CR6" s="38">
        <f>Inputs!$B$32*CT5/Inputs!$B$6</f>
        <v>10800</v>
      </c>
      <c r="CS6" s="38">
        <f>Inputs!$B$33</f>
        <v>2500</v>
      </c>
      <c r="CT6" s="38">
        <f>MAX(CT5+CP6-CQ6-CR6-CS6,0)</f>
        <v>673722.37449832063</v>
      </c>
      <c r="CU6" s="38">
        <f>CU5-CP6</f>
        <v>349250.00000000006</v>
      </c>
      <c r="CV6" s="38">
        <f>Inputs!$B$19*(1-Inputs!$C$73*$H6)+Inputs!$B$21+Inputs!$B$73*$J6</f>
        <v>594885.41666666663</v>
      </c>
      <c r="CW6" s="38">
        <f>CT6-CV6</f>
        <v>78836.957831653999</v>
      </c>
      <c r="CX6" s="38">
        <f>IF(CW6&lt;0,1,0)</f>
        <v>0</v>
      </c>
      <c r="CY6" s="38">
        <f>MAX(0,MIN(Inputs!$C$36,DD5,CZ6+DA6+DB6+Inputs!$C$6-DC5))</f>
        <v>21180.710332121118</v>
      </c>
      <c r="CZ6" s="38">
        <f>Inputs!$C$27*(1+Inputs!$C$28)^($A6/12)*IF(Inputs!$B$73=1,$G6,1)*(1-Inputs!$C$73*$H6*(1-Inputs!$E$54*Inputs!$B$73))*(1+$I6)*IF(Inputs!$C$29=0,1,(MAX(DC5,0)/Inputs!$C$6)^Inputs!$C$29)</f>
        <v>12430.710332121078</v>
      </c>
      <c r="DA6" s="38">
        <f>Inputs!$C$32*DC5/Inputs!$C$6</f>
        <v>6749.9999999999991</v>
      </c>
      <c r="DB6" s="38">
        <f>Inputs!$C$33</f>
        <v>2000</v>
      </c>
      <c r="DC6" s="38">
        <f>MAX(DC5+CY6-CZ6-DA6-DB6,0)</f>
        <v>800000</v>
      </c>
      <c r="DD6" s="38">
        <f>DD5-CY6</f>
        <v>572819.28966787888</v>
      </c>
      <c r="DE6" s="38">
        <f>Inputs!$C$19*(1-Inputs!$C$73*$H6)+Inputs!$C$21+Inputs!$B$73*$J6</f>
        <v>494937.5</v>
      </c>
      <c r="DF6" s="38">
        <f>DC6-DE6</f>
        <v>305062.5</v>
      </c>
      <c r="DG6" s="38">
        <f>IF(DF6&lt;0,1,0)</f>
        <v>0</v>
      </c>
      <c r="DH6" s="38">
        <f>MAX(0,MIN(Inputs!$D$36,DM5,DI6+DJ6+DK6+Inputs!$D$6-DL5))</f>
        <v>15602.151511938428</v>
      </c>
      <c r="DI6" s="38">
        <f>Inputs!$D$27*(1+Inputs!$D$28)^($A6/12)*IF(Inputs!$B$73=1,$G6,1)*(1-Inputs!$C$73*$H6*(1-Inputs!$E$54*Inputs!$B$73))*(1+$I6)*IF(Inputs!$D$29=0,1,(MAX(DL5,0)/Inputs!$D$6)^Inputs!$D$29)</f>
        <v>9902.1515119384512</v>
      </c>
      <c r="DJ6" s="38">
        <f>Inputs!$D$32*DL5/Inputs!$D$6</f>
        <v>4200</v>
      </c>
      <c r="DK6" s="38">
        <f>Inputs!$D$33</f>
        <v>1500</v>
      </c>
      <c r="DL6" s="38">
        <f>MAX(DL5+DH6-DI6-DJ6-DK6,0)</f>
        <v>880000</v>
      </c>
      <c r="DM6" s="38">
        <f>DM5-DH6</f>
        <v>894397.84848806157</v>
      </c>
      <c r="DN6" s="38">
        <f>Inputs!$D$19*(1-Inputs!$C$73*$H6)+Inputs!$D$21+Inputs!$B$73*$J6</f>
        <v>404786.45833333331</v>
      </c>
      <c r="DO6" s="38">
        <f>DL6-DN6</f>
        <v>475213.54166666669</v>
      </c>
      <c r="DP6" s="38">
        <f>IF(DO6&lt;0,1,0)</f>
        <v>0</v>
      </c>
    </row>
    <row r="7" spans="1:120" x14ac:dyDescent="0.35">
      <c r="A7" s="29">
        <v>2</v>
      </c>
      <c r="B7" s="34">
        <f>EDATE(Inputs!$B$67,$A7)</f>
        <v>46327</v>
      </c>
      <c r="C7" s="35">
        <f>IF(Inputs!$E$47&lt;=0,Inputs!$E$46,Inputs!$E$44+(Inputs!$E$46-Inputs!$E$44)*MIN($A7/Inputs!$E$47,1))</f>
        <v>0.24166666666666667</v>
      </c>
      <c r="D7" s="35">
        <f>MIN(Inputs!$E$57,Inputs!$E$55*(1+Inputs!$E$56)^($A7/12))*Inputs!$E$58*(1+Inputs!$E$59)^($A7/12)/Inputs!$E$45</f>
        <v>0.4442259890901909</v>
      </c>
      <c r="E7" s="35">
        <f>MAX(Inputs!$E$44,MIN(C7,D7))</f>
        <v>0.24166666666666667</v>
      </c>
      <c r="F7" s="35">
        <f>IF(Inputs!$E$50&lt;=0,Inputs!$E$49,Inputs!$E$48+(Inputs!$E$49-Inputs!$E$48)*MIN($A7/Inputs!$E$50,1))</f>
        <v>2.5555555555555554E-2</v>
      </c>
      <c r="G7" s="36">
        <f>(Inputs!$E$41*(1-E7*Inputs!$E$51)+Inputs!$E$42*(1-F7*Inputs!$E$51))/(Inputs!$E$41*(1-Inputs!$E$44*Inputs!$E$51)+Inputs!$E$42*(1-Inputs!$E$48*Inputs!$E$51))</f>
        <v>0.98850197109067017</v>
      </c>
      <c r="H7" s="35">
        <f>IF(Inputs!$E$53&lt;=0,Inputs!$E$52,Inputs!$E$52*MIN($A7/Inputs!$E$53,1))</f>
        <v>4.1666666666666666E-3</v>
      </c>
      <c r="I7" s="35">
        <f>IF(Inputs!$E$64&lt;=0,Inputs!$E$63,Inputs!$E$62+(Inputs!$E$63-Inputs!$E$62)*MIN($A7/Inputs!$E$64,1))</f>
        <v>2.4999999999999996E-3</v>
      </c>
      <c r="J7" s="37">
        <f>(E7-Inputs!$E$44)*Inputs!$E$45/Inputs!$E$60*Inputs!$E$61</f>
        <v>499.99999999999989</v>
      </c>
      <c r="K7" s="29">
        <f t="shared" si="0"/>
        <v>0</v>
      </c>
      <c r="L7" s="29"/>
      <c r="M7" s="38">
        <f>MAX(0,MIN(Inputs!$B$36,R6,N7+O7+P7+Inputs!$B$6-Q6))</f>
        <v>22000</v>
      </c>
      <c r="N7" s="38">
        <f>Inputs!$B$27*(1+Inputs!$B$28)^($A7/12)*IF(Inputs!$B$70=1,$G7,1)*(1-Inputs!$C$70*$H7*(1-Inputs!$E$54*Inputs!$B$70))*(1+$I7)*IF(Inputs!$B$29=0,1,(MAX(Q6,0)/Inputs!$B$6)^Inputs!$B$29)</f>
        <v>15160.278872505462</v>
      </c>
      <c r="O7" s="38">
        <f>Inputs!$B$32*Q6/Inputs!$B$6</f>
        <v>10698.671569024975</v>
      </c>
      <c r="P7" s="38">
        <f>Inputs!$B$33</f>
        <v>2500</v>
      </c>
      <c r="Q7" s="38">
        <f t="shared" ref="Q7:Q70" si="1">MAX(Q6+M7-N7-O7-P7,0)</f>
        <v>667261.11131189391</v>
      </c>
      <c r="R7" s="38">
        <f t="shared" ref="R7:R70" si="2">R6-M7</f>
        <v>327250.00000000006</v>
      </c>
      <c r="S7" s="38">
        <f>Inputs!$B$19*(1-Inputs!$C$70*$H7)+Inputs!$B$21+Inputs!$B$70*$J7</f>
        <v>595000</v>
      </c>
      <c r="T7" s="38">
        <f t="shared" ref="T7:T70" si="3">Q7-S7</f>
        <v>72261.11131189391</v>
      </c>
      <c r="U7" s="38">
        <f t="shared" ref="U7:U70" si="4">IF(T7&lt;0,1,0)</f>
        <v>0</v>
      </c>
      <c r="V7" s="38">
        <f>MAX(0,MIN(Inputs!$C$36,AA6,W7+X7+Y7+Inputs!$C$6-Z6))</f>
        <v>21281.25</v>
      </c>
      <c r="W7" s="38">
        <f>Inputs!$C$27*(1+Inputs!$C$28)^($A7/12)*IF(Inputs!$B$70=1,$G7,1)*(1-Inputs!$C$70*$H7*(1-Inputs!$E$54*Inputs!$B$70))*(1+$I7)*IF(Inputs!$C$29=0,1,(MAX(Z6,0)/Inputs!$C$6)^Inputs!$C$29)</f>
        <v>12531.25</v>
      </c>
      <c r="X7" s="38">
        <f>Inputs!$C$32*Z6/Inputs!$C$6</f>
        <v>6749.9999999999991</v>
      </c>
      <c r="Y7" s="38">
        <f>Inputs!$C$33</f>
        <v>2000</v>
      </c>
      <c r="Z7" s="38">
        <f t="shared" ref="Z7:Z70" si="5">MAX(Z6+V7-W7-X7-Y7,0)</f>
        <v>800000</v>
      </c>
      <c r="AA7" s="38">
        <f t="shared" ref="AA7:AA70" si="6">AA6-V7</f>
        <v>551453.125</v>
      </c>
      <c r="AB7" s="38">
        <f>Inputs!$C$19*(1-Inputs!$C$70*$H7)+Inputs!$C$21+Inputs!$B$70*$J7</f>
        <v>495000</v>
      </c>
      <c r="AC7" s="38">
        <f t="shared" ref="AC7:AC70" si="7">Z7-AB7</f>
        <v>305000</v>
      </c>
      <c r="AD7" s="38">
        <f t="shared" ref="AD7:AD70" si="8">IF(AC7&lt;0,1,0)</f>
        <v>0</v>
      </c>
      <c r="AE7" s="38">
        <f>MAX(0,MIN(Inputs!$D$36,AJ6,AF7+AG7+AH7+Inputs!$D$6-AI6))</f>
        <v>15639.662742776214</v>
      </c>
      <c r="AF7" s="38">
        <f>Inputs!$D$27*(1+Inputs!$D$28)^($A7/12)*IF(Inputs!$B$70=1,$G7,1)*(1-Inputs!$C$70*$H7*(1-Inputs!$E$54*Inputs!$B$70))*(1+$I7)*IF(Inputs!$D$29=0,1,(MAX(AI6,0)/Inputs!$D$6)^Inputs!$D$29)</f>
        <v>9939.662742776256</v>
      </c>
      <c r="AG7" s="38">
        <f>Inputs!$D$32*AI6/Inputs!$D$6</f>
        <v>4200</v>
      </c>
      <c r="AH7" s="38">
        <f>Inputs!$D$33</f>
        <v>1500</v>
      </c>
      <c r="AI7" s="38">
        <f t="shared" ref="AI7:AI70" si="9">MAX(AI6+AE7-AF7-AG7-AH7,0)</f>
        <v>880000</v>
      </c>
      <c r="AJ7" s="38">
        <f t="shared" ref="AJ7:AJ70" si="10">AJ6-AE7</f>
        <v>878690.54376148409</v>
      </c>
      <c r="AK7" s="38">
        <f>Inputs!$D$19*(1-Inputs!$C$70*$H7)+Inputs!$D$21+Inputs!$B$70*$J7</f>
        <v>404800</v>
      </c>
      <c r="AL7" s="38">
        <f t="shared" ref="AL7:AL70" si="11">AI7-AK7</f>
        <v>475200</v>
      </c>
      <c r="AM7" s="38">
        <f t="shared" ref="AM7:AM70" si="12">IF(AL7&lt;0,1,0)</f>
        <v>0</v>
      </c>
      <c r="AN7" s="38">
        <f>MAX(0,MIN(Inputs!$B$36,AS6,AO7+AP7+AQ7+Inputs!$B$6-AR6))</f>
        <v>22000</v>
      </c>
      <c r="AO7" s="38">
        <f>Inputs!$B$27*(1+Inputs!$B$28)^($A7/12)*IF(Inputs!$B$71=1,$G7,1)*(1-Inputs!$C$71*$H7*(1-Inputs!$E$54*Inputs!$B$71))*(1+$I7)*IF(Inputs!$B$29=0,1,(MAX(AR6,0)/Inputs!$B$6)^Inputs!$B$29)</f>
        <v>14985.965547755892</v>
      </c>
      <c r="AP7" s="38">
        <f>Inputs!$B$32*AR6/Inputs!$B$6</f>
        <v>10700.048486166024</v>
      </c>
      <c r="AQ7" s="38">
        <f>Inputs!$B$33</f>
        <v>2500</v>
      </c>
      <c r="AR7" s="38">
        <f t="shared" ref="AR7:AR70" si="13">MAX(AR6+AN7-AO7-AP7-AQ7,0)</f>
        <v>667520.74250245735</v>
      </c>
      <c r="AS7" s="38">
        <f t="shared" ref="AS7:AS70" si="14">AS6-AN7</f>
        <v>327250.00000000006</v>
      </c>
      <c r="AT7" s="38">
        <f>Inputs!$B$19*(1-Inputs!$C$71*$H7)+Inputs!$B$21+Inputs!$B$71*$J7</f>
        <v>595500</v>
      </c>
      <c r="AU7" s="38">
        <f t="shared" ref="AU7:AU70" si="15">AR7-AT7</f>
        <v>72020.742502457346</v>
      </c>
      <c r="AV7" s="38">
        <f t="shared" ref="AV7:AV70" si="16">IF(AU7&lt;0,1,0)</f>
        <v>0</v>
      </c>
      <c r="AW7" s="38">
        <f>MAX(0,MIN(Inputs!$C$36,BB6,AX7+AY7+AZ7+Inputs!$C$6-BA6))</f>
        <v>21137.165325229988</v>
      </c>
      <c r="AX7" s="38">
        <f>Inputs!$C$27*(1+Inputs!$C$28)^($A7/12)*IF(Inputs!$B$71=1,$G7,1)*(1-Inputs!$C$71*$H7*(1-Inputs!$E$54*Inputs!$B$71))*(1+$I7)*IF(Inputs!$C$29=0,1,(MAX(BA6,0)/Inputs!$C$6)^Inputs!$C$29)</f>
        <v>12387.16532522996</v>
      </c>
      <c r="AY7" s="38">
        <f>Inputs!$C$32*BA6/Inputs!$C$6</f>
        <v>6749.9999999999991</v>
      </c>
      <c r="AZ7" s="38">
        <f>Inputs!$C$33</f>
        <v>2000</v>
      </c>
      <c r="BA7" s="38">
        <f t="shared" ref="BA7:BA70" si="17">MAX(BA6+AW7-AX7-AY7-AZ7,0)</f>
        <v>800000</v>
      </c>
      <c r="BB7" s="38">
        <f t="shared" ref="BB7:BB70" si="18">BB6-AW7</f>
        <v>551669.1621838042</v>
      </c>
      <c r="BC7" s="38">
        <f>Inputs!$C$19*(1-Inputs!$C$71*$H7)+Inputs!$C$21+Inputs!$B$71*$J7</f>
        <v>495500</v>
      </c>
      <c r="BD7" s="38">
        <f t="shared" ref="BD7:BD70" si="19">BA7-BC7</f>
        <v>304500</v>
      </c>
      <c r="BE7" s="38">
        <f t="shared" ref="BE7:BE70" si="20">IF(BD7&lt;0,1,0)</f>
        <v>0</v>
      </c>
      <c r="BF7" s="38">
        <f>MAX(0,MIN(Inputs!$D$36,BK6,BG7+BH7+BI7+Inputs!$D$6-BJ6))</f>
        <v>15525.376213210868</v>
      </c>
      <c r="BG7" s="38">
        <f>Inputs!$D$27*(1+Inputs!$D$28)^($A7/12)*IF(Inputs!$B$71=1,$G7,1)*(1-Inputs!$C$71*$H7*(1-Inputs!$E$54*Inputs!$B$71))*(1+$I7)*IF(Inputs!$D$29=0,1,(MAX(BJ6,0)/Inputs!$D$6)^Inputs!$D$29)</f>
        <v>9825.3762132108259</v>
      </c>
      <c r="BH7" s="38">
        <f>Inputs!$D$32*BJ6/Inputs!$D$6</f>
        <v>4200</v>
      </c>
      <c r="BI7" s="38">
        <f>Inputs!$D$33</f>
        <v>1500</v>
      </c>
      <c r="BJ7" s="38">
        <f t="shared" ref="BJ7:BJ70" si="21">MAX(BJ6+BF7-BG7-BH7-BI7,0)</f>
        <v>880000</v>
      </c>
      <c r="BK7" s="38">
        <f t="shared" ref="BK7:BK70" si="22">BK6-BF7</f>
        <v>878862.14677796653</v>
      </c>
      <c r="BL7" s="38">
        <f>Inputs!$D$19*(1-Inputs!$C$71*$H7)+Inputs!$D$21+Inputs!$B$71*$J7</f>
        <v>405300</v>
      </c>
      <c r="BM7" s="38">
        <f t="shared" ref="BM7:BM70" si="23">BJ7-BL7</f>
        <v>474700</v>
      </c>
      <c r="BN7" s="38">
        <f t="shared" ref="BN7:BN70" si="24">IF(BM7&lt;0,1,0)</f>
        <v>0</v>
      </c>
      <c r="BO7" s="38">
        <f>MAX(0,MIN(Inputs!$B$36,BT6,BP7+BQ7+BR7+Inputs!$B$6-BS6))</f>
        <v>22000</v>
      </c>
      <c r="BP7" s="38">
        <f>Inputs!$B$27*(1+Inputs!$B$28)^($A7/12)*IF(Inputs!$B$72=1,$G7,1)*(1-Inputs!$C$72*$H7*(1-Inputs!$E$54*Inputs!$B$72))*(1+$I7)*IF(Inputs!$B$29=0,1,(MAX(BS6,0)/Inputs!$B$6)^Inputs!$B$29)</f>
        <v>15097.111043870022</v>
      </c>
      <c r="BQ7" s="38">
        <f>Inputs!$B$32*BS6/Inputs!$B$6</f>
        <v>10699.170537569898</v>
      </c>
      <c r="BR7" s="38">
        <f>Inputs!$B$33</f>
        <v>2500</v>
      </c>
      <c r="BS7" s="38">
        <f t="shared" ref="BS7:BS70" si="25">MAX(BS6+BO7-BP7-BQ7-BR7,0)</f>
        <v>667355.19670999818</v>
      </c>
      <c r="BT7" s="38">
        <f t="shared" ref="BT7:BT70" si="26">BT6-BO7</f>
        <v>327250.00000000006</v>
      </c>
      <c r="BU7" s="38">
        <f>Inputs!$B$19*(1-Inputs!$C$72*$H7)+Inputs!$B$21+Inputs!$B$72*$J7</f>
        <v>594270.83333333337</v>
      </c>
      <c r="BV7" s="38">
        <f t="shared" ref="BV7:BV70" si="27">BS7-BU7</f>
        <v>73084.363376664813</v>
      </c>
      <c r="BW7" s="38">
        <f t="shared" ref="BW7:BW70" si="28">IF(BV7&lt;0,1,0)</f>
        <v>0</v>
      </c>
      <c r="BX7" s="38">
        <f>MAX(0,MIN(Inputs!$C$36,CC6,BY7+BZ7+CA7+Inputs!$C$6-CB6))</f>
        <v>21229.036458333372</v>
      </c>
      <c r="BY7" s="38">
        <f>Inputs!$C$27*(1+Inputs!$C$28)^($A7/12)*IF(Inputs!$B$72=1,$G7,1)*(1-Inputs!$C$72*$H7*(1-Inputs!$E$54*Inputs!$B$72))*(1+$I7)*IF(Inputs!$C$29=0,1,(MAX(CB6,0)/Inputs!$C$6)^Inputs!$C$29)</f>
        <v>12479.036458333332</v>
      </c>
      <c r="BZ7" s="38">
        <f>Inputs!$C$32*CB6/Inputs!$C$6</f>
        <v>6749.9999999999991</v>
      </c>
      <c r="CA7" s="38">
        <f>Inputs!$C$33</f>
        <v>2000</v>
      </c>
      <c r="CB7" s="38">
        <f t="shared" ref="CB7:CB70" si="29">MAX(CB6+BX7-BY7-BZ7-CA7,0)</f>
        <v>800000</v>
      </c>
      <c r="CC7" s="38">
        <f t="shared" ref="CC7:CC70" si="30">CC6-BX7</f>
        <v>551531.41276041663</v>
      </c>
      <c r="CD7" s="38">
        <f>Inputs!$C$19*(1-Inputs!$C$72*$H7)+Inputs!$C$21+Inputs!$B$72*$J7</f>
        <v>494375</v>
      </c>
      <c r="CE7" s="38">
        <f t="shared" ref="CE7:CE70" si="31">CB7-CD7</f>
        <v>305625</v>
      </c>
      <c r="CF7" s="38">
        <f t="shared" ref="CF7:CF70" si="32">IF(CE7&lt;0,1,0)</f>
        <v>0</v>
      </c>
      <c r="CG7" s="38">
        <f>MAX(0,MIN(Inputs!$D$36,CL6,CH7+CI7+CJ7+Inputs!$D$6-CK6))</f>
        <v>15598.247481347993</v>
      </c>
      <c r="CH7" s="38">
        <f>Inputs!$D$27*(1+Inputs!$D$28)^($A7/12)*IF(Inputs!$B$72=1,$G7,1)*(1-Inputs!$C$72*$H7*(1-Inputs!$E$54*Inputs!$B$72))*(1+$I7)*IF(Inputs!$D$29=0,1,(MAX(CK6,0)/Inputs!$D$6)^Inputs!$D$29)</f>
        <v>9898.2474813480221</v>
      </c>
      <c r="CI7" s="38">
        <f>Inputs!$D$32*CK6/Inputs!$D$6</f>
        <v>4200</v>
      </c>
      <c r="CJ7" s="38">
        <f>Inputs!$D$33</f>
        <v>1500</v>
      </c>
      <c r="CK7" s="38">
        <f t="shared" ref="CK7:CK70" si="33">MAX(CK6+CG7-CH7-CI7-CJ7,0)</f>
        <v>880000</v>
      </c>
      <c r="CL7" s="38">
        <f t="shared" ref="CL7:CL70" si="34">CL6-CG7</f>
        <v>878752.72942602844</v>
      </c>
      <c r="CM7" s="38">
        <f>Inputs!$D$19*(1-Inputs!$C$72*$H7)+Inputs!$D$21+Inputs!$B$72*$J7</f>
        <v>404272.91666666669</v>
      </c>
      <c r="CN7" s="38">
        <f t="shared" ref="CN7:CN70" si="35">CK7-CM7</f>
        <v>475727.08333333331</v>
      </c>
      <c r="CO7" s="38">
        <f t="shared" ref="CO7:CO70" si="36">IF(CN7&lt;0,1,0)</f>
        <v>0</v>
      </c>
      <c r="CP7" s="38">
        <f>MAX(0,MIN(Inputs!$B$36,CU6,CQ7+CR7+CS7+Inputs!$B$6-CT6))</f>
        <v>22000</v>
      </c>
      <c r="CQ7" s="38">
        <f>Inputs!$B$27*(1+Inputs!$B$28)^($A7/12)*IF(Inputs!$B$73=1,$G7,1)*(1-Inputs!$C$73*$H7*(1-Inputs!$E$54*Inputs!$B$73))*(1+$I7)*IF(Inputs!$B$29=0,1,(MAX(CT6,0)/Inputs!$B$6)^Inputs!$B$29)</f>
        <v>14954.744786198067</v>
      </c>
      <c r="CR7" s="38">
        <f>Inputs!$B$32*CT6/Inputs!$B$6</f>
        <v>10700.296536149797</v>
      </c>
      <c r="CS7" s="38">
        <f>Inputs!$B$33</f>
        <v>2500</v>
      </c>
      <c r="CT7" s="38">
        <f t="shared" ref="CT7:CT70" si="37">MAX(CT6+CP7-CQ7-CR7-CS7,0)</f>
        <v>667567.3331759728</v>
      </c>
      <c r="CU7" s="38">
        <f t="shared" ref="CU7:CU70" si="38">CU6-CP7</f>
        <v>327250.00000000006</v>
      </c>
      <c r="CV7" s="38">
        <f>Inputs!$B$19*(1-Inputs!$C$73*$H7)+Inputs!$B$21+Inputs!$B$73*$J7</f>
        <v>594770.83333333337</v>
      </c>
      <c r="CW7" s="38">
        <f t="shared" ref="CW7:CW70" si="39">CT7-CV7</f>
        <v>72796.49984263943</v>
      </c>
      <c r="CX7" s="38">
        <f t="shared" ref="CX7:CX70" si="40">IF(CW7&lt;0,1,0)</f>
        <v>0</v>
      </c>
      <c r="CY7" s="38">
        <f>MAX(0,MIN(Inputs!$C$36,DD6,CZ7+DA7+DB7+Inputs!$C$6-DC6))</f>
        <v>21111.358730802429</v>
      </c>
      <c r="CZ7" s="38">
        <f>Inputs!$C$27*(1+Inputs!$C$28)^($A7/12)*IF(Inputs!$B$73=1,$G7,1)*(1-Inputs!$C$73*$H7*(1-Inputs!$E$54*Inputs!$B$73))*(1+$I7)*IF(Inputs!$C$29=0,1,(MAX(DC6,0)/Inputs!$C$6)^Inputs!$C$29)</f>
        <v>12361.358730802398</v>
      </c>
      <c r="DA7" s="38">
        <f>Inputs!$C$32*DC6/Inputs!$C$6</f>
        <v>6749.9999999999991</v>
      </c>
      <c r="DB7" s="38">
        <f>Inputs!$C$33</f>
        <v>2000</v>
      </c>
      <c r="DC7" s="38">
        <f t="shared" ref="DC7:DC70" si="41">MAX(DC6+CY7-CZ7-DA7-DB7,0)</f>
        <v>800000</v>
      </c>
      <c r="DD7" s="38">
        <f t="shared" ref="DD7:DD70" si="42">DD6-CY7</f>
        <v>551707.93093707645</v>
      </c>
      <c r="DE7" s="38">
        <f>Inputs!$C$19*(1-Inputs!$C$73*$H7)+Inputs!$C$21+Inputs!$B$73*$J7</f>
        <v>494875</v>
      </c>
      <c r="DF7" s="38">
        <f t="shared" ref="DF7:DF70" si="43">DC7-DE7</f>
        <v>305125</v>
      </c>
      <c r="DG7" s="38">
        <f t="shared" ref="DG7:DG70" si="44">IF(DF7&lt;0,1,0)</f>
        <v>0</v>
      </c>
      <c r="DH7" s="38">
        <f>MAX(0,MIN(Inputs!$D$36,DM6,DI7+DJ7+DK7+Inputs!$D$6-DL6))</f>
        <v>15504.906679433305</v>
      </c>
      <c r="DI7" s="38">
        <f>Inputs!$D$27*(1+Inputs!$D$28)^($A7/12)*IF(Inputs!$B$73=1,$G7,1)*(1-Inputs!$C$73*$H7*(1-Inputs!$E$54*Inputs!$B$73))*(1+$I7)*IF(Inputs!$D$29=0,1,(MAX(DL6,0)/Inputs!$D$6)^Inputs!$D$29)</f>
        <v>9804.9066794333048</v>
      </c>
      <c r="DJ7" s="38">
        <f>Inputs!$D$32*DL6/Inputs!$D$6</f>
        <v>4200</v>
      </c>
      <c r="DK7" s="38">
        <f>Inputs!$D$33</f>
        <v>1500</v>
      </c>
      <c r="DL7" s="38">
        <f t="shared" ref="DL7:DL70" si="45">MAX(DL6+DH7-DI7-DJ7-DK7,0)</f>
        <v>880000</v>
      </c>
      <c r="DM7" s="38">
        <f t="shared" ref="DM7:DM70" si="46">DM6-DH7</f>
        <v>878892.94180862827</v>
      </c>
      <c r="DN7" s="38">
        <f>Inputs!$D$19*(1-Inputs!$C$73*$H7)+Inputs!$D$21+Inputs!$B$73*$J7</f>
        <v>404772.91666666669</v>
      </c>
      <c r="DO7" s="38">
        <f t="shared" ref="DO7:DO70" si="47">DL7-DN7</f>
        <v>475227.08333333331</v>
      </c>
      <c r="DP7" s="38">
        <f t="shared" ref="DP7:DP70" si="48">IF(DO7&lt;0,1,0)</f>
        <v>0</v>
      </c>
    </row>
    <row r="8" spans="1:120" x14ac:dyDescent="0.35">
      <c r="A8" s="29">
        <v>3</v>
      </c>
      <c r="B8" s="34">
        <f>EDATE(Inputs!$B$67,$A8)</f>
        <v>46357</v>
      </c>
      <c r="C8" s="35">
        <f>IF(Inputs!$E$47&lt;=0,Inputs!$E$46,Inputs!$E$44+(Inputs!$E$46-Inputs!$E$44)*MIN($A8/Inputs!$E$47,1))</f>
        <v>0.26250000000000001</v>
      </c>
      <c r="D8" s="35">
        <f>MIN(Inputs!$E$57,Inputs!$E$55*(1+Inputs!$E$56)^($A8/12))*Inputs!$E$58*(1+Inputs!$E$59)^($A8/12)/Inputs!$E$45</f>
        <v>0.4568580684936564</v>
      </c>
      <c r="E8" s="35">
        <f>MAX(Inputs!$E$44,MIN(C8,D8))</f>
        <v>0.26250000000000001</v>
      </c>
      <c r="F8" s="35">
        <f>IF(Inputs!$E$50&lt;=0,Inputs!$E$49,Inputs!$E$48+(Inputs!$E$49-Inputs!$E$48)*MIN($A8/Inputs!$E$50,1))</f>
        <v>2.8333333333333332E-2</v>
      </c>
      <c r="G8" s="36">
        <f>(Inputs!$E$41*(1-E8*Inputs!$E$51)+Inputs!$E$42*(1-F8*Inputs!$E$51))/(Inputs!$E$41*(1-Inputs!$E$44*Inputs!$E$51)+Inputs!$E$42*(1-Inputs!$E$48*Inputs!$E$51))</f>
        <v>0.98275295663600526</v>
      </c>
      <c r="H8" s="35">
        <f>IF(Inputs!$E$53&lt;=0,Inputs!$E$52,Inputs!$E$52*MIN($A8/Inputs!$E$53,1))</f>
        <v>6.2500000000000003E-3</v>
      </c>
      <c r="I8" s="35">
        <f>IF(Inputs!$E$64&lt;=0,Inputs!$E$63,Inputs!$E$62+(Inputs!$E$63-Inputs!$E$62)*MIN($A8/Inputs!$E$64,1))</f>
        <v>3.7499999999999999E-3</v>
      </c>
      <c r="J8" s="37">
        <f>(E8-Inputs!$E$44)*Inputs!$E$45/Inputs!$E$60*Inputs!$E$61</f>
        <v>750</v>
      </c>
      <c r="K8" s="29">
        <f t="shared" si="0"/>
        <v>0</v>
      </c>
      <c r="L8" s="29"/>
      <c r="M8" s="38">
        <f>MAX(0,MIN(Inputs!$B$36,R7,N8+O8+P8+Inputs!$B$6-Q7))</f>
        <v>22000</v>
      </c>
      <c r="N8" s="38">
        <f>Inputs!$B$27*(1+Inputs!$B$28)^($A8/12)*IF(Inputs!$B$70=1,$G8,1)*(1-Inputs!$C$70*$H8*(1-Inputs!$E$54*Inputs!$B$70))*(1+$I8)*IF(Inputs!$B$29=0,1,(MAX(Q7,0)/Inputs!$B$6)^Inputs!$B$29)</f>
        <v>15241.023829622223</v>
      </c>
      <c r="O8" s="38">
        <f>Inputs!$B$32*Q7/Inputs!$B$6</f>
        <v>10597.676473777139</v>
      </c>
      <c r="P8" s="38">
        <f>Inputs!$B$33</f>
        <v>2500</v>
      </c>
      <c r="Q8" s="38">
        <f t="shared" si="1"/>
        <v>660922.41100849456</v>
      </c>
      <c r="R8" s="38">
        <f t="shared" si="2"/>
        <v>305250.00000000006</v>
      </c>
      <c r="S8" s="38">
        <f>Inputs!$B$19*(1-Inputs!$C$70*$H8)+Inputs!$B$21+Inputs!$B$70*$J8</f>
        <v>595000</v>
      </c>
      <c r="T8" s="38">
        <f t="shared" si="3"/>
        <v>65922.411008494557</v>
      </c>
      <c r="U8" s="38">
        <f t="shared" si="4"/>
        <v>0</v>
      </c>
      <c r="V8" s="38">
        <f>MAX(0,MIN(Inputs!$C$36,AA7,W8+X8+Y8+Inputs!$C$6-Z7))</f>
        <v>21296.875</v>
      </c>
      <c r="W8" s="38">
        <f>Inputs!$C$27*(1+Inputs!$C$28)^($A8/12)*IF(Inputs!$B$70=1,$G8,1)*(1-Inputs!$C$70*$H8*(1-Inputs!$E$54*Inputs!$B$70))*(1+$I8)*IF(Inputs!$C$29=0,1,(MAX(Z7,0)/Inputs!$C$6)^Inputs!$C$29)</f>
        <v>12546.874999999998</v>
      </c>
      <c r="X8" s="38">
        <f>Inputs!$C$32*Z7/Inputs!$C$6</f>
        <v>6749.9999999999991</v>
      </c>
      <c r="Y8" s="38">
        <f>Inputs!$C$33</f>
        <v>2000</v>
      </c>
      <c r="Z8" s="38">
        <f t="shared" si="5"/>
        <v>800000</v>
      </c>
      <c r="AA8" s="38">
        <f t="shared" si="6"/>
        <v>530156.25</v>
      </c>
      <c r="AB8" s="38">
        <f>Inputs!$C$19*(1-Inputs!$C$70*$H8)+Inputs!$C$21+Inputs!$B$70*$J8</f>
        <v>495000</v>
      </c>
      <c r="AC8" s="38">
        <f t="shared" si="7"/>
        <v>305000</v>
      </c>
      <c r="AD8" s="38">
        <f t="shared" si="8"/>
        <v>0</v>
      </c>
      <c r="AE8" s="38">
        <f>MAX(0,MIN(Inputs!$D$36,AJ7,AF8+AG8+AH8+Inputs!$D$6-AI7))</f>
        <v>15609.607644448173</v>
      </c>
      <c r="AF8" s="38">
        <f>Inputs!$D$27*(1+Inputs!$D$28)^($A8/12)*IF(Inputs!$B$70=1,$G8,1)*(1-Inputs!$C$70*$H8*(1-Inputs!$E$54*Inputs!$B$70))*(1+$I8)*IF(Inputs!$D$29=0,1,(MAX(AI7,0)/Inputs!$D$6)^Inputs!$D$29)</f>
        <v>9909.6076444481405</v>
      </c>
      <c r="AG8" s="38">
        <f>Inputs!$D$32*AI7/Inputs!$D$6</f>
        <v>4200</v>
      </c>
      <c r="AH8" s="38">
        <f>Inputs!$D$33</f>
        <v>1500</v>
      </c>
      <c r="AI8" s="38">
        <f t="shared" si="9"/>
        <v>880000</v>
      </c>
      <c r="AJ8" s="38">
        <f t="shared" si="10"/>
        <v>863080.93611703592</v>
      </c>
      <c r="AK8" s="38">
        <f>Inputs!$D$19*(1-Inputs!$C$70*$H8)+Inputs!$D$21+Inputs!$B$70*$J8</f>
        <v>404800</v>
      </c>
      <c r="AL8" s="38">
        <f t="shared" si="11"/>
        <v>475200</v>
      </c>
      <c r="AM8" s="38">
        <f t="shared" si="12"/>
        <v>0</v>
      </c>
      <c r="AN8" s="38">
        <f>MAX(0,MIN(Inputs!$B$36,AS7,AO8+AP8+AQ8+Inputs!$B$6-AR7))</f>
        <v>22000</v>
      </c>
      <c r="AO8" s="38">
        <f>Inputs!$B$27*(1+Inputs!$B$28)^($A8/12)*IF(Inputs!$B$71=1,$G8,1)*(1-Inputs!$C$71*$H8*(1-Inputs!$E$54*Inputs!$B$71))*(1+$I8)*IF(Inputs!$B$29=0,1,(MAX(AR7,0)/Inputs!$B$6)^Inputs!$B$29)</f>
        <v>14978.161230721053</v>
      </c>
      <c r="AP8" s="38">
        <f>Inputs!$B$32*AR7/Inputs!$B$6</f>
        <v>10601.800027980205</v>
      </c>
      <c r="AQ8" s="38">
        <f>Inputs!$B$33</f>
        <v>2500</v>
      </c>
      <c r="AR8" s="38">
        <f t="shared" si="13"/>
        <v>661440.78124375606</v>
      </c>
      <c r="AS8" s="38">
        <f t="shared" si="14"/>
        <v>305250.00000000006</v>
      </c>
      <c r="AT8" s="38">
        <f>Inputs!$B$19*(1-Inputs!$C$71*$H8)+Inputs!$B$21+Inputs!$B$71*$J8</f>
        <v>595750</v>
      </c>
      <c r="AU8" s="38">
        <f t="shared" si="15"/>
        <v>65690.781243756064</v>
      </c>
      <c r="AV8" s="38">
        <f t="shared" si="16"/>
        <v>0</v>
      </c>
      <c r="AW8" s="38">
        <f>MAX(0,MIN(Inputs!$C$36,BB7,AX8+AY8+AZ8+Inputs!$C$6-BA7))</f>
        <v>21080.478502792423</v>
      </c>
      <c r="AX8" s="38">
        <f>Inputs!$C$27*(1+Inputs!$C$28)^($A8/12)*IF(Inputs!$B$71=1,$G8,1)*(1-Inputs!$C$71*$H8*(1-Inputs!$E$54*Inputs!$B$71))*(1+$I8)*IF(Inputs!$C$29=0,1,(MAX(BA7,0)/Inputs!$C$6)^Inputs!$C$29)</f>
        <v>12330.478502792377</v>
      </c>
      <c r="AY8" s="38">
        <f>Inputs!$C$32*BA7/Inputs!$C$6</f>
        <v>6749.9999999999991</v>
      </c>
      <c r="AZ8" s="38">
        <f>Inputs!$C$33</f>
        <v>2000</v>
      </c>
      <c r="BA8" s="38">
        <f t="shared" si="17"/>
        <v>800000</v>
      </c>
      <c r="BB8" s="38">
        <f t="shared" si="18"/>
        <v>530588.68368101178</v>
      </c>
      <c r="BC8" s="38">
        <f>Inputs!$C$19*(1-Inputs!$C$71*$H8)+Inputs!$C$21+Inputs!$B$71*$J8</f>
        <v>495750</v>
      </c>
      <c r="BD8" s="38">
        <f t="shared" si="19"/>
        <v>304250</v>
      </c>
      <c r="BE8" s="38">
        <f t="shared" si="20"/>
        <v>0</v>
      </c>
      <c r="BF8" s="38">
        <f>MAX(0,MIN(Inputs!$D$36,BK7,BG8+BH8+BI8+Inputs!$D$6-BJ7))</f>
        <v>15438.696211684146</v>
      </c>
      <c r="BG8" s="38">
        <f>Inputs!$D$27*(1+Inputs!$D$28)^($A8/12)*IF(Inputs!$B$71=1,$G8,1)*(1-Inputs!$C$71*$H8*(1-Inputs!$E$54*Inputs!$B$71))*(1+$I8)*IF(Inputs!$D$29=0,1,(MAX(BJ7,0)/Inputs!$D$6)^Inputs!$D$29)</f>
        <v>9738.6962116841678</v>
      </c>
      <c r="BH8" s="38">
        <f>Inputs!$D$32*BJ7/Inputs!$D$6</f>
        <v>4200</v>
      </c>
      <c r="BI8" s="38">
        <f>Inputs!$D$33</f>
        <v>1500</v>
      </c>
      <c r="BJ8" s="38">
        <f t="shared" si="21"/>
        <v>880000</v>
      </c>
      <c r="BK8" s="38">
        <f t="shared" si="22"/>
        <v>863423.45056628238</v>
      </c>
      <c r="BL8" s="38">
        <f>Inputs!$D$19*(1-Inputs!$C$71*$H8)+Inputs!$D$21+Inputs!$B$71*$J8</f>
        <v>405550</v>
      </c>
      <c r="BM8" s="38">
        <f t="shared" si="23"/>
        <v>474450</v>
      </c>
      <c r="BN8" s="38">
        <f t="shared" si="24"/>
        <v>0</v>
      </c>
      <c r="BO8" s="38">
        <f>MAX(0,MIN(Inputs!$B$36,BT7,BP8+BQ8+BR8+Inputs!$B$6-BS7))</f>
        <v>22000</v>
      </c>
      <c r="BP8" s="38">
        <f>Inputs!$B$27*(1+Inputs!$B$28)^($A8/12)*IF(Inputs!$B$72=1,$G8,1)*(1-Inputs!$C$72*$H8*(1-Inputs!$E$54*Inputs!$B$72))*(1+$I8)*IF(Inputs!$B$29=0,1,(MAX(BS7,0)/Inputs!$B$6)^Inputs!$B$29)</f>
        <v>15145.767430687083</v>
      </c>
      <c r="BQ8" s="38">
        <f>Inputs!$B$32*BS7/Inputs!$B$6</f>
        <v>10599.170771276442</v>
      </c>
      <c r="BR8" s="38">
        <f>Inputs!$B$33</f>
        <v>2500</v>
      </c>
      <c r="BS8" s="38">
        <f t="shared" si="25"/>
        <v>661110.25850803463</v>
      </c>
      <c r="BT8" s="38">
        <f t="shared" si="26"/>
        <v>305250.00000000006</v>
      </c>
      <c r="BU8" s="38">
        <f>Inputs!$B$19*(1-Inputs!$C$72*$H8)+Inputs!$B$21+Inputs!$B$72*$J8</f>
        <v>593906.25</v>
      </c>
      <c r="BV8" s="38">
        <f t="shared" si="27"/>
        <v>67204.008508034633</v>
      </c>
      <c r="BW8" s="38">
        <f t="shared" si="28"/>
        <v>0</v>
      </c>
      <c r="BX8" s="38">
        <f>MAX(0,MIN(Inputs!$C$36,CC7,BY8+BZ8+CA8+Inputs!$C$6-CB7))</f>
        <v>21218.45703125</v>
      </c>
      <c r="BY8" s="38">
        <f>Inputs!$C$27*(1+Inputs!$C$28)^($A8/12)*IF(Inputs!$B$72=1,$G8,1)*(1-Inputs!$C$72*$H8*(1-Inputs!$E$54*Inputs!$B$72))*(1+$I8)*IF(Inputs!$C$29=0,1,(MAX(CB7,0)/Inputs!$C$6)^Inputs!$C$29)</f>
        <v>12468.457031249998</v>
      </c>
      <c r="BZ8" s="38">
        <f>Inputs!$C$32*CB7/Inputs!$C$6</f>
        <v>6749.9999999999991</v>
      </c>
      <c r="CA8" s="38">
        <f>Inputs!$C$33</f>
        <v>2000</v>
      </c>
      <c r="CB8" s="38">
        <f t="shared" si="29"/>
        <v>800000</v>
      </c>
      <c r="CC8" s="38">
        <f t="shared" si="30"/>
        <v>530312.95572916663</v>
      </c>
      <c r="CD8" s="38">
        <f>Inputs!$C$19*(1-Inputs!$C$72*$H8)+Inputs!$C$21+Inputs!$B$72*$J8</f>
        <v>494062.5</v>
      </c>
      <c r="CE8" s="38">
        <f t="shared" si="31"/>
        <v>305937.5</v>
      </c>
      <c r="CF8" s="38">
        <f t="shared" si="32"/>
        <v>0</v>
      </c>
      <c r="CG8" s="38">
        <f>MAX(0,MIN(Inputs!$D$36,CL7,CH8+CI8+CJ8+Inputs!$D$6-CK7))</f>
        <v>15547.672596670338</v>
      </c>
      <c r="CH8" s="38">
        <f>Inputs!$D$27*(1+Inputs!$D$28)^($A8/12)*IF(Inputs!$B$72=1,$G8,1)*(1-Inputs!$C$72*$H8*(1-Inputs!$E$54*Inputs!$B$72))*(1+$I8)*IF(Inputs!$D$29=0,1,(MAX(CK7,0)/Inputs!$D$6)^Inputs!$D$29)</f>
        <v>9847.6725966703398</v>
      </c>
      <c r="CI8" s="38">
        <f>Inputs!$D$32*CK7/Inputs!$D$6</f>
        <v>4200</v>
      </c>
      <c r="CJ8" s="38">
        <f>Inputs!$D$33</f>
        <v>1500</v>
      </c>
      <c r="CK8" s="38">
        <f t="shared" si="33"/>
        <v>880000</v>
      </c>
      <c r="CL8" s="38">
        <f t="shared" si="34"/>
        <v>863205.0568293581</v>
      </c>
      <c r="CM8" s="38">
        <f>Inputs!$D$19*(1-Inputs!$C$72*$H8)+Inputs!$D$21+Inputs!$B$72*$J8</f>
        <v>404009.375</v>
      </c>
      <c r="CN8" s="38">
        <f t="shared" si="35"/>
        <v>475990.625</v>
      </c>
      <c r="CO8" s="38">
        <f t="shared" si="36"/>
        <v>0</v>
      </c>
      <c r="CP8" s="38">
        <f>MAX(0,MIN(Inputs!$B$36,CU7,CQ8+CR8+CS8+Inputs!$B$6-CT7))</f>
        <v>22000</v>
      </c>
      <c r="CQ8" s="38">
        <f>Inputs!$B$27*(1+Inputs!$B$28)^($A8/12)*IF(Inputs!$B$73=1,$G8,1)*(1-Inputs!$C$73*$H8*(1-Inputs!$E$54*Inputs!$B$73))*(1+$I8)*IF(Inputs!$B$29=0,1,(MAX(CT7,0)/Inputs!$B$6)^Inputs!$B$29)</f>
        <v>14931.354476875049</v>
      </c>
      <c r="CR8" s="38">
        <f>Inputs!$B$32*CT7/Inputs!$B$6</f>
        <v>10602.539997500746</v>
      </c>
      <c r="CS8" s="38">
        <f>Inputs!$B$33</f>
        <v>2500</v>
      </c>
      <c r="CT8" s="38">
        <f t="shared" si="37"/>
        <v>661533.43870159704</v>
      </c>
      <c r="CU8" s="38">
        <f t="shared" si="38"/>
        <v>305250.00000000006</v>
      </c>
      <c r="CV8" s="38">
        <f>Inputs!$B$19*(1-Inputs!$C$73*$H8)+Inputs!$B$21+Inputs!$B$73*$J8</f>
        <v>594656.25</v>
      </c>
      <c r="CW8" s="38">
        <f t="shared" si="39"/>
        <v>66877.188701597042</v>
      </c>
      <c r="CX8" s="38">
        <f t="shared" si="40"/>
        <v>0</v>
      </c>
      <c r="CY8" s="38">
        <f>MAX(0,MIN(Inputs!$C$36,DD7,CZ8+DA8+DB8+Inputs!$C$6-DC7))</f>
        <v>21041.945757471141</v>
      </c>
      <c r="CZ8" s="38">
        <f>Inputs!$C$27*(1+Inputs!$C$28)^($A8/12)*IF(Inputs!$B$73=1,$G8,1)*(1-Inputs!$C$73*$H8*(1-Inputs!$E$54*Inputs!$B$73))*(1+$I8)*IF(Inputs!$C$29=0,1,(MAX(DC7,0)/Inputs!$C$6)^Inputs!$C$29)</f>
        <v>12291.945757471151</v>
      </c>
      <c r="DA8" s="38">
        <f>Inputs!$C$32*DC7/Inputs!$C$6</f>
        <v>6749.9999999999991</v>
      </c>
      <c r="DB8" s="38">
        <f>Inputs!$C$33</f>
        <v>2000</v>
      </c>
      <c r="DC8" s="38">
        <f t="shared" si="41"/>
        <v>800000</v>
      </c>
      <c r="DD8" s="38">
        <f t="shared" si="42"/>
        <v>530665.98517960531</v>
      </c>
      <c r="DE8" s="38">
        <f>Inputs!$C$19*(1-Inputs!$C$73*$H8)+Inputs!$C$21+Inputs!$B$73*$J8</f>
        <v>494812.5</v>
      </c>
      <c r="DF8" s="38">
        <f t="shared" si="43"/>
        <v>305187.5</v>
      </c>
      <c r="DG8" s="38">
        <f t="shared" si="44"/>
        <v>0</v>
      </c>
      <c r="DH8" s="38">
        <f>MAX(0,MIN(Inputs!$D$36,DM7,DI8+DJ8+DK8+Inputs!$D$6-DL7))</f>
        <v>15408.26278602262</v>
      </c>
      <c r="DI8" s="38">
        <f>Inputs!$D$27*(1+Inputs!$D$28)^($A8/12)*IF(Inputs!$B$73=1,$G8,1)*(1-Inputs!$C$73*$H8*(1-Inputs!$E$54*Inputs!$B$73))*(1+$I8)*IF(Inputs!$D$29=0,1,(MAX(DL7,0)/Inputs!$D$6)^Inputs!$D$29)</f>
        <v>9708.2627860226548</v>
      </c>
      <c r="DJ8" s="38">
        <f>Inputs!$D$32*DL7/Inputs!$D$6</f>
        <v>4200</v>
      </c>
      <c r="DK8" s="38">
        <f>Inputs!$D$33</f>
        <v>1500</v>
      </c>
      <c r="DL8" s="38">
        <f t="shared" si="45"/>
        <v>880000</v>
      </c>
      <c r="DM8" s="38">
        <f t="shared" si="46"/>
        <v>863484.67902260565</v>
      </c>
      <c r="DN8" s="38">
        <f>Inputs!$D$19*(1-Inputs!$C$73*$H8)+Inputs!$D$21+Inputs!$B$73*$J8</f>
        <v>404759.375</v>
      </c>
      <c r="DO8" s="38">
        <f t="shared" si="47"/>
        <v>475240.625</v>
      </c>
      <c r="DP8" s="38">
        <f t="shared" si="48"/>
        <v>0</v>
      </c>
    </row>
    <row r="9" spans="1:120" x14ac:dyDescent="0.35">
      <c r="A9" s="29">
        <v>4</v>
      </c>
      <c r="B9" s="34">
        <f>EDATE(Inputs!$B$67,$A9)</f>
        <v>46388</v>
      </c>
      <c r="C9" s="35">
        <f>IF(Inputs!$E$47&lt;=0,Inputs!$E$46,Inputs!$E$44+(Inputs!$E$46-Inputs!$E$44)*MIN($A9/Inputs!$E$47,1))</f>
        <v>0.28333333333333333</v>
      </c>
      <c r="D9" s="35">
        <f>MIN(Inputs!$E$57,Inputs!$E$55*(1+Inputs!$E$56)^($A9/12))*Inputs!$E$58*(1+Inputs!$E$59)^($A9/12)/Inputs!$E$45</f>
        <v>0.46984935567418668</v>
      </c>
      <c r="E9" s="35">
        <f>MAX(Inputs!$E$44,MIN(C9,D9))</f>
        <v>0.28333333333333333</v>
      </c>
      <c r="F9" s="35">
        <f>IF(Inputs!$E$50&lt;=0,Inputs!$E$49,Inputs!$E$48+(Inputs!$E$49-Inputs!$E$48)*MIN($A9/Inputs!$E$50,1))</f>
        <v>3.111111111111111E-2</v>
      </c>
      <c r="G9" s="36">
        <f>(Inputs!$E$41*(1-E9*Inputs!$E$51)+Inputs!$E$42*(1-F9*Inputs!$E$51))/(Inputs!$E$41*(1-Inputs!$E$44*Inputs!$E$51)+Inputs!$E$42*(1-Inputs!$E$48*Inputs!$E$51))</f>
        <v>0.97700394218134035</v>
      </c>
      <c r="H9" s="35">
        <f>IF(Inputs!$E$53&lt;=0,Inputs!$E$52,Inputs!$E$52*MIN($A9/Inputs!$E$53,1))</f>
        <v>8.3333333333333332E-3</v>
      </c>
      <c r="I9" s="35">
        <f>IF(Inputs!$E$64&lt;=0,Inputs!$E$63,Inputs!$E$62+(Inputs!$E$63-Inputs!$E$62)*MIN($A9/Inputs!$E$64,1))</f>
        <v>4.9999999999999992E-3</v>
      </c>
      <c r="J9" s="37">
        <f>(E9-Inputs!$E$44)*Inputs!$E$45/Inputs!$E$60*Inputs!$E$61</f>
        <v>999.99999999999977</v>
      </c>
      <c r="K9" s="29">
        <f t="shared" si="0"/>
        <v>0</v>
      </c>
      <c r="L9" s="29"/>
      <c r="M9" s="38">
        <f>MAX(0,MIN(Inputs!$B$36,R8,N9+O9+P9+Inputs!$B$6-Q8))</f>
        <v>22000</v>
      </c>
      <c r="N9" s="38">
        <f>Inputs!$B$27*(1+Inputs!$B$28)^($A9/12)*IF(Inputs!$B$70=1,$G9,1)*(1-Inputs!$C$70*$H9*(1-Inputs!$E$54*Inputs!$B$70))*(1+$I9)*IF(Inputs!$B$29=0,1,(MAX(Q8,0)/Inputs!$B$6)^Inputs!$B$29)</f>
        <v>15322.175078983915</v>
      </c>
      <c r="O9" s="38">
        <f>Inputs!$B$32*Q8/Inputs!$B$6</f>
        <v>10497.002998370208</v>
      </c>
      <c r="P9" s="38">
        <f>Inputs!$B$33</f>
        <v>2500</v>
      </c>
      <c r="Q9" s="38">
        <f t="shared" si="1"/>
        <v>654603.23293114046</v>
      </c>
      <c r="R9" s="38">
        <f t="shared" si="2"/>
        <v>283250.00000000006</v>
      </c>
      <c r="S9" s="38">
        <f>Inputs!$B$19*(1-Inputs!$C$70*$H9)+Inputs!$B$21+Inputs!$B$70*$J9</f>
        <v>595000</v>
      </c>
      <c r="T9" s="38">
        <f t="shared" si="3"/>
        <v>59603.232931140461</v>
      </c>
      <c r="U9" s="38">
        <f t="shared" si="4"/>
        <v>0</v>
      </c>
      <c r="V9" s="38">
        <f>MAX(0,MIN(Inputs!$C$36,AA8,W9+X9+Y9+Inputs!$C$6-Z8))</f>
        <v>21312.5</v>
      </c>
      <c r="W9" s="38">
        <f>Inputs!$C$27*(1+Inputs!$C$28)^($A9/12)*IF(Inputs!$B$70=1,$G9,1)*(1-Inputs!$C$70*$H9*(1-Inputs!$E$54*Inputs!$B$70))*(1+$I9)*IF(Inputs!$C$29=0,1,(MAX(Z8,0)/Inputs!$C$6)^Inputs!$C$29)</f>
        <v>12562.499999999998</v>
      </c>
      <c r="X9" s="38">
        <f>Inputs!$C$32*Z8/Inputs!$C$6</f>
        <v>6749.9999999999991</v>
      </c>
      <c r="Y9" s="38">
        <f>Inputs!$C$33</f>
        <v>2000</v>
      </c>
      <c r="Z9" s="38">
        <f t="shared" si="5"/>
        <v>800000</v>
      </c>
      <c r="AA9" s="38">
        <f t="shared" si="6"/>
        <v>508843.75</v>
      </c>
      <c r="AB9" s="38">
        <f>Inputs!$C$19*(1-Inputs!$C$70*$H9)+Inputs!$C$21+Inputs!$B$70*$J9</f>
        <v>495000</v>
      </c>
      <c r="AC9" s="38">
        <f t="shared" si="7"/>
        <v>305000</v>
      </c>
      <c r="AD9" s="38">
        <f t="shared" si="8"/>
        <v>0</v>
      </c>
      <c r="AE9" s="38">
        <f>MAX(0,MIN(Inputs!$D$36,AJ8,AF9+AG9+AH9+Inputs!$D$6-AI8))</f>
        <v>15579.628103540163</v>
      </c>
      <c r="AF9" s="38">
        <f>Inputs!$D$27*(1+Inputs!$D$28)^($A9/12)*IF(Inputs!$B$70=1,$G9,1)*(1-Inputs!$C$70*$H9*(1-Inputs!$E$54*Inputs!$B$70))*(1+$I9)*IF(Inputs!$D$29=0,1,(MAX(AI8,0)/Inputs!$D$6)^Inputs!$D$29)</f>
        <v>9879.6281035401607</v>
      </c>
      <c r="AG9" s="38">
        <f>Inputs!$D$32*AI8/Inputs!$D$6</f>
        <v>4200</v>
      </c>
      <c r="AH9" s="38">
        <f>Inputs!$D$33</f>
        <v>1500</v>
      </c>
      <c r="AI9" s="38">
        <f t="shared" si="9"/>
        <v>880000</v>
      </c>
      <c r="AJ9" s="38">
        <f t="shared" si="10"/>
        <v>847501.30801349576</v>
      </c>
      <c r="AK9" s="38">
        <f>Inputs!$D$19*(1-Inputs!$C$70*$H9)+Inputs!$D$21+Inputs!$B$70*$J9</f>
        <v>404800</v>
      </c>
      <c r="AL9" s="38">
        <f t="shared" si="11"/>
        <v>475200</v>
      </c>
      <c r="AM9" s="38">
        <f t="shared" si="12"/>
        <v>0</v>
      </c>
      <c r="AN9" s="38">
        <f>MAX(0,MIN(Inputs!$B$36,AS8,AO9+AP9+AQ9+Inputs!$B$6-AR8))</f>
        <v>22000</v>
      </c>
      <c r="AO9" s="38">
        <f>Inputs!$B$27*(1+Inputs!$B$28)^($A9/12)*IF(Inputs!$B$71=1,$G9,1)*(1-Inputs!$C$71*$H9*(1-Inputs!$E$54*Inputs!$B$71))*(1+$I9)*IF(Inputs!$B$29=0,1,(MAX(AR8,0)/Inputs!$B$6)^Inputs!$B$29)</f>
        <v>14969.825454959977</v>
      </c>
      <c r="AP9" s="38">
        <f>Inputs!$B$32*AR8/Inputs!$B$6</f>
        <v>10505.235937400832</v>
      </c>
      <c r="AQ9" s="38">
        <f>Inputs!$B$33</f>
        <v>2500</v>
      </c>
      <c r="AR9" s="38">
        <f t="shared" si="13"/>
        <v>655465.71985139523</v>
      </c>
      <c r="AS9" s="38">
        <f t="shared" si="14"/>
        <v>283250.00000000006</v>
      </c>
      <c r="AT9" s="38">
        <f>Inputs!$B$19*(1-Inputs!$C$71*$H9)+Inputs!$B$21+Inputs!$B$71*$J9</f>
        <v>596000</v>
      </c>
      <c r="AU9" s="38">
        <f t="shared" si="15"/>
        <v>59465.719851395232</v>
      </c>
      <c r="AV9" s="38">
        <f t="shared" si="16"/>
        <v>0</v>
      </c>
      <c r="AW9" s="38">
        <f>MAX(0,MIN(Inputs!$C$36,BB8,AX9+AY9+AZ9+Inputs!$C$6-BA8))</f>
        <v>21023.612023653113</v>
      </c>
      <c r="AX9" s="38">
        <f>Inputs!$C$27*(1+Inputs!$C$28)^($A9/12)*IF(Inputs!$B$71=1,$G9,1)*(1-Inputs!$C$71*$H9*(1-Inputs!$E$54*Inputs!$B$71))*(1+$I9)*IF(Inputs!$C$29=0,1,(MAX(BA8,0)/Inputs!$C$6)^Inputs!$C$29)</f>
        <v>12273.612023653088</v>
      </c>
      <c r="AY9" s="38">
        <f>Inputs!$C$32*BA8/Inputs!$C$6</f>
        <v>6749.9999999999991</v>
      </c>
      <c r="AZ9" s="38">
        <f>Inputs!$C$33</f>
        <v>2000</v>
      </c>
      <c r="BA9" s="38">
        <f t="shared" si="17"/>
        <v>800000</v>
      </c>
      <c r="BB9" s="38">
        <f t="shared" si="18"/>
        <v>509565.07165735867</v>
      </c>
      <c r="BC9" s="38">
        <f>Inputs!$C$19*(1-Inputs!$C$71*$H9)+Inputs!$C$21+Inputs!$B$71*$J9</f>
        <v>496000</v>
      </c>
      <c r="BD9" s="38">
        <f t="shared" si="19"/>
        <v>304000</v>
      </c>
      <c r="BE9" s="38">
        <f t="shared" si="20"/>
        <v>0</v>
      </c>
      <c r="BF9" s="38">
        <f>MAX(0,MIN(Inputs!$D$36,BK8,BG9+BH9+BI9+Inputs!$D$6-BJ8))</f>
        <v>15352.435604444239</v>
      </c>
      <c r="BG9" s="38">
        <f>Inputs!$D$27*(1+Inputs!$D$28)^($A9/12)*IF(Inputs!$B$71=1,$G9,1)*(1-Inputs!$C$71*$H9*(1-Inputs!$E$54*Inputs!$B$71))*(1+$I9)*IF(Inputs!$D$29=0,1,(MAX(BJ8,0)/Inputs!$D$6)^Inputs!$D$29)</f>
        <v>9652.4356044442975</v>
      </c>
      <c r="BH9" s="38">
        <f>Inputs!$D$32*BJ8/Inputs!$D$6</f>
        <v>4200</v>
      </c>
      <c r="BI9" s="38">
        <f>Inputs!$D$33</f>
        <v>1500</v>
      </c>
      <c r="BJ9" s="38">
        <f t="shared" si="21"/>
        <v>880000</v>
      </c>
      <c r="BK9" s="38">
        <f t="shared" si="22"/>
        <v>848071.01496183814</v>
      </c>
      <c r="BL9" s="38">
        <f>Inputs!$D$19*(1-Inputs!$C$71*$H9)+Inputs!$D$21+Inputs!$B$71*$J9</f>
        <v>405800</v>
      </c>
      <c r="BM9" s="38">
        <f t="shared" si="23"/>
        <v>474200</v>
      </c>
      <c r="BN9" s="38">
        <f t="shared" si="24"/>
        <v>0</v>
      </c>
      <c r="BO9" s="38">
        <f>MAX(0,MIN(Inputs!$B$36,BT8,BP9+BQ9+BR9+Inputs!$B$6-BS8))</f>
        <v>22000</v>
      </c>
      <c r="BP9" s="38">
        <f>Inputs!$B$27*(1+Inputs!$B$28)^($A9/12)*IF(Inputs!$B$72=1,$G9,1)*(1-Inputs!$C$72*$H9*(1-Inputs!$E$54*Inputs!$B$72))*(1+$I9)*IF(Inputs!$B$29=0,1,(MAX(BS8,0)/Inputs!$B$6)^Inputs!$B$29)</f>
        <v>15194.490286659051</v>
      </c>
      <c r="BQ9" s="38">
        <f>Inputs!$B$32*BS8/Inputs!$B$6</f>
        <v>10499.98645865702</v>
      </c>
      <c r="BR9" s="38">
        <f>Inputs!$B$33</f>
        <v>2500</v>
      </c>
      <c r="BS9" s="38">
        <f t="shared" si="25"/>
        <v>654915.78176271846</v>
      </c>
      <c r="BT9" s="38">
        <f t="shared" si="26"/>
        <v>283250.00000000006</v>
      </c>
      <c r="BU9" s="38">
        <f>Inputs!$B$19*(1-Inputs!$C$72*$H9)+Inputs!$B$21+Inputs!$B$72*$J9</f>
        <v>593541.66666666674</v>
      </c>
      <c r="BV9" s="38">
        <f t="shared" si="27"/>
        <v>61374.115096051712</v>
      </c>
      <c r="BW9" s="38">
        <f t="shared" si="28"/>
        <v>0</v>
      </c>
      <c r="BX9" s="38">
        <f>MAX(0,MIN(Inputs!$C$36,CC8,BY9+BZ9+CA9+Inputs!$C$6-CB8))</f>
        <v>21207.8125</v>
      </c>
      <c r="BY9" s="38">
        <f>Inputs!$C$27*(1+Inputs!$C$28)^($A9/12)*IF(Inputs!$B$72=1,$G9,1)*(1-Inputs!$C$72*$H9*(1-Inputs!$E$54*Inputs!$B$72))*(1+$I9)*IF(Inputs!$C$29=0,1,(MAX(CB8,0)/Inputs!$C$6)^Inputs!$C$29)</f>
        <v>12457.8125</v>
      </c>
      <c r="BZ9" s="38">
        <f>Inputs!$C$32*CB8/Inputs!$C$6</f>
        <v>6749.9999999999991</v>
      </c>
      <c r="CA9" s="38">
        <f>Inputs!$C$33</f>
        <v>2000</v>
      </c>
      <c r="CB9" s="38">
        <f t="shared" si="29"/>
        <v>800000</v>
      </c>
      <c r="CC9" s="38">
        <f t="shared" si="30"/>
        <v>509105.14322916663</v>
      </c>
      <c r="CD9" s="38">
        <f>Inputs!$C$19*(1-Inputs!$C$72*$H9)+Inputs!$C$21+Inputs!$B$72*$J9</f>
        <v>493750</v>
      </c>
      <c r="CE9" s="38">
        <f t="shared" si="31"/>
        <v>306250</v>
      </c>
      <c r="CF9" s="38">
        <f t="shared" si="32"/>
        <v>0</v>
      </c>
      <c r="CG9" s="38">
        <f>MAX(0,MIN(Inputs!$D$36,CL8,CH9+CI9+CJ9+Inputs!$D$6-CK8))</f>
        <v>15497.297869344009</v>
      </c>
      <c r="CH9" s="38">
        <f>Inputs!$D$27*(1+Inputs!$D$28)^($A9/12)*IF(Inputs!$B$72=1,$G9,1)*(1-Inputs!$C$72*$H9*(1-Inputs!$E$54*Inputs!$B$72))*(1+$I9)*IF(Inputs!$D$29=0,1,(MAX(CK8,0)/Inputs!$D$6)^Inputs!$D$29)</f>
        <v>9797.2978693439945</v>
      </c>
      <c r="CI9" s="38">
        <f>Inputs!$D$32*CK8/Inputs!$D$6</f>
        <v>4200</v>
      </c>
      <c r="CJ9" s="38">
        <f>Inputs!$D$33</f>
        <v>1500</v>
      </c>
      <c r="CK9" s="38">
        <f t="shared" si="33"/>
        <v>880000</v>
      </c>
      <c r="CL9" s="38">
        <f t="shared" si="34"/>
        <v>847707.75896001409</v>
      </c>
      <c r="CM9" s="38">
        <f>Inputs!$D$19*(1-Inputs!$C$72*$H9)+Inputs!$D$21+Inputs!$B$72*$J9</f>
        <v>403745.83333333337</v>
      </c>
      <c r="CN9" s="38">
        <f t="shared" si="35"/>
        <v>476254.16666666663</v>
      </c>
      <c r="CO9" s="38">
        <f t="shared" si="36"/>
        <v>0</v>
      </c>
      <c r="CP9" s="38">
        <f>MAX(0,MIN(Inputs!$B$36,CU8,CQ9+CR9+CS9+Inputs!$B$6-CT8))</f>
        <v>22000</v>
      </c>
      <c r="CQ9" s="38">
        <f>Inputs!$B$27*(1+Inputs!$B$28)^($A9/12)*IF(Inputs!$B$73=1,$G9,1)*(1-Inputs!$C$73*$H9*(1-Inputs!$E$54*Inputs!$B$73))*(1+$I9)*IF(Inputs!$B$29=0,1,(MAX(CT8,0)/Inputs!$B$6)^Inputs!$B$29)</f>
        <v>14907.451182230976</v>
      </c>
      <c r="CR9" s="38">
        <f>Inputs!$B$32*CT8/Inputs!$B$6</f>
        <v>10506.707555848894</v>
      </c>
      <c r="CS9" s="38">
        <f>Inputs!$B$33</f>
        <v>2500</v>
      </c>
      <c r="CT9" s="38">
        <f t="shared" si="37"/>
        <v>655619.27996351721</v>
      </c>
      <c r="CU9" s="38">
        <f t="shared" si="38"/>
        <v>283250.00000000006</v>
      </c>
      <c r="CV9" s="38">
        <f>Inputs!$B$19*(1-Inputs!$C$73*$H9)+Inputs!$B$21+Inputs!$B$73*$J9</f>
        <v>594541.66666666674</v>
      </c>
      <c r="CW9" s="38">
        <f t="shared" si="39"/>
        <v>61077.613296850468</v>
      </c>
      <c r="CX9" s="38">
        <f t="shared" si="40"/>
        <v>0</v>
      </c>
      <c r="CY9" s="38">
        <f>MAX(0,MIN(Inputs!$C$36,DD8,CZ9+DA9+DB9+Inputs!$C$6-DC8))</f>
        <v>20972.47197355458</v>
      </c>
      <c r="CZ9" s="38">
        <f>Inputs!$C$27*(1+Inputs!$C$28)^($A9/12)*IF(Inputs!$B$73=1,$G9,1)*(1-Inputs!$C$73*$H9*(1-Inputs!$E$54*Inputs!$B$73))*(1+$I9)*IF(Inputs!$C$29=0,1,(MAX(DC8,0)/Inputs!$C$6)^Inputs!$C$29)</f>
        <v>12222.471973554533</v>
      </c>
      <c r="DA9" s="38">
        <f>Inputs!$C$32*DC8/Inputs!$C$6</f>
        <v>6749.9999999999991</v>
      </c>
      <c r="DB9" s="38">
        <f>Inputs!$C$33</f>
        <v>2000</v>
      </c>
      <c r="DC9" s="38">
        <f t="shared" si="41"/>
        <v>800000</v>
      </c>
      <c r="DD9" s="38">
        <f t="shared" si="42"/>
        <v>509693.51320605073</v>
      </c>
      <c r="DE9" s="38">
        <f>Inputs!$C$19*(1-Inputs!$C$73*$H9)+Inputs!$C$21+Inputs!$B$73*$J9</f>
        <v>494750</v>
      </c>
      <c r="DF9" s="38">
        <f t="shared" si="43"/>
        <v>305250</v>
      </c>
      <c r="DG9" s="38">
        <f t="shared" si="44"/>
        <v>0</v>
      </c>
      <c r="DH9" s="38">
        <f>MAX(0,MIN(Inputs!$D$36,DM8,DI9+DJ9+DK9+Inputs!$D$6-DL8))</f>
        <v>15312.217122759088</v>
      </c>
      <c r="DI9" s="38">
        <f>Inputs!$D$27*(1+Inputs!$D$28)^($A9/12)*IF(Inputs!$B$73=1,$G9,1)*(1-Inputs!$C$73*$H9*(1-Inputs!$E$54*Inputs!$B$73))*(1+$I9)*IF(Inputs!$D$29=0,1,(MAX(DL8,0)/Inputs!$D$6)^Inputs!$D$29)</f>
        <v>9612.2171227591134</v>
      </c>
      <c r="DJ9" s="38">
        <f>Inputs!$D$32*DL8/Inputs!$D$6</f>
        <v>4200</v>
      </c>
      <c r="DK9" s="38">
        <f>Inputs!$D$33</f>
        <v>1500</v>
      </c>
      <c r="DL9" s="38">
        <f t="shared" si="45"/>
        <v>880000</v>
      </c>
      <c r="DM9" s="38">
        <f t="shared" si="46"/>
        <v>848172.46189984656</v>
      </c>
      <c r="DN9" s="38">
        <f>Inputs!$D$19*(1-Inputs!$C$73*$H9)+Inputs!$D$21+Inputs!$B$73*$J9</f>
        <v>404745.83333333337</v>
      </c>
      <c r="DO9" s="38">
        <f t="shared" si="47"/>
        <v>475254.16666666663</v>
      </c>
      <c r="DP9" s="38">
        <f t="shared" si="48"/>
        <v>0</v>
      </c>
    </row>
    <row r="10" spans="1:120" x14ac:dyDescent="0.35">
      <c r="A10" s="29">
        <v>5</v>
      </c>
      <c r="B10" s="34">
        <f>EDATE(Inputs!$B$67,$A10)</f>
        <v>46419</v>
      </c>
      <c r="C10" s="35">
        <f>IF(Inputs!$E$47&lt;=0,Inputs!$E$46,Inputs!$E$44+(Inputs!$E$46-Inputs!$E$44)*MIN($A10/Inputs!$E$47,1))</f>
        <v>0.3041666666666667</v>
      </c>
      <c r="D10" s="35">
        <f>MIN(Inputs!$E$57,Inputs!$E$55*(1+Inputs!$E$56)^($A10/12))*Inputs!$E$58*(1+Inputs!$E$59)^($A10/12)/Inputs!$E$45</f>
        <v>0.48321006512006826</v>
      </c>
      <c r="E10" s="35">
        <f>MAX(Inputs!$E$44,MIN(C10,D10))</f>
        <v>0.3041666666666667</v>
      </c>
      <c r="F10" s="35">
        <f>IF(Inputs!$E$50&lt;=0,Inputs!$E$49,Inputs!$E$48+(Inputs!$E$49-Inputs!$E$48)*MIN($A10/Inputs!$E$50,1))</f>
        <v>3.3888888888888885E-2</v>
      </c>
      <c r="G10" s="36">
        <f>(Inputs!$E$41*(1-E10*Inputs!$E$51)+Inputs!$E$42*(1-F10*Inputs!$E$51))/(Inputs!$E$41*(1-Inputs!$E$44*Inputs!$E$51)+Inputs!$E$42*(1-Inputs!$E$48*Inputs!$E$51))</f>
        <v>0.97125492772667543</v>
      </c>
      <c r="H10" s="35">
        <f>IF(Inputs!$E$53&lt;=0,Inputs!$E$52,Inputs!$E$52*MIN($A10/Inputs!$E$53,1))</f>
        <v>1.0416666666666668E-2</v>
      </c>
      <c r="I10" s="35">
        <f>IF(Inputs!$E$64&lt;=0,Inputs!$E$63,Inputs!$E$62+(Inputs!$E$63-Inputs!$E$62)*MIN($A10/Inputs!$E$64,1))</f>
        <v>6.2500000000000003E-3</v>
      </c>
      <c r="J10" s="37">
        <f>(E10-Inputs!$E$44)*Inputs!$E$45/Inputs!$E$60*Inputs!$E$61</f>
        <v>1250.0000000000002</v>
      </c>
      <c r="K10" s="29">
        <f t="shared" si="0"/>
        <v>0</v>
      </c>
      <c r="L10" s="29"/>
      <c r="M10" s="38">
        <f>MAX(0,MIN(Inputs!$B$36,R9,N10+O10+P10+Inputs!$B$6-Q9))</f>
        <v>22000</v>
      </c>
      <c r="N10" s="38">
        <f>Inputs!$B$27*(1+Inputs!$B$28)^($A10/12)*IF(Inputs!$B$70=1,$G10,1)*(1-Inputs!$C$70*$H10*(1-Inputs!$E$54*Inputs!$B$70))*(1+$I10)*IF(Inputs!$B$29=0,1,(MAX(Q9,0)/Inputs!$B$6)^Inputs!$B$29)</f>
        <v>15403.734590916411</v>
      </c>
      <c r="O10" s="38">
        <f>Inputs!$B$32*Q9/Inputs!$B$6</f>
        <v>10396.639581847525</v>
      </c>
      <c r="P10" s="38">
        <f>Inputs!$B$33</f>
        <v>2500</v>
      </c>
      <c r="Q10" s="38">
        <f t="shared" si="1"/>
        <v>648302.85875837656</v>
      </c>
      <c r="R10" s="38">
        <f t="shared" si="2"/>
        <v>261250.00000000006</v>
      </c>
      <c r="S10" s="38">
        <f>Inputs!$B$19*(1-Inputs!$C$70*$H10)+Inputs!$B$21+Inputs!$B$70*$J10</f>
        <v>595000</v>
      </c>
      <c r="T10" s="38">
        <f t="shared" si="3"/>
        <v>53302.858758376562</v>
      </c>
      <c r="U10" s="38">
        <f t="shared" si="4"/>
        <v>0</v>
      </c>
      <c r="V10" s="38">
        <f>MAX(0,MIN(Inputs!$C$36,AA9,W10+X10+Y10+Inputs!$C$6-Z9))</f>
        <v>21328.125</v>
      </c>
      <c r="W10" s="38">
        <f>Inputs!$C$27*(1+Inputs!$C$28)^($A10/12)*IF(Inputs!$B$70=1,$G10,1)*(1-Inputs!$C$70*$H10*(1-Inputs!$E$54*Inputs!$B$70))*(1+$I10)*IF(Inputs!$C$29=0,1,(MAX(Z9,0)/Inputs!$C$6)^Inputs!$C$29)</f>
        <v>12578.125000000002</v>
      </c>
      <c r="X10" s="38">
        <f>Inputs!$C$32*Z9/Inputs!$C$6</f>
        <v>6749.9999999999991</v>
      </c>
      <c r="Y10" s="38">
        <f>Inputs!$C$33</f>
        <v>2000</v>
      </c>
      <c r="Z10" s="38">
        <f t="shared" si="5"/>
        <v>800000</v>
      </c>
      <c r="AA10" s="38">
        <f t="shared" si="6"/>
        <v>487515.625</v>
      </c>
      <c r="AB10" s="38">
        <f>Inputs!$C$19*(1-Inputs!$C$70*$H10)+Inputs!$C$21+Inputs!$B$70*$J10</f>
        <v>495000</v>
      </c>
      <c r="AC10" s="38">
        <f t="shared" si="7"/>
        <v>305000</v>
      </c>
      <c r="AD10" s="38">
        <f t="shared" si="8"/>
        <v>0</v>
      </c>
      <c r="AE10" s="38">
        <f>MAX(0,MIN(Inputs!$D$36,AJ9,AF10+AG10+AH10+Inputs!$D$6-AI9))</f>
        <v>15549.724022290087</v>
      </c>
      <c r="AF10" s="38">
        <f>Inputs!$D$27*(1+Inputs!$D$28)^($A10/12)*IF(Inputs!$B$70=1,$G10,1)*(1-Inputs!$C$70*$H10*(1-Inputs!$E$54*Inputs!$B$70))*(1+$I10)*IF(Inputs!$D$29=0,1,(MAX(AI9,0)/Inputs!$D$6)^Inputs!$D$29)</f>
        <v>9849.7240222900837</v>
      </c>
      <c r="AG10" s="38">
        <f>Inputs!$D$32*AI9/Inputs!$D$6</f>
        <v>4200</v>
      </c>
      <c r="AH10" s="38">
        <f>Inputs!$D$33</f>
        <v>1500</v>
      </c>
      <c r="AI10" s="38">
        <f t="shared" si="9"/>
        <v>880000</v>
      </c>
      <c r="AJ10" s="38">
        <f t="shared" si="10"/>
        <v>831951.58399120567</v>
      </c>
      <c r="AK10" s="38">
        <f>Inputs!$D$19*(1-Inputs!$C$70*$H10)+Inputs!$D$21+Inputs!$B$70*$J10</f>
        <v>404800</v>
      </c>
      <c r="AL10" s="38">
        <f t="shared" si="11"/>
        <v>475200</v>
      </c>
      <c r="AM10" s="38">
        <f t="shared" si="12"/>
        <v>0</v>
      </c>
      <c r="AN10" s="38">
        <f>MAX(0,MIN(Inputs!$B$36,AS9,AO10+AP10+AQ10+Inputs!$B$6-AR9))</f>
        <v>22000</v>
      </c>
      <c r="AO10" s="38">
        <f>Inputs!$B$27*(1+Inputs!$B$28)^($A10/12)*IF(Inputs!$B$71=1,$G10,1)*(1-Inputs!$C$71*$H10*(1-Inputs!$E$54*Inputs!$B$71))*(1+$I10)*IF(Inputs!$B$29=0,1,(MAX(AR9,0)/Inputs!$B$6)^Inputs!$B$29)</f>
        <v>14960.953126821409</v>
      </c>
      <c r="AP10" s="38">
        <f>Inputs!$B$32*AR9/Inputs!$B$6</f>
        <v>10410.337903522159</v>
      </c>
      <c r="AQ10" s="38">
        <f>Inputs!$B$33</f>
        <v>2500</v>
      </c>
      <c r="AR10" s="38">
        <f t="shared" si="13"/>
        <v>649594.42882105161</v>
      </c>
      <c r="AS10" s="38">
        <f t="shared" si="14"/>
        <v>261250.00000000006</v>
      </c>
      <c r="AT10" s="38">
        <f>Inputs!$B$19*(1-Inputs!$C$71*$H10)+Inputs!$B$21+Inputs!$B$71*$J10</f>
        <v>596250</v>
      </c>
      <c r="AU10" s="38">
        <f t="shared" si="15"/>
        <v>53344.42882105161</v>
      </c>
      <c r="AV10" s="38">
        <f t="shared" si="16"/>
        <v>0</v>
      </c>
      <c r="AW10" s="38">
        <f>MAX(0,MIN(Inputs!$C$36,BB9,AX10+AY10+AZ10+Inputs!$C$6-BA9))</f>
        <v>20966.565887812059</v>
      </c>
      <c r="AX10" s="38">
        <f>Inputs!$C$27*(1+Inputs!$C$28)^($A10/12)*IF(Inputs!$B$71=1,$G10,1)*(1-Inputs!$C$71*$H10*(1-Inputs!$E$54*Inputs!$B$71))*(1+$I10)*IF(Inputs!$C$29=0,1,(MAX(BA9,0)/Inputs!$C$6)^Inputs!$C$29)</f>
        <v>12216.56588781209</v>
      </c>
      <c r="AY10" s="38">
        <f>Inputs!$C$32*BA9/Inputs!$C$6</f>
        <v>6749.9999999999991</v>
      </c>
      <c r="AZ10" s="38">
        <f>Inputs!$C$33</f>
        <v>2000</v>
      </c>
      <c r="BA10" s="38">
        <f t="shared" si="17"/>
        <v>800000</v>
      </c>
      <c r="BB10" s="38">
        <f t="shared" si="18"/>
        <v>488598.50576954661</v>
      </c>
      <c r="BC10" s="38">
        <f>Inputs!$C$19*(1-Inputs!$C$71*$H10)+Inputs!$C$21+Inputs!$B$71*$J10</f>
        <v>496250</v>
      </c>
      <c r="BD10" s="38">
        <f t="shared" si="19"/>
        <v>303750</v>
      </c>
      <c r="BE10" s="38">
        <f t="shared" si="20"/>
        <v>0</v>
      </c>
      <c r="BF10" s="38">
        <f>MAX(0,MIN(Inputs!$D$36,BK9,BG10+BH10+BI10+Inputs!$D$6-BJ9))</f>
        <v>15266.592993397033</v>
      </c>
      <c r="BG10" s="38">
        <f>Inputs!$D$27*(1+Inputs!$D$28)^($A10/12)*IF(Inputs!$B$71=1,$G10,1)*(1-Inputs!$C$71*$H10*(1-Inputs!$E$54*Inputs!$B$71))*(1+$I10)*IF(Inputs!$D$29=0,1,(MAX(BJ9,0)/Inputs!$D$6)^Inputs!$D$29)</f>
        <v>9566.5929933970547</v>
      </c>
      <c r="BH10" s="38">
        <f>Inputs!$D$32*BJ9/Inputs!$D$6</f>
        <v>4200</v>
      </c>
      <c r="BI10" s="38">
        <f>Inputs!$D$33</f>
        <v>1500</v>
      </c>
      <c r="BJ10" s="38">
        <f t="shared" si="21"/>
        <v>880000</v>
      </c>
      <c r="BK10" s="38">
        <f t="shared" si="22"/>
        <v>832804.42196844111</v>
      </c>
      <c r="BL10" s="38">
        <f>Inputs!$D$19*(1-Inputs!$C$71*$H10)+Inputs!$D$21+Inputs!$B$71*$J10</f>
        <v>406050</v>
      </c>
      <c r="BM10" s="38">
        <f t="shared" si="23"/>
        <v>473950</v>
      </c>
      <c r="BN10" s="38">
        <f t="shared" si="24"/>
        <v>0</v>
      </c>
      <c r="BO10" s="38">
        <f>MAX(0,MIN(Inputs!$B$36,BT9,BP10+BQ10+BR10+Inputs!$B$6-BS9))</f>
        <v>22000</v>
      </c>
      <c r="BP10" s="38">
        <f>Inputs!$B$27*(1+Inputs!$B$28)^($A10/12)*IF(Inputs!$B$72=1,$G10,1)*(1-Inputs!$C$72*$H10*(1-Inputs!$E$54*Inputs!$B$72))*(1+$I10)*IF(Inputs!$B$29=0,1,(MAX(BS9,0)/Inputs!$B$6)^Inputs!$B$29)</f>
        <v>15243.279022261033</v>
      </c>
      <c r="BQ10" s="38">
        <f>Inputs!$B$32*BS9/Inputs!$B$6</f>
        <v>10401.603592701998</v>
      </c>
      <c r="BR10" s="38">
        <f>Inputs!$B$33</f>
        <v>2500</v>
      </c>
      <c r="BS10" s="38">
        <f t="shared" si="25"/>
        <v>648770.89914775547</v>
      </c>
      <c r="BT10" s="38">
        <f t="shared" si="26"/>
        <v>261250.00000000006</v>
      </c>
      <c r="BU10" s="38">
        <f>Inputs!$B$19*(1-Inputs!$C$72*$H10)+Inputs!$B$21+Inputs!$B$72*$J10</f>
        <v>593177.08333333337</v>
      </c>
      <c r="BV10" s="38">
        <f t="shared" si="27"/>
        <v>55593.815814422094</v>
      </c>
      <c r="BW10" s="38">
        <f t="shared" si="28"/>
        <v>0</v>
      </c>
      <c r="BX10" s="38">
        <f>MAX(0,MIN(Inputs!$C$36,CC9,BY10+BZ10+CA10+Inputs!$C$6-CB9))</f>
        <v>21197.102864583372</v>
      </c>
      <c r="BY10" s="38">
        <f>Inputs!$C$27*(1+Inputs!$C$28)^($A10/12)*IF(Inputs!$B$72=1,$G10,1)*(1-Inputs!$C$72*$H10*(1-Inputs!$E$54*Inputs!$B$72))*(1+$I10)*IF(Inputs!$C$29=0,1,(MAX(CB9,0)/Inputs!$C$6)^Inputs!$C$29)</f>
        <v>12447.102864583336</v>
      </c>
      <c r="BZ10" s="38">
        <f>Inputs!$C$32*CB9/Inputs!$C$6</f>
        <v>6749.9999999999991</v>
      </c>
      <c r="CA10" s="38">
        <f>Inputs!$C$33</f>
        <v>2000</v>
      </c>
      <c r="CB10" s="38">
        <f t="shared" si="29"/>
        <v>800000</v>
      </c>
      <c r="CC10" s="38">
        <f t="shared" si="30"/>
        <v>487908.04036458326</v>
      </c>
      <c r="CD10" s="38">
        <f>Inputs!$C$19*(1-Inputs!$C$72*$H10)+Inputs!$C$21+Inputs!$B$72*$J10</f>
        <v>493437.5</v>
      </c>
      <c r="CE10" s="38">
        <f t="shared" si="31"/>
        <v>306562.5</v>
      </c>
      <c r="CF10" s="38">
        <f t="shared" si="32"/>
        <v>0</v>
      </c>
      <c r="CG10" s="38">
        <f>MAX(0,MIN(Inputs!$D$36,CL9,CH10+CI10+CJ10+Inputs!$D$6-CK9))</f>
        <v>15447.122730391216</v>
      </c>
      <c r="CH10" s="38">
        <f>Inputs!$D$27*(1+Inputs!$D$28)^($A10/12)*IF(Inputs!$B$72=1,$G10,1)*(1-Inputs!$C$72*$H10*(1-Inputs!$E$54*Inputs!$B$72))*(1+$I10)*IF(Inputs!$D$29=0,1,(MAX(CK9,0)/Inputs!$D$6)^Inputs!$D$29)</f>
        <v>9747.1227303912292</v>
      </c>
      <c r="CI10" s="38">
        <f>Inputs!$D$32*CK9/Inputs!$D$6</f>
        <v>4200</v>
      </c>
      <c r="CJ10" s="38">
        <f>Inputs!$D$33</f>
        <v>1500</v>
      </c>
      <c r="CK10" s="38">
        <f t="shared" si="33"/>
        <v>880000</v>
      </c>
      <c r="CL10" s="38">
        <f t="shared" si="34"/>
        <v>832260.63622962288</v>
      </c>
      <c r="CM10" s="38">
        <f>Inputs!$D$19*(1-Inputs!$C$72*$H10)+Inputs!$D$21+Inputs!$B$72*$J10</f>
        <v>403482.29166666669</v>
      </c>
      <c r="CN10" s="38">
        <f t="shared" si="35"/>
        <v>476517.70833333331</v>
      </c>
      <c r="CO10" s="38">
        <f t="shared" si="36"/>
        <v>0</v>
      </c>
      <c r="CP10" s="38">
        <f>MAX(0,MIN(Inputs!$B$36,CU9,CQ10+CR10+CS10+Inputs!$B$6-CT9))</f>
        <v>22000</v>
      </c>
      <c r="CQ10" s="38">
        <f>Inputs!$B$27*(1+Inputs!$B$28)^($A10/12)*IF(Inputs!$B$73=1,$G10,1)*(1-Inputs!$C$73*$H10*(1-Inputs!$E$54*Inputs!$B$73))*(1+$I10)*IF(Inputs!$B$29=0,1,(MAX(CT9,0)/Inputs!$B$6)^Inputs!$B$29)</f>
        <v>14883.031495952546</v>
      </c>
      <c r="CR10" s="38">
        <f>Inputs!$B$32*CT9/Inputs!$B$6</f>
        <v>10412.776799420568</v>
      </c>
      <c r="CS10" s="38">
        <f>Inputs!$B$33</f>
        <v>2500</v>
      </c>
      <c r="CT10" s="38">
        <f t="shared" si="37"/>
        <v>649823.47166814411</v>
      </c>
      <c r="CU10" s="38">
        <f t="shared" si="38"/>
        <v>261250.00000000006</v>
      </c>
      <c r="CV10" s="38">
        <f>Inputs!$B$19*(1-Inputs!$C$73*$H10)+Inputs!$B$21+Inputs!$B$73*$J10</f>
        <v>594427.08333333337</v>
      </c>
      <c r="CW10" s="38">
        <f t="shared" si="39"/>
        <v>55396.388334810734</v>
      </c>
      <c r="CX10" s="38">
        <f t="shared" si="40"/>
        <v>0</v>
      </c>
      <c r="CY10" s="38">
        <f>MAX(0,MIN(Inputs!$C$36,DD9,CZ10+DA10+DB10+Inputs!$C$6-DC9))</f>
        <v>20902.937940479722</v>
      </c>
      <c r="CZ10" s="38">
        <f>Inputs!$C$27*(1+Inputs!$C$28)^($A10/12)*IF(Inputs!$B$73=1,$G10,1)*(1-Inputs!$C$73*$H10*(1-Inputs!$E$54*Inputs!$B$73))*(1+$I10)*IF(Inputs!$C$29=0,1,(MAX(DC9,0)/Inputs!$C$6)^Inputs!$C$29)</f>
        <v>12152.937940479735</v>
      </c>
      <c r="DA10" s="38">
        <f>Inputs!$C$32*DC9/Inputs!$C$6</f>
        <v>6749.9999999999991</v>
      </c>
      <c r="DB10" s="38">
        <f>Inputs!$C$33</f>
        <v>2000</v>
      </c>
      <c r="DC10" s="38">
        <f t="shared" si="41"/>
        <v>800000</v>
      </c>
      <c r="DD10" s="38">
        <f t="shared" si="42"/>
        <v>488790.57526557101</v>
      </c>
      <c r="DE10" s="38">
        <f>Inputs!$C$19*(1-Inputs!$C$73*$H10)+Inputs!$C$21+Inputs!$B$73*$J10</f>
        <v>494687.5</v>
      </c>
      <c r="DF10" s="38">
        <f t="shared" si="43"/>
        <v>305312.5</v>
      </c>
      <c r="DG10" s="38">
        <f t="shared" si="44"/>
        <v>0</v>
      </c>
      <c r="DH10" s="38">
        <f>MAX(0,MIN(Inputs!$D$36,DM9,DI10+DJ10+DK10+Inputs!$D$6-DL9))</f>
        <v>15216.766988223069</v>
      </c>
      <c r="DI10" s="38">
        <f>Inputs!$D$27*(1+Inputs!$D$28)^($A10/12)*IF(Inputs!$B$73=1,$G10,1)*(1-Inputs!$C$73*$H10*(1-Inputs!$E$54*Inputs!$B$73))*(1+$I10)*IF(Inputs!$D$29=0,1,(MAX(DL9,0)/Inputs!$D$6)^Inputs!$D$29)</f>
        <v>9516.7669882231112</v>
      </c>
      <c r="DJ10" s="38">
        <f>Inputs!$D$32*DL9/Inputs!$D$6</f>
        <v>4200</v>
      </c>
      <c r="DK10" s="38">
        <f>Inputs!$D$33</f>
        <v>1500</v>
      </c>
      <c r="DL10" s="38">
        <f t="shared" si="45"/>
        <v>880000</v>
      </c>
      <c r="DM10" s="38">
        <f t="shared" si="46"/>
        <v>832955.69491162349</v>
      </c>
      <c r="DN10" s="38">
        <f>Inputs!$D$19*(1-Inputs!$C$73*$H10)+Inputs!$D$21+Inputs!$B$73*$J10</f>
        <v>404732.29166666669</v>
      </c>
      <c r="DO10" s="38">
        <f t="shared" si="47"/>
        <v>475267.70833333331</v>
      </c>
      <c r="DP10" s="38">
        <f t="shared" si="48"/>
        <v>0</v>
      </c>
    </row>
    <row r="11" spans="1:120" x14ac:dyDescent="0.35">
      <c r="A11" s="29">
        <v>6</v>
      </c>
      <c r="B11" s="34">
        <f>EDATE(Inputs!$B$67,$A11)</f>
        <v>46447</v>
      </c>
      <c r="C11" s="35">
        <f>IF(Inputs!$E$47&lt;=0,Inputs!$E$46,Inputs!$E$44+(Inputs!$E$46-Inputs!$E$44)*MIN($A11/Inputs!$E$47,1))</f>
        <v>0.32500000000000001</v>
      </c>
      <c r="D11" s="35">
        <f>MIN(Inputs!$E$57,Inputs!$E$55*(1+Inputs!$E$56)^($A11/12))*Inputs!$E$58*(1+Inputs!$E$59)^($A11/12)/Inputs!$E$45</f>
        <v>0.49695070178036782</v>
      </c>
      <c r="E11" s="35">
        <f>MAX(Inputs!$E$44,MIN(C11,D11))</f>
        <v>0.32500000000000001</v>
      </c>
      <c r="F11" s="35">
        <f>IF(Inputs!$E$50&lt;=0,Inputs!$E$49,Inputs!$E$48+(Inputs!$E$49-Inputs!$E$48)*MIN($A11/Inputs!$E$50,1))</f>
        <v>3.6666666666666667E-2</v>
      </c>
      <c r="G11" s="36">
        <f>(Inputs!$E$41*(1-E11*Inputs!$E$51)+Inputs!$E$42*(1-F11*Inputs!$E$51))/(Inputs!$E$41*(1-Inputs!$E$44*Inputs!$E$51)+Inputs!$E$42*(1-Inputs!$E$48*Inputs!$E$51))</f>
        <v>0.96550591327201052</v>
      </c>
      <c r="H11" s="35">
        <f>IF(Inputs!$E$53&lt;=0,Inputs!$E$52,Inputs!$E$52*MIN($A11/Inputs!$E$53,1))</f>
        <v>1.2500000000000001E-2</v>
      </c>
      <c r="I11" s="35">
        <f>IF(Inputs!$E$64&lt;=0,Inputs!$E$63,Inputs!$E$62+(Inputs!$E$63-Inputs!$E$62)*MIN($A11/Inputs!$E$64,1))</f>
        <v>7.4999999999999997E-3</v>
      </c>
      <c r="J11" s="37">
        <f>(E11-Inputs!$E$44)*Inputs!$E$45/Inputs!$E$60*Inputs!$E$61</f>
        <v>1500</v>
      </c>
      <c r="K11" s="29">
        <f t="shared" si="0"/>
        <v>0</v>
      </c>
      <c r="L11" s="29"/>
      <c r="M11" s="38">
        <f>MAX(0,MIN(Inputs!$B$36,R10,N11+O11+P11+Inputs!$B$6-Q10))</f>
        <v>22000</v>
      </c>
      <c r="N11" s="38">
        <f>Inputs!$B$27*(1+Inputs!$B$28)^($A11/12)*IF(Inputs!$B$70=1,$G11,1)*(1-Inputs!$C$70*$H11*(1-Inputs!$E$54*Inputs!$B$70))*(1+$I11)*IF(Inputs!$B$29=0,1,(MAX(Q10,0)/Inputs!$B$6)^Inputs!$B$29)</f>
        <v>15485.704345056445</v>
      </c>
      <c r="O11" s="38">
        <f>Inputs!$B$32*Q10/Inputs!$B$6</f>
        <v>10296.574815574215</v>
      </c>
      <c r="P11" s="38">
        <f>Inputs!$B$33</f>
        <v>2500</v>
      </c>
      <c r="Q11" s="38">
        <f t="shared" si="1"/>
        <v>642020.57959774591</v>
      </c>
      <c r="R11" s="38">
        <f t="shared" si="2"/>
        <v>239250.00000000006</v>
      </c>
      <c r="S11" s="38">
        <f>Inputs!$B$19*(1-Inputs!$C$70*$H11)+Inputs!$B$21+Inputs!$B$70*$J11</f>
        <v>595000</v>
      </c>
      <c r="T11" s="38">
        <f t="shared" si="3"/>
        <v>47020.579597745906</v>
      </c>
      <c r="U11" s="38">
        <f t="shared" si="4"/>
        <v>0</v>
      </c>
      <c r="V11" s="38">
        <f>MAX(0,MIN(Inputs!$C$36,AA10,W11+X11+Y11+Inputs!$C$6-Z10))</f>
        <v>21343.75</v>
      </c>
      <c r="W11" s="38">
        <f>Inputs!$C$27*(1+Inputs!$C$28)^($A11/12)*IF(Inputs!$B$70=1,$G11,1)*(1-Inputs!$C$70*$H11*(1-Inputs!$E$54*Inputs!$B$70))*(1+$I11)*IF(Inputs!$C$29=0,1,(MAX(Z10,0)/Inputs!$C$6)^Inputs!$C$29)</f>
        <v>12593.75</v>
      </c>
      <c r="X11" s="38">
        <f>Inputs!$C$32*Z10/Inputs!$C$6</f>
        <v>6749.9999999999991</v>
      </c>
      <c r="Y11" s="38">
        <f>Inputs!$C$33</f>
        <v>2000</v>
      </c>
      <c r="Z11" s="38">
        <f t="shared" si="5"/>
        <v>800000</v>
      </c>
      <c r="AA11" s="38">
        <f t="shared" si="6"/>
        <v>466171.875</v>
      </c>
      <c r="AB11" s="38">
        <f>Inputs!$C$19*(1-Inputs!$C$70*$H11)+Inputs!$C$21+Inputs!$B$70*$J11</f>
        <v>495000</v>
      </c>
      <c r="AC11" s="38">
        <f t="shared" si="7"/>
        <v>305000</v>
      </c>
      <c r="AD11" s="38">
        <f t="shared" si="8"/>
        <v>0</v>
      </c>
      <c r="AE11" s="38">
        <f>MAX(0,MIN(Inputs!$D$36,AJ10,AF11+AG11+AH11+Inputs!$D$6-AI10))</f>
        <v>15519.895302394987</v>
      </c>
      <c r="AF11" s="38">
        <f>Inputs!$D$27*(1+Inputs!$D$28)^($A11/12)*IF(Inputs!$B$70=1,$G11,1)*(1-Inputs!$C$70*$H11*(1-Inputs!$E$54*Inputs!$B$70))*(1+$I11)*IF(Inputs!$D$29=0,1,(MAX(AI10,0)/Inputs!$D$6)^Inputs!$D$29)</f>
        <v>9819.8953023950307</v>
      </c>
      <c r="AG11" s="38">
        <f>Inputs!$D$32*AI10/Inputs!$D$6</f>
        <v>4200</v>
      </c>
      <c r="AH11" s="38">
        <f>Inputs!$D$33</f>
        <v>1500</v>
      </c>
      <c r="AI11" s="38">
        <f t="shared" si="9"/>
        <v>880000</v>
      </c>
      <c r="AJ11" s="38">
        <f t="shared" si="10"/>
        <v>816431.68868881068</v>
      </c>
      <c r="AK11" s="38">
        <f>Inputs!$D$19*(1-Inputs!$C$70*$H11)+Inputs!$D$21+Inputs!$B$70*$J11</f>
        <v>404800</v>
      </c>
      <c r="AL11" s="38">
        <f t="shared" si="11"/>
        <v>475200</v>
      </c>
      <c r="AM11" s="38">
        <f t="shared" si="12"/>
        <v>0</v>
      </c>
      <c r="AN11" s="38">
        <f>MAX(0,MIN(Inputs!$B$36,AS10,AO11+AP11+AQ11+Inputs!$B$6-AR10))</f>
        <v>22000</v>
      </c>
      <c r="AO11" s="38">
        <f>Inputs!$B$27*(1+Inputs!$B$28)^($A11/12)*IF(Inputs!$B$71=1,$G11,1)*(1-Inputs!$C$71*$H11*(1-Inputs!$E$54*Inputs!$B$71))*(1+$I11)*IF(Inputs!$B$29=0,1,(MAX(AR10,0)/Inputs!$B$6)^Inputs!$B$29)</f>
        <v>14951.539116334065</v>
      </c>
      <c r="AP11" s="38">
        <f>Inputs!$B$32*AR10/Inputs!$B$6</f>
        <v>10317.08798715788</v>
      </c>
      <c r="AQ11" s="38">
        <f>Inputs!$B$33</f>
        <v>2500</v>
      </c>
      <c r="AR11" s="38">
        <f t="shared" si="13"/>
        <v>643825.80171755969</v>
      </c>
      <c r="AS11" s="38">
        <f t="shared" si="14"/>
        <v>239250.00000000006</v>
      </c>
      <c r="AT11" s="38">
        <f>Inputs!$B$19*(1-Inputs!$C$71*$H11)+Inputs!$B$21+Inputs!$B$71*$J11</f>
        <v>596500</v>
      </c>
      <c r="AU11" s="38">
        <f t="shared" si="15"/>
        <v>47325.801717559691</v>
      </c>
      <c r="AV11" s="38">
        <f t="shared" si="16"/>
        <v>0</v>
      </c>
      <c r="AW11" s="38">
        <f>MAX(0,MIN(Inputs!$C$36,BB10,AX11+AY11+AZ11+Inputs!$C$6-BA10))</f>
        <v>20909.340095269377</v>
      </c>
      <c r="AX11" s="38">
        <f>Inputs!$C$27*(1+Inputs!$C$28)^($A11/12)*IF(Inputs!$B$71=1,$G11,1)*(1-Inputs!$C$71*$H11*(1-Inputs!$E$54*Inputs!$B$71))*(1+$I11)*IF(Inputs!$C$29=0,1,(MAX(BA10,0)/Inputs!$C$6)^Inputs!$C$29)</f>
        <v>12159.340095269383</v>
      </c>
      <c r="AY11" s="38">
        <f>Inputs!$C$32*BA10/Inputs!$C$6</f>
        <v>6749.9999999999991</v>
      </c>
      <c r="AZ11" s="38">
        <f>Inputs!$C$33</f>
        <v>2000</v>
      </c>
      <c r="BA11" s="38">
        <f t="shared" si="17"/>
        <v>800000</v>
      </c>
      <c r="BB11" s="38">
        <f t="shared" si="18"/>
        <v>467689.16567427723</v>
      </c>
      <c r="BC11" s="38">
        <f>Inputs!$C$19*(1-Inputs!$C$71*$H11)+Inputs!$C$21+Inputs!$B$71*$J11</f>
        <v>496500</v>
      </c>
      <c r="BD11" s="38">
        <f t="shared" si="19"/>
        <v>303500</v>
      </c>
      <c r="BE11" s="38">
        <f t="shared" si="20"/>
        <v>0</v>
      </c>
      <c r="BF11" s="38">
        <f>MAX(0,MIN(Inputs!$D$36,BK10,BG11+BH11+BI11+Inputs!$D$6-BJ10))</f>
        <v>15181.166982174385</v>
      </c>
      <c r="BG11" s="38">
        <f>Inputs!$D$27*(1+Inputs!$D$28)^($A11/12)*IF(Inputs!$B$71=1,$G11,1)*(1-Inputs!$C$71*$H11*(1-Inputs!$E$54*Inputs!$B$71))*(1+$I11)*IF(Inputs!$D$29=0,1,(MAX(BJ10,0)/Inputs!$D$6)^Inputs!$D$29)</f>
        <v>9481.1669821744399</v>
      </c>
      <c r="BH11" s="38">
        <f>Inputs!$D$32*BJ10/Inputs!$D$6</f>
        <v>4200</v>
      </c>
      <c r="BI11" s="38">
        <f>Inputs!$D$33</f>
        <v>1500</v>
      </c>
      <c r="BJ11" s="38">
        <f t="shared" si="21"/>
        <v>880000</v>
      </c>
      <c r="BK11" s="38">
        <f t="shared" si="22"/>
        <v>817623.25498626672</v>
      </c>
      <c r="BL11" s="38">
        <f>Inputs!$D$19*(1-Inputs!$C$71*$H11)+Inputs!$D$21+Inputs!$B$71*$J11</f>
        <v>406300</v>
      </c>
      <c r="BM11" s="38">
        <f t="shared" si="23"/>
        <v>473700</v>
      </c>
      <c r="BN11" s="38">
        <f t="shared" si="24"/>
        <v>0</v>
      </c>
      <c r="BO11" s="38">
        <f>MAX(0,MIN(Inputs!$B$36,BT10,BP11+BQ11+BR11+Inputs!$B$6-BS10))</f>
        <v>22000</v>
      </c>
      <c r="BP11" s="38">
        <f>Inputs!$B$27*(1+Inputs!$B$28)^($A11/12)*IF(Inputs!$B$72=1,$G11,1)*(1-Inputs!$C$72*$H11*(1-Inputs!$E$54*Inputs!$B$72))*(1+$I11)*IF(Inputs!$B$29=0,1,(MAX(BS10,0)/Inputs!$B$6)^Inputs!$B$29)</f>
        <v>15292.133040743242</v>
      </c>
      <c r="BQ11" s="38">
        <f>Inputs!$B$32*BS10/Inputs!$B$6</f>
        <v>10304.008398229058</v>
      </c>
      <c r="BR11" s="38">
        <f>Inputs!$B$33</f>
        <v>2500</v>
      </c>
      <c r="BS11" s="38">
        <f t="shared" si="25"/>
        <v>642674.75770878315</v>
      </c>
      <c r="BT11" s="38">
        <f t="shared" si="26"/>
        <v>239250.00000000006</v>
      </c>
      <c r="BU11" s="38">
        <f>Inputs!$B$19*(1-Inputs!$C$72*$H11)+Inputs!$B$21+Inputs!$B$72*$J11</f>
        <v>592812.5</v>
      </c>
      <c r="BV11" s="38">
        <f t="shared" si="27"/>
        <v>49862.257708783145</v>
      </c>
      <c r="BW11" s="38">
        <f t="shared" si="28"/>
        <v>0</v>
      </c>
      <c r="BX11" s="38">
        <f>MAX(0,MIN(Inputs!$C$36,CC10,BY11+BZ11+CA11+Inputs!$C$6-CB10))</f>
        <v>21186.328125</v>
      </c>
      <c r="BY11" s="38">
        <f>Inputs!$C$27*(1+Inputs!$C$28)^($A11/12)*IF(Inputs!$B$72=1,$G11,1)*(1-Inputs!$C$72*$H11*(1-Inputs!$E$54*Inputs!$B$72))*(1+$I11)*IF(Inputs!$C$29=0,1,(MAX(CB10,0)/Inputs!$C$6)^Inputs!$C$29)</f>
        <v>12436.328125</v>
      </c>
      <c r="BZ11" s="38">
        <f>Inputs!$C$32*CB10/Inputs!$C$6</f>
        <v>6749.9999999999991</v>
      </c>
      <c r="CA11" s="38">
        <f>Inputs!$C$33</f>
        <v>2000</v>
      </c>
      <c r="CB11" s="38">
        <f t="shared" si="29"/>
        <v>800000</v>
      </c>
      <c r="CC11" s="38">
        <f t="shared" si="30"/>
        <v>466721.71223958326</v>
      </c>
      <c r="CD11" s="38">
        <f>Inputs!$C$19*(1-Inputs!$C$72*$H11)+Inputs!$C$21+Inputs!$B$72*$J11</f>
        <v>493125</v>
      </c>
      <c r="CE11" s="38">
        <f t="shared" si="31"/>
        <v>306875</v>
      </c>
      <c r="CF11" s="38">
        <f t="shared" si="32"/>
        <v>0</v>
      </c>
      <c r="CG11" s="38">
        <f>MAX(0,MIN(Inputs!$D$36,CL10,CH11+CI11+CJ11+Inputs!$D$6-CK10))</f>
        <v>15397.14661111508</v>
      </c>
      <c r="CH11" s="38">
        <f>Inputs!$D$27*(1+Inputs!$D$28)^($A11/12)*IF(Inputs!$B$72=1,$G11,1)*(1-Inputs!$C$72*$H11*(1-Inputs!$E$54*Inputs!$B$72))*(1+$I11)*IF(Inputs!$D$29=0,1,(MAX(CK10,0)/Inputs!$D$6)^Inputs!$D$29)</f>
        <v>9697.146611115093</v>
      </c>
      <c r="CI11" s="38">
        <f>Inputs!$D$32*CK10/Inputs!$D$6</f>
        <v>4200</v>
      </c>
      <c r="CJ11" s="38">
        <f>Inputs!$D$33</f>
        <v>1500</v>
      </c>
      <c r="CK11" s="38">
        <f t="shared" si="33"/>
        <v>880000</v>
      </c>
      <c r="CL11" s="38">
        <f t="shared" si="34"/>
        <v>816863.4896185078</v>
      </c>
      <c r="CM11" s="38">
        <f>Inputs!$D$19*(1-Inputs!$C$72*$H11)+Inputs!$D$21+Inputs!$B$72*$J11</f>
        <v>403218.75</v>
      </c>
      <c r="CN11" s="38">
        <f t="shared" si="35"/>
        <v>476781.25</v>
      </c>
      <c r="CO11" s="38">
        <f t="shared" si="36"/>
        <v>0</v>
      </c>
      <c r="CP11" s="38">
        <f>MAX(0,MIN(Inputs!$B$36,CU10,CQ11+CR11+CS11+Inputs!$B$6-CT10))</f>
        <v>22000</v>
      </c>
      <c r="CQ11" s="38">
        <f>Inputs!$B$27*(1+Inputs!$B$28)^($A11/12)*IF(Inputs!$B$73=1,$G11,1)*(1-Inputs!$C$73*$H11*(1-Inputs!$E$54*Inputs!$B$73))*(1+$I11)*IF(Inputs!$B$29=0,1,(MAX(CT10,0)/Inputs!$B$6)^Inputs!$B$29)</f>
        <v>14858.091996856978</v>
      </c>
      <c r="CR11" s="38">
        <f>Inputs!$B$32*CT10/Inputs!$B$6</f>
        <v>10320.725726494053</v>
      </c>
      <c r="CS11" s="38">
        <f>Inputs!$B$33</f>
        <v>2500</v>
      </c>
      <c r="CT11" s="38">
        <f t="shared" si="37"/>
        <v>644144.65394479304</v>
      </c>
      <c r="CU11" s="38">
        <f t="shared" si="38"/>
        <v>239250.00000000006</v>
      </c>
      <c r="CV11" s="38">
        <f>Inputs!$B$19*(1-Inputs!$C$73*$H11)+Inputs!$B$21+Inputs!$B$73*$J11</f>
        <v>594312.5</v>
      </c>
      <c r="CW11" s="38">
        <f t="shared" si="39"/>
        <v>49832.153944793041</v>
      </c>
      <c r="CX11" s="38">
        <f t="shared" si="40"/>
        <v>0</v>
      </c>
      <c r="CY11" s="38">
        <f>MAX(0,MIN(Inputs!$C$36,DD10,CZ11+DA11+DB11+Inputs!$C$6-DC10))</f>
        <v>20833.344219673891</v>
      </c>
      <c r="CZ11" s="38">
        <f>Inputs!$C$27*(1+Inputs!$C$28)^($A11/12)*IF(Inputs!$B$73=1,$G11,1)*(1-Inputs!$C$73*$H11*(1-Inputs!$E$54*Inputs!$B$73))*(1+$I11)*IF(Inputs!$C$29=0,1,(MAX(DC10,0)/Inputs!$C$6)^Inputs!$C$29)</f>
        <v>12083.344219673949</v>
      </c>
      <c r="DA11" s="38">
        <f>Inputs!$C$32*DC10/Inputs!$C$6</f>
        <v>6749.9999999999991</v>
      </c>
      <c r="DB11" s="38">
        <f>Inputs!$C$33</f>
        <v>2000</v>
      </c>
      <c r="DC11" s="38">
        <f t="shared" si="41"/>
        <v>800000</v>
      </c>
      <c r="DD11" s="38">
        <f t="shared" si="42"/>
        <v>467957.23104589712</v>
      </c>
      <c r="DE11" s="38">
        <f>Inputs!$C$19*(1-Inputs!$C$73*$H11)+Inputs!$C$21+Inputs!$B$73*$J11</f>
        <v>494625</v>
      </c>
      <c r="DF11" s="38">
        <f t="shared" si="43"/>
        <v>305375</v>
      </c>
      <c r="DG11" s="38">
        <f t="shared" si="44"/>
        <v>0</v>
      </c>
      <c r="DH11" s="38">
        <f>MAX(0,MIN(Inputs!$D$36,DM10,DI11+DJ11+DK11+Inputs!$D$6-DL10))</f>
        <v>15121.909688535845</v>
      </c>
      <c r="DI11" s="38">
        <f>Inputs!$D$27*(1+Inputs!$D$28)^($A11/12)*IF(Inputs!$B$73=1,$G11,1)*(1-Inputs!$C$73*$H11*(1-Inputs!$E$54*Inputs!$B$73))*(1+$I11)*IF(Inputs!$D$29=0,1,(MAX(DL10,0)/Inputs!$D$6)^Inputs!$D$29)</f>
        <v>9421.9096885358504</v>
      </c>
      <c r="DJ11" s="38">
        <f>Inputs!$D$32*DL10/Inputs!$D$6</f>
        <v>4200</v>
      </c>
      <c r="DK11" s="38">
        <f>Inputs!$D$33</f>
        <v>1500</v>
      </c>
      <c r="DL11" s="38">
        <f t="shared" si="45"/>
        <v>880000</v>
      </c>
      <c r="DM11" s="38">
        <f t="shared" si="46"/>
        <v>817833.78522308765</v>
      </c>
      <c r="DN11" s="38">
        <f>Inputs!$D$19*(1-Inputs!$C$73*$H11)+Inputs!$D$21+Inputs!$B$73*$J11</f>
        <v>404718.75</v>
      </c>
      <c r="DO11" s="38">
        <f t="shared" si="47"/>
        <v>475281.25</v>
      </c>
      <c r="DP11" s="38">
        <f t="shared" si="48"/>
        <v>0</v>
      </c>
    </row>
    <row r="12" spans="1:120" x14ac:dyDescent="0.35">
      <c r="A12" s="29">
        <v>7</v>
      </c>
      <c r="B12" s="34">
        <f>EDATE(Inputs!$B$67,$A12)</f>
        <v>46478</v>
      </c>
      <c r="C12" s="35">
        <f>IF(Inputs!$E$47&lt;=0,Inputs!$E$46,Inputs!$E$44+(Inputs!$E$46-Inputs!$E$44)*MIN($A12/Inputs!$E$47,1))</f>
        <v>0.34583333333333333</v>
      </c>
      <c r="D12" s="35">
        <f>MIN(Inputs!$E$57,Inputs!$E$55*(1+Inputs!$E$56)^($A12/12))*Inputs!$E$58*(1+Inputs!$E$59)^($A12/12)/Inputs!$E$45</f>
        <v>0.51108206932451883</v>
      </c>
      <c r="E12" s="35">
        <f>MAX(Inputs!$E$44,MIN(C12,D12))</f>
        <v>0.34583333333333333</v>
      </c>
      <c r="F12" s="35">
        <f>IF(Inputs!$E$50&lt;=0,Inputs!$E$49,Inputs!$E$48+(Inputs!$E$49-Inputs!$E$48)*MIN($A12/Inputs!$E$50,1))</f>
        <v>3.9444444444444449E-2</v>
      </c>
      <c r="G12" s="36">
        <f>(Inputs!$E$41*(1-E12*Inputs!$E$51)+Inputs!$E$42*(1-F12*Inputs!$E$51))/(Inputs!$E$41*(1-Inputs!$E$44*Inputs!$E$51)+Inputs!$E$42*(1-Inputs!$E$48*Inputs!$E$51))</f>
        <v>0.95975689881734561</v>
      </c>
      <c r="H12" s="35">
        <f>IF(Inputs!$E$53&lt;=0,Inputs!$E$52,Inputs!$E$52*MIN($A12/Inputs!$E$53,1))</f>
        <v>1.4583333333333335E-2</v>
      </c>
      <c r="I12" s="35">
        <f>IF(Inputs!$E$64&lt;=0,Inputs!$E$63,Inputs!$E$62+(Inputs!$E$63-Inputs!$E$62)*MIN($A12/Inputs!$E$64,1))</f>
        <v>8.7500000000000008E-3</v>
      </c>
      <c r="J12" s="37">
        <f>(E12-Inputs!$E$44)*Inputs!$E$45/Inputs!$E$60*Inputs!$E$61</f>
        <v>1749.9999999999995</v>
      </c>
      <c r="K12" s="29">
        <f t="shared" si="0"/>
        <v>0</v>
      </c>
      <c r="L12" s="29"/>
      <c r="M12" s="38">
        <f>MAX(0,MIN(Inputs!$B$36,R11,N12+O12+P12+Inputs!$B$6-Q11))</f>
        <v>22000</v>
      </c>
      <c r="N12" s="38">
        <f>Inputs!$B$27*(1+Inputs!$B$28)^($A12/12)*IF(Inputs!$B$70=1,$G12,1)*(1-Inputs!$C$70*$H12*(1-Inputs!$E$54*Inputs!$B$70))*(1+$I12)*IF(Inputs!$B$29=0,1,(MAX(Q11,0)/Inputs!$B$6)^Inputs!$B$29)</f>
        <v>15568.086330394783</v>
      </c>
      <c r="O12" s="38">
        <f>Inputs!$B$32*Q11/Inputs!$B$6</f>
        <v>10196.797440670081</v>
      </c>
      <c r="P12" s="38">
        <f>Inputs!$B$33</f>
        <v>2500</v>
      </c>
      <c r="Q12" s="38">
        <f t="shared" si="1"/>
        <v>635755.6958266811</v>
      </c>
      <c r="R12" s="38">
        <f t="shared" si="2"/>
        <v>217250.00000000006</v>
      </c>
      <c r="S12" s="38">
        <f>Inputs!$B$19*(1-Inputs!$C$70*$H12)+Inputs!$B$21+Inputs!$B$70*$J12</f>
        <v>595000</v>
      </c>
      <c r="T12" s="38">
        <f t="shared" si="3"/>
        <v>40755.695826681098</v>
      </c>
      <c r="U12" s="38">
        <f t="shared" si="4"/>
        <v>0</v>
      </c>
      <c r="V12" s="38">
        <f>MAX(0,MIN(Inputs!$C$36,AA11,W12+X12+Y12+Inputs!$C$6-Z11))</f>
        <v>21359.375</v>
      </c>
      <c r="W12" s="38">
        <f>Inputs!$C$27*(1+Inputs!$C$28)^($A12/12)*IF(Inputs!$B$70=1,$G12,1)*(1-Inputs!$C$70*$H12*(1-Inputs!$E$54*Inputs!$B$70))*(1+$I12)*IF(Inputs!$C$29=0,1,(MAX(Z11,0)/Inputs!$C$6)^Inputs!$C$29)</f>
        <v>12609.375</v>
      </c>
      <c r="X12" s="38">
        <f>Inputs!$C$32*Z11/Inputs!$C$6</f>
        <v>6749.9999999999991</v>
      </c>
      <c r="Y12" s="38">
        <f>Inputs!$C$33</f>
        <v>2000</v>
      </c>
      <c r="Z12" s="38">
        <f t="shared" si="5"/>
        <v>800000</v>
      </c>
      <c r="AA12" s="38">
        <f t="shared" si="6"/>
        <v>444812.5</v>
      </c>
      <c r="AB12" s="38">
        <f>Inputs!$C$19*(1-Inputs!$C$70*$H12)+Inputs!$C$21+Inputs!$B$70*$J12</f>
        <v>495000</v>
      </c>
      <c r="AC12" s="38">
        <f t="shared" si="7"/>
        <v>305000</v>
      </c>
      <c r="AD12" s="38">
        <f t="shared" si="8"/>
        <v>0</v>
      </c>
      <c r="AE12" s="38">
        <f>MAX(0,MIN(Inputs!$D$36,AJ11,AF12+AG12+AH12+Inputs!$D$6-AI11))</f>
        <v>15490.141845017904</v>
      </c>
      <c r="AF12" s="38">
        <f>Inputs!$D$27*(1+Inputs!$D$28)^($A12/12)*IF(Inputs!$B$70=1,$G12,1)*(1-Inputs!$C$70*$H12*(1-Inputs!$E$54*Inputs!$B$70))*(1+$I12)*IF(Inputs!$D$29=0,1,(MAX(AI11,0)/Inputs!$D$6)^Inputs!$D$29)</f>
        <v>9790.1418450178826</v>
      </c>
      <c r="AG12" s="38">
        <f>Inputs!$D$32*AI11/Inputs!$D$6</f>
        <v>4200</v>
      </c>
      <c r="AH12" s="38">
        <f>Inputs!$D$33</f>
        <v>1500</v>
      </c>
      <c r="AI12" s="38">
        <f t="shared" si="9"/>
        <v>880000</v>
      </c>
      <c r="AJ12" s="38">
        <f t="shared" si="10"/>
        <v>800941.54684379278</v>
      </c>
      <c r="AK12" s="38">
        <f>Inputs!$D$19*(1-Inputs!$C$70*$H12)+Inputs!$D$21+Inputs!$B$70*$J12</f>
        <v>404800</v>
      </c>
      <c r="AL12" s="38">
        <f t="shared" si="11"/>
        <v>475200</v>
      </c>
      <c r="AM12" s="38">
        <f t="shared" si="12"/>
        <v>0</v>
      </c>
      <c r="AN12" s="38">
        <f>MAX(0,MIN(Inputs!$B$36,AS11,AO12+AP12+AQ12+Inputs!$B$6-AR11))</f>
        <v>22000</v>
      </c>
      <c r="AO12" s="38">
        <f>Inputs!$B$27*(1+Inputs!$B$28)^($A12/12)*IF(Inputs!$B$71=1,$G12,1)*(1-Inputs!$C$71*$H12*(1-Inputs!$E$54*Inputs!$B$71))*(1+$I12)*IF(Inputs!$B$29=0,1,(MAX(AR11,0)/Inputs!$B$6)^Inputs!$B$29)</f>
        <v>14941.578256980407</v>
      </c>
      <c r="AP12" s="38">
        <f>Inputs!$B$32*AR11/Inputs!$B$6</f>
        <v>10225.468615514183</v>
      </c>
      <c r="AQ12" s="38">
        <f>Inputs!$B$33</f>
        <v>2500</v>
      </c>
      <c r="AR12" s="38">
        <f t="shared" si="13"/>
        <v>638158.75484506506</v>
      </c>
      <c r="AS12" s="38">
        <f t="shared" si="14"/>
        <v>217250.00000000006</v>
      </c>
      <c r="AT12" s="38">
        <f>Inputs!$B$19*(1-Inputs!$C$71*$H12)+Inputs!$B$21+Inputs!$B$71*$J12</f>
        <v>596750</v>
      </c>
      <c r="AU12" s="38">
        <f t="shared" si="15"/>
        <v>41408.754845065065</v>
      </c>
      <c r="AV12" s="38">
        <f t="shared" si="16"/>
        <v>0</v>
      </c>
      <c r="AW12" s="38">
        <f>MAX(0,MIN(Inputs!$C$36,BB11,AX12+AY12+AZ12+Inputs!$C$6-BA11))</f>
        <v>20851.934646024951</v>
      </c>
      <c r="AX12" s="38">
        <f>Inputs!$C$27*(1+Inputs!$C$28)^($A12/12)*IF(Inputs!$B$71=1,$G12,1)*(1-Inputs!$C$71*$H12*(1-Inputs!$E$54*Inputs!$B$71))*(1+$I12)*IF(Inputs!$C$29=0,1,(MAX(BA11,0)/Inputs!$C$6)^Inputs!$C$29)</f>
        <v>12101.934646024969</v>
      </c>
      <c r="AY12" s="38">
        <f>Inputs!$C$32*BA11/Inputs!$C$6</f>
        <v>6749.9999999999991</v>
      </c>
      <c r="AZ12" s="38">
        <f>Inputs!$C$33</f>
        <v>2000</v>
      </c>
      <c r="BA12" s="38">
        <f t="shared" si="17"/>
        <v>800000</v>
      </c>
      <c r="BB12" s="38">
        <f t="shared" si="18"/>
        <v>446837.23102825228</v>
      </c>
      <c r="BC12" s="38">
        <f>Inputs!$C$19*(1-Inputs!$C$71*$H12)+Inputs!$C$21+Inputs!$B$71*$J12</f>
        <v>496750</v>
      </c>
      <c r="BD12" s="38">
        <f t="shared" si="19"/>
        <v>303250</v>
      </c>
      <c r="BE12" s="38">
        <f t="shared" si="20"/>
        <v>0</v>
      </c>
      <c r="BF12" s="38">
        <f>MAX(0,MIN(Inputs!$D$36,BK11,BG12+BH12+BI12+Inputs!$D$6-BJ11))</f>
        <v>15096.156176156248</v>
      </c>
      <c r="BG12" s="38">
        <f>Inputs!$D$27*(1+Inputs!$D$28)^($A12/12)*IF(Inputs!$B$71=1,$G12,1)*(1-Inputs!$C$71*$H12*(1-Inputs!$E$54*Inputs!$B$71))*(1+$I12)*IF(Inputs!$D$29=0,1,(MAX(BJ11,0)/Inputs!$D$6)^Inputs!$D$29)</f>
        <v>9396.156176156288</v>
      </c>
      <c r="BH12" s="38">
        <f>Inputs!$D$32*BJ11/Inputs!$D$6</f>
        <v>4200</v>
      </c>
      <c r="BI12" s="38">
        <f>Inputs!$D$33</f>
        <v>1500</v>
      </c>
      <c r="BJ12" s="38">
        <f t="shared" si="21"/>
        <v>880000</v>
      </c>
      <c r="BK12" s="38">
        <f t="shared" si="22"/>
        <v>802527.09881011047</v>
      </c>
      <c r="BL12" s="38">
        <f>Inputs!$D$19*(1-Inputs!$C$71*$H12)+Inputs!$D$21+Inputs!$B$71*$J12</f>
        <v>406550</v>
      </c>
      <c r="BM12" s="38">
        <f t="shared" si="23"/>
        <v>473450</v>
      </c>
      <c r="BN12" s="38">
        <f t="shared" si="24"/>
        <v>0</v>
      </c>
      <c r="BO12" s="38">
        <f>MAX(0,MIN(Inputs!$B$36,BT11,BP12+BQ12+BR12+Inputs!$B$6-BS11))</f>
        <v>22000</v>
      </c>
      <c r="BP12" s="38">
        <f>Inputs!$B$27*(1+Inputs!$B$28)^($A12/12)*IF(Inputs!$B$72=1,$G12,1)*(1-Inputs!$C$72*$H12*(1-Inputs!$E$54*Inputs!$B$72))*(1+$I12)*IF(Inputs!$B$29=0,1,(MAX(BS11,0)/Inputs!$B$6)^Inputs!$B$29)</f>
        <v>15341.051738076527</v>
      </c>
      <c r="BQ12" s="38">
        <f>Inputs!$B$32*BS11/Inputs!$B$6</f>
        <v>10207.187328315968</v>
      </c>
      <c r="BR12" s="38">
        <f>Inputs!$B$33</f>
        <v>2500</v>
      </c>
      <c r="BS12" s="38">
        <f t="shared" si="25"/>
        <v>636626.51864239073</v>
      </c>
      <c r="BT12" s="38">
        <f t="shared" si="26"/>
        <v>217250.00000000006</v>
      </c>
      <c r="BU12" s="38">
        <f>Inputs!$B$19*(1-Inputs!$C$72*$H12)+Inputs!$B$21+Inputs!$B$72*$J12</f>
        <v>592447.91666666674</v>
      </c>
      <c r="BV12" s="38">
        <f t="shared" si="27"/>
        <v>44178.601975723985</v>
      </c>
      <c r="BW12" s="38">
        <f t="shared" si="28"/>
        <v>0</v>
      </c>
      <c r="BX12" s="38">
        <f>MAX(0,MIN(Inputs!$C$36,CC11,BY12+BZ12+CA12+Inputs!$C$6-CB11))</f>
        <v>21175.48828125</v>
      </c>
      <c r="BY12" s="38">
        <f>Inputs!$C$27*(1+Inputs!$C$28)^($A12/12)*IF(Inputs!$B$72=1,$G12,1)*(1-Inputs!$C$72*$H12*(1-Inputs!$E$54*Inputs!$B$72))*(1+$I12)*IF(Inputs!$C$29=0,1,(MAX(CB11,0)/Inputs!$C$6)^Inputs!$C$29)</f>
        <v>12425.488281250002</v>
      </c>
      <c r="BZ12" s="38">
        <f>Inputs!$C$32*CB11/Inputs!$C$6</f>
        <v>6749.9999999999991</v>
      </c>
      <c r="CA12" s="38">
        <f>Inputs!$C$33</f>
        <v>2000</v>
      </c>
      <c r="CB12" s="38">
        <f t="shared" si="29"/>
        <v>800000</v>
      </c>
      <c r="CC12" s="38">
        <f t="shared" si="30"/>
        <v>445546.22395833326</v>
      </c>
      <c r="CD12" s="38">
        <f>Inputs!$C$19*(1-Inputs!$C$72*$H12)+Inputs!$C$21+Inputs!$B$72*$J12</f>
        <v>492812.5</v>
      </c>
      <c r="CE12" s="38">
        <f t="shared" si="31"/>
        <v>307187.5</v>
      </c>
      <c r="CF12" s="38">
        <f t="shared" si="32"/>
        <v>0</v>
      </c>
      <c r="CG12" s="38">
        <f>MAX(0,MIN(Inputs!$D$36,CL11,CH12+CI12+CJ12+Inputs!$D$6-CK11))</f>
        <v>15347.368943111389</v>
      </c>
      <c r="CH12" s="38">
        <f>Inputs!$D$27*(1+Inputs!$D$28)^($A12/12)*IF(Inputs!$B$72=1,$G12,1)*(1-Inputs!$C$72*$H12*(1-Inputs!$E$54*Inputs!$B$72))*(1+$I12)*IF(Inputs!$D$29=0,1,(MAX(CK11,0)/Inputs!$D$6)^Inputs!$D$29)</f>
        <v>9647.3689431113726</v>
      </c>
      <c r="CI12" s="38">
        <f>Inputs!$D$32*CK11/Inputs!$D$6</f>
        <v>4200</v>
      </c>
      <c r="CJ12" s="38">
        <f>Inputs!$D$33</f>
        <v>1500</v>
      </c>
      <c r="CK12" s="38">
        <f t="shared" si="33"/>
        <v>880000</v>
      </c>
      <c r="CL12" s="38">
        <f t="shared" si="34"/>
        <v>801516.12067539641</v>
      </c>
      <c r="CM12" s="38">
        <f>Inputs!$D$19*(1-Inputs!$C$72*$H12)+Inputs!$D$21+Inputs!$B$72*$J12</f>
        <v>402955.20833333337</v>
      </c>
      <c r="CN12" s="38">
        <f t="shared" si="35"/>
        <v>477044.79166666663</v>
      </c>
      <c r="CO12" s="38">
        <f t="shared" si="36"/>
        <v>0</v>
      </c>
      <c r="CP12" s="38">
        <f>MAX(0,MIN(Inputs!$B$36,CU11,CQ12+CR12+CS12+Inputs!$B$6-CT11))</f>
        <v>22000</v>
      </c>
      <c r="CQ12" s="38">
        <f>Inputs!$B$27*(1+Inputs!$B$28)^($A12/12)*IF(Inputs!$B$73=1,$G12,1)*(1-Inputs!$C$73*$H12*(1-Inputs!$E$54*Inputs!$B$73))*(1+$I12)*IF(Inputs!$B$29=0,1,(MAX(CT11,0)/Inputs!$B$6)^Inputs!$B$29)</f>
        <v>14832.62924885659</v>
      </c>
      <c r="CR12" s="38">
        <f>Inputs!$B$32*CT11/Inputs!$B$6</f>
        <v>10230.532739123184</v>
      </c>
      <c r="CS12" s="38">
        <f>Inputs!$B$33</f>
        <v>2500</v>
      </c>
      <c r="CT12" s="38">
        <f t="shared" si="37"/>
        <v>638581.49195681326</v>
      </c>
      <c r="CU12" s="38">
        <f t="shared" si="38"/>
        <v>217250.00000000006</v>
      </c>
      <c r="CV12" s="38">
        <f>Inputs!$B$19*(1-Inputs!$C$73*$H12)+Inputs!$B$21+Inputs!$B$73*$J12</f>
        <v>594197.91666666674</v>
      </c>
      <c r="CW12" s="38">
        <f t="shared" si="39"/>
        <v>44383.575290146517</v>
      </c>
      <c r="CX12" s="38">
        <f t="shared" si="40"/>
        <v>0</v>
      </c>
      <c r="CY12" s="38">
        <f>MAX(0,MIN(Inputs!$C$36,DD11,CZ12+DA12+DB12+Inputs!$C$6-DC11))</f>
        <v>20763.691372564412</v>
      </c>
      <c r="CZ12" s="38">
        <f>Inputs!$C$27*(1+Inputs!$C$28)^($A12/12)*IF(Inputs!$B$73=1,$G12,1)*(1-Inputs!$C$73*$H12*(1-Inputs!$E$54*Inputs!$B$73))*(1+$I12)*IF(Inputs!$C$29=0,1,(MAX(DC11,0)/Inputs!$C$6)^Inputs!$C$29)</f>
        <v>12013.69137256437</v>
      </c>
      <c r="DA12" s="38">
        <f>Inputs!$C$32*DC11/Inputs!$C$6</f>
        <v>6749.9999999999991</v>
      </c>
      <c r="DB12" s="38">
        <f>Inputs!$C$33</f>
        <v>2000</v>
      </c>
      <c r="DC12" s="38">
        <f t="shared" si="41"/>
        <v>800000</v>
      </c>
      <c r="DD12" s="38">
        <f t="shared" si="42"/>
        <v>447193.53967333271</v>
      </c>
      <c r="DE12" s="38">
        <f>Inputs!$C$19*(1-Inputs!$C$73*$H12)+Inputs!$C$21+Inputs!$B$73*$J12</f>
        <v>494562.5</v>
      </c>
      <c r="DF12" s="38">
        <f t="shared" si="43"/>
        <v>305437.5</v>
      </c>
      <c r="DG12" s="38">
        <f t="shared" si="44"/>
        <v>0</v>
      </c>
      <c r="DH12" s="38">
        <f>MAX(0,MIN(Inputs!$D$36,DM11,DI12+DJ12+DK12+Inputs!$D$6-DL11))</f>
        <v>15027.642537371838</v>
      </c>
      <c r="DI12" s="38">
        <f>Inputs!$D$27*(1+Inputs!$D$28)^($A12/12)*IF(Inputs!$B$73=1,$G12,1)*(1-Inputs!$C$73*$H12*(1-Inputs!$E$54*Inputs!$B$73))*(1+$I12)*IF(Inputs!$D$29=0,1,(MAX(DL11,0)/Inputs!$D$6)^Inputs!$D$29)</f>
        <v>9327.6425373718157</v>
      </c>
      <c r="DJ12" s="38">
        <f>Inputs!$D$32*DL11/Inputs!$D$6</f>
        <v>4200</v>
      </c>
      <c r="DK12" s="38">
        <f>Inputs!$D$33</f>
        <v>1500</v>
      </c>
      <c r="DL12" s="38">
        <f t="shared" si="45"/>
        <v>880000</v>
      </c>
      <c r="DM12" s="38">
        <f t="shared" si="46"/>
        <v>802806.14268571581</v>
      </c>
      <c r="DN12" s="38">
        <f>Inputs!$D$19*(1-Inputs!$C$73*$H12)+Inputs!$D$21+Inputs!$B$73*$J12</f>
        <v>404705.20833333337</v>
      </c>
      <c r="DO12" s="38">
        <f t="shared" si="47"/>
        <v>475294.79166666663</v>
      </c>
      <c r="DP12" s="38">
        <f t="shared" si="48"/>
        <v>0</v>
      </c>
    </row>
    <row r="13" spans="1:120" x14ac:dyDescent="0.35">
      <c r="A13" s="29">
        <v>8</v>
      </c>
      <c r="B13" s="34">
        <f>EDATE(Inputs!$B$67,$A13)</f>
        <v>46508</v>
      </c>
      <c r="C13" s="35">
        <f>IF(Inputs!$E$47&lt;=0,Inputs!$E$46,Inputs!$E$44+(Inputs!$E$46-Inputs!$E$44)*MIN($A13/Inputs!$E$47,1))</f>
        <v>0.36666666666666664</v>
      </c>
      <c r="D13" s="35">
        <f>MIN(Inputs!$E$57,Inputs!$E$55*(1+Inputs!$E$56)^($A13/12))*Inputs!$E$58*(1+Inputs!$E$59)^($A13/12)/Inputs!$E$45</f>
        <v>0.52561527863678181</v>
      </c>
      <c r="E13" s="35">
        <f>MAX(Inputs!$E$44,MIN(C13,D13))</f>
        <v>0.36666666666666664</v>
      </c>
      <c r="F13" s="35">
        <f>IF(Inputs!$E$50&lt;=0,Inputs!$E$49,Inputs!$E$48+(Inputs!$E$49-Inputs!$E$48)*MIN($A13/Inputs!$E$50,1))</f>
        <v>4.2222222222222217E-2</v>
      </c>
      <c r="G13" s="36">
        <f>(Inputs!$E$41*(1-E13*Inputs!$E$51)+Inputs!$E$42*(1-F13*Inputs!$E$51))/(Inputs!$E$41*(1-Inputs!$E$44*Inputs!$E$51)+Inputs!$E$42*(1-Inputs!$E$48*Inputs!$E$51))</f>
        <v>0.95400788436268069</v>
      </c>
      <c r="H13" s="35">
        <f>IF(Inputs!$E$53&lt;=0,Inputs!$E$52,Inputs!$E$52*MIN($A13/Inputs!$E$53,1))</f>
        <v>1.6666666666666666E-2</v>
      </c>
      <c r="I13" s="35">
        <f>IF(Inputs!$E$64&lt;=0,Inputs!$E$63,Inputs!$E$62+(Inputs!$E$63-Inputs!$E$62)*MIN($A13/Inputs!$E$64,1))</f>
        <v>9.9999999999999985E-3</v>
      </c>
      <c r="J13" s="37">
        <f>(E13-Inputs!$E$44)*Inputs!$E$45/Inputs!$E$60*Inputs!$E$61</f>
        <v>1999.9999999999995</v>
      </c>
      <c r="K13" s="29">
        <f t="shared" si="0"/>
        <v>0</v>
      </c>
      <c r="L13" s="29"/>
      <c r="M13" s="38">
        <f>MAX(0,MIN(Inputs!$B$36,R12,N13+O13+P13+Inputs!$B$6-Q12))</f>
        <v>22000</v>
      </c>
      <c r="N13" s="38">
        <f>Inputs!$B$27*(1+Inputs!$B$28)^($A13/12)*IF(Inputs!$B$70=1,$G13,1)*(1-Inputs!$C$70*$H13*(1-Inputs!$E$54*Inputs!$B$70))*(1+$I13)*IF(Inputs!$B$29=0,1,(MAX(Q12,0)/Inputs!$B$6)^Inputs!$B$29)</f>
        <v>15650.882545319579</v>
      </c>
      <c r="O13" s="38">
        <f>Inputs!$B$32*Q12/Inputs!$B$6</f>
        <v>10097.296345482582</v>
      </c>
      <c r="P13" s="38">
        <f>Inputs!$B$33</f>
        <v>2500</v>
      </c>
      <c r="Q13" s="38">
        <f t="shared" si="1"/>
        <v>629507.5169358789</v>
      </c>
      <c r="R13" s="38">
        <f t="shared" si="2"/>
        <v>195250.00000000006</v>
      </c>
      <c r="S13" s="38">
        <f>Inputs!$B$19*(1-Inputs!$C$70*$H13)+Inputs!$B$21+Inputs!$B$70*$J13</f>
        <v>595000</v>
      </c>
      <c r="T13" s="38">
        <f t="shared" si="3"/>
        <v>34507.516935878899</v>
      </c>
      <c r="U13" s="38">
        <f t="shared" si="4"/>
        <v>0</v>
      </c>
      <c r="V13" s="38">
        <f>MAX(0,MIN(Inputs!$C$36,AA12,W13+X13+Y13+Inputs!$C$6-Z12))</f>
        <v>21375</v>
      </c>
      <c r="W13" s="38">
        <f>Inputs!$C$27*(1+Inputs!$C$28)^($A13/12)*IF(Inputs!$B$70=1,$G13,1)*(1-Inputs!$C$70*$H13*(1-Inputs!$E$54*Inputs!$B$70))*(1+$I13)*IF(Inputs!$C$29=0,1,(MAX(Z12,0)/Inputs!$C$6)^Inputs!$C$29)</f>
        <v>12625</v>
      </c>
      <c r="X13" s="38">
        <f>Inputs!$C$32*Z12/Inputs!$C$6</f>
        <v>6749.9999999999991</v>
      </c>
      <c r="Y13" s="38">
        <f>Inputs!$C$33</f>
        <v>2000</v>
      </c>
      <c r="Z13" s="38">
        <f t="shared" si="5"/>
        <v>800000</v>
      </c>
      <c r="AA13" s="38">
        <f t="shared" si="6"/>
        <v>423437.5</v>
      </c>
      <c r="AB13" s="38">
        <f>Inputs!$C$19*(1-Inputs!$C$70*$H13)+Inputs!$C$21+Inputs!$B$70*$J13</f>
        <v>495000</v>
      </c>
      <c r="AC13" s="38">
        <f t="shared" si="7"/>
        <v>305000</v>
      </c>
      <c r="AD13" s="38">
        <f t="shared" si="8"/>
        <v>0</v>
      </c>
      <c r="AE13" s="38">
        <f>MAX(0,MIN(Inputs!$D$36,AJ12,AF13+AG13+AH13+Inputs!$D$6-AI12))</f>
        <v>15460.463550793589</v>
      </c>
      <c r="AF13" s="38">
        <f>Inputs!$D$27*(1+Inputs!$D$28)^($A13/12)*IF(Inputs!$B$70=1,$G13,1)*(1-Inputs!$C$70*$H13*(1-Inputs!$E$54*Inputs!$B$70))*(1+$I13)*IF(Inputs!$D$29=0,1,(MAX(AI12,0)/Inputs!$D$6)^Inputs!$D$29)</f>
        <v>9760.4635507936146</v>
      </c>
      <c r="AG13" s="38">
        <f>Inputs!$D$32*AI12/Inputs!$D$6</f>
        <v>4200</v>
      </c>
      <c r="AH13" s="38">
        <f>Inputs!$D$33</f>
        <v>1500</v>
      </c>
      <c r="AI13" s="38">
        <f t="shared" si="9"/>
        <v>880000</v>
      </c>
      <c r="AJ13" s="38">
        <f t="shared" si="10"/>
        <v>785481.08329299919</v>
      </c>
      <c r="AK13" s="38">
        <f>Inputs!$D$19*(1-Inputs!$C$70*$H13)+Inputs!$D$21+Inputs!$B$70*$J13</f>
        <v>404800</v>
      </c>
      <c r="AL13" s="38">
        <f t="shared" si="11"/>
        <v>475200</v>
      </c>
      <c r="AM13" s="38">
        <f t="shared" si="12"/>
        <v>0</v>
      </c>
      <c r="AN13" s="38">
        <f>MAX(0,MIN(Inputs!$B$36,AS12,AO13+AP13+AQ13+Inputs!$B$6-AR12))</f>
        <v>22000</v>
      </c>
      <c r="AO13" s="38">
        <f>Inputs!$B$27*(1+Inputs!$B$28)^($A13/12)*IF(Inputs!$B$71=1,$G13,1)*(1-Inputs!$C$71*$H13*(1-Inputs!$E$54*Inputs!$B$71))*(1+$I13)*IF(Inputs!$B$29=0,1,(MAX(AR12,0)/Inputs!$B$6)^Inputs!$B$29)</f>
        <v>14931.065345469138</v>
      </c>
      <c r="AP13" s="38">
        <f>Inputs!$B$32*AR12/Inputs!$B$6</f>
        <v>10135.462576951033</v>
      </c>
      <c r="AQ13" s="38">
        <f>Inputs!$B$33</f>
        <v>2500</v>
      </c>
      <c r="AR13" s="38">
        <f t="shared" si="13"/>
        <v>632592.22692264488</v>
      </c>
      <c r="AS13" s="38">
        <f t="shared" si="14"/>
        <v>195250.00000000006</v>
      </c>
      <c r="AT13" s="38">
        <f>Inputs!$B$19*(1-Inputs!$C$71*$H13)+Inputs!$B$21+Inputs!$B$71*$J13</f>
        <v>597000</v>
      </c>
      <c r="AU13" s="38">
        <f t="shared" si="15"/>
        <v>35592.226922644884</v>
      </c>
      <c r="AV13" s="38">
        <f t="shared" si="16"/>
        <v>0</v>
      </c>
      <c r="AW13" s="38">
        <f>MAX(0,MIN(Inputs!$C$36,BB12,AX13+AY13+AZ13+Inputs!$C$6-BA12))</f>
        <v>20794.349540078896</v>
      </c>
      <c r="AX13" s="38">
        <f>Inputs!$C$27*(1+Inputs!$C$28)^($A13/12)*IF(Inputs!$B$71=1,$G13,1)*(1-Inputs!$C$71*$H13*(1-Inputs!$E$54*Inputs!$B$71))*(1+$I13)*IF(Inputs!$C$29=0,1,(MAX(BA12,0)/Inputs!$C$6)^Inputs!$C$29)</f>
        <v>12044.349540078843</v>
      </c>
      <c r="AY13" s="38">
        <f>Inputs!$C$32*BA12/Inputs!$C$6</f>
        <v>6749.9999999999991</v>
      </c>
      <c r="AZ13" s="38">
        <f>Inputs!$C$33</f>
        <v>2000</v>
      </c>
      <c r="BA13" s="38">
        <f t="shared" si="17"/>
        <v>800000</v>
      </c>
      <c r="BB13" s="38">
        <f t="shared" si="18"/>
        <v>426042.88148817339</v>
      </c>
      <c r="BC13" s="38">
        <f>Inputs!$C$19*(1-Inputs!$C$71*$H13)+Inputs!$C$21+Inputs!$B$71*$J13</f>
        <v>497000</v>
      </c>
      <c r="BD13" s="38">
        <f t="shared" si="19"/>
        <v>303000</v>
      </c>
      <c r="BE13" s="38">
        <f t="shared" si="20"/>
        <v>0</v>
      </c>
      <c r="BF13" s="38">
        <f>MAX(0,MIN(Inputs!$D$36,BK12,BG13+BH13+BI13+Inputs!$D$6-BJ12))</f>
        <v>15011.559182491619</v>
      </c>
      <c r="BG13" s="38">
        <f>Inputs!$D$27*(1+Inputs!$D$28)^($A13/12)*IF(Inputs!$B$71=1,$G13,1)*(1-Inputs!$C$71*$H13*(1-Inputs!$E$54*Inputs!$B$71))*(1+$I13)*IF(Inputs!$D$29=0,1,(MAX(BJ12,0)/Inputs!$D$6)^Inputs!$D$29)</f>
        <v>9311.5591824916737</v>
      </c>
      <c r="BH13" s="38">
        <f>Inputs!$D$32*BJ12/Inputs!$D$6</f>
        <v>4200</v>
      </c>
      <c r="BI13" s="38">
        <f>Inputs!$D$33</f>
        <v>1500</v>
      </c>
      <c r="BJ13" s="38">
        <f t="shared" si="21"/>
        <v>880000</v>
      </c>
      <c r="BK13" s="38">
        <f t="shared" si="22"/>
        <v>787515.53962761885</v>
      </c>
      <c r="BL13" s="38">
        <f>Inputs!$D$19*(1-Inputs!$C$71*$H13)+Inputs!$D$21+Inputs!$B$71*$J13</f>
        <v>406800</v>
      </c>
      <c r="BM13" s="38">
        <f t="shared" si="23"/>
        <v>473200</v>
      </c>
      <c r="BN13" s="38">
        <f t="shared" si="24"/>
        <v>0</v>
      </c>
      <c r="BO13" s="38">
        <f>MAX(0,MIN(Inputs!$B$36,BT12,BP13+BQ13+BR13+Inputs!$B$6-BS12))</f>
        <v>22000</v>
      </c>
      <c r="BP13" s="38">
        <f>Inputs!$B$27*(1+Inputs!$B$28)^($A13/12)*IF(Inputs!$B$72=1,$G13,1)*(1-Inputs!$C$72*$H13*(1-Inputs!$E$54*Inputs!$B$72))*(1+$I13)*IF(Inputs!$B$29=0,1,(MAX(BS12,0)/Inputs!$B$6)^Inputs!$B$29)</f>
        <v>15390.034502897586</v>
      </c>
      <c r="BQ13" s="38">
        <f>Inputs!$B$32*BS12/Inputs!$B$6</f>
        <v>10111.127060790912</v>
      </c>
      <c r="BR13" s="38">
        <f>Inputs!$B$33</f>
        <v>2500</v>
      </c>
      <c r="BS13" s="38">
        <f t="shared" si="25"/>
        <v>630625.35707870231</v>
      </c>
      <c r="BT13" s="38">
        <f t="shared" si="26"/>
        <v>195250.00000000006</v>
      </c>
      <c r="BU13" s="38">
        <f>Inputs!$B$19*(1-Inputs!$C$72*$H13)+Inputs!$B$21+Inputs!$B$72*$J13</f>
        <v>592083.33333333326</v>
      </c>
      <c r="BV13" s="38">
        <f t="shared" si="27"/>
        <v>38542.02374536905</v>
      </c>
      <c r="BW13" s="38">
        <f t="shared" si="28"/>
        <v>0</v>
      </c>
      <c r="BX13" s="38">
        <f>MAX(0,MIN(Inputs!$C$36,CC12,BY13+BZ13+CA13+Inputs!$C$6-CB12))</f>
        <v>21164.583333333372</v>
      </c>
      <c r="BY13" s="38">
        <f>Inputs!$C$27*(1+Inputs!$C$28)^($A13/12)*IF(Inputs!$B$72=1,$G13,1)*(1-Inputs!$C$72*$H13*(1-Inputs!$E$54*Inputs!$B$72))*(1+$I13)*IF(Inputs!$C$29=0,1,(MAX(CB12,0)/Inputs!$C$6)^Inputs!$C$29)</f>
        <v>12414.583333333332</v>
      </c>
      <c r="BZ13" s="38">
        <f>Inputs!$C$32*CB12/Inputs!$C$6</f>
        <v>6749.9999999999991</v>
      </c>
      <c r="CA13" s="38">
        <f>Inputs!$C$33</f>
        <v>2000</v>
      </c>
      <c r="CB13" s="38">
        <f t="shared" si="29"/>
        <v>800000</v>
      </c>
      <c r="CC13" s="38">
        <f t="shared" si="30"/>
        <v>424381.64062499988</v>
      </c>
      <c r="CD13" s="38">
        <f>Inputs!$C$19*(1-Inputs!$C$72*$H13)+Inputs!$C$21+Inputs!$B$72*$J13</f>
        <v>492500</v>
      </c>
      <c r="CE13" s="38">
        <f t="shared" si="31"/>
        <v>307500</v>
      </c>
      <c r="CF13" s="38">
        <f t="shared" si="32"/>
        <v>0</v>
      </c>
      <c r="CG13" s="38">
        <f>MAX(0,MIN(Inputs!$D$36,CL12,CH13+CI13+CJ13+Inputs!$D$6-CK12))</f>
        <v>15297.789158280357</v>
      </c>
      <c r="CH13" s="38">
        <f>Inputs!$D$27*(1+Inputs!$D$28)^($A13/12)*IF(Inputs!$B$72=1,$G13,1)*(1-Inputs!$C$72*$H13*(1-Inputs!$E$54*Inputs!$B$72))*(1+$I13)*IF(Inputs!$D$29=0,1,(MAX(CK12,0)/Inputs!$D$6)^Inputs!$D$29)</f>
        <v>9597.7891582803859</v>
      </c>
      <c r="CI13" s="38">
        <f>Inputs!$D$32*CK12/Inputs!$D$6</f>
        <v>4200</v>
      </c>
      <c r="CJ13" s="38">
        <f>Inputs!$D$33</f>
        <v>1500</v>
      </c>
      <c r="CK13" s="38">
        <f t="shared" si="33"/>
        <v>880000</v>
      </c>
      <c r="CL13" s="38">
        <f t="shared" si="34"/>
        <v>786218.33151711605</v>
      </c>
      <c r="CM13" s="38">
        <f>Inputs!$D$19*(1-Inputs!$C$72*$H13)+Inputs!$D$21+Inputs!$B$72*$J13</f>
        <v>402691.66666666663</v>
      </c>
      <c r="CN13" s="38">
        <f t="shared" si="35"/>
        <v>477308.33333333337</v>
      </c>
      <c r="CO13" s="38">
        <f t="shared" si="36"/>
        <v>0</v>
      </c>
      <c r="CP13" s="38">
        <f>MAX(0,MIN(Inputs!$B$36,CU12,CQ13+CR13+CS13+Inputs!$B$6-CT12))</f>
        <v>22000</v>
      </c>
      <c r="CQ13" s="38">
        <f>Inputs!$B$27*(1+Inputs!$B$28)^($A13/12)*IF(Inputs!$B$73=1,$G13,1)*(1-Inputs!$C$73*$H13*(1-Inputs!$E$54*Inputs!$B$73))*(1+$I13)*IF(Inputs!$B$29=0,1,(MAX(CT12,0)/Inputs!$B$6)^Inputs!$B$29)</f>
        <v>14806.639800923562</v>
      </c>
      <c r="CR13" s="38">
        <f>Inputs!$B$32*CT12/Inputs!$B$6</f>
        <v>10142.176636961152</v>
      </c>
      <c r="CS13" s="38">
        <f>Inputs!$B$33</f>
        <v>2500</v>
      </c>
      <c r="CT13" s="38">
        <f t="shared" si="37"/>
        <v>633132.67551892856</v>
      </c>
      <c r="CU13" s="38">
        <f t="shared" si="38"/>
        <v>195250.00000000006</v>
      </c>
      <c r="CV13" s="38">
        <f>Inputs!$B$19*(1-Inputs!$C$73*$H13)+Inputs!$B$21+Inputs!$B$73*$J13</f>
        <v>594083.33333333326</v>
      </c>
      <c r="CW13" s="38">
        <f t="shared" si="39"/>
        <v>39049.342185595306</v>
      </c>
      <c r="CX13" s="38">
        <f t="shared" si="40"/>
        <v>0</v>
      </c>
      <c r="CY13" s="38">
        <f>MAX(0,MIN(Inputs!$C$36,DD12,CZ13+DA13+DB13+Inputs!$C$6-DC12))</f>
        <v>20693.979960578145</v>
      </c>
      <c r="CZ13" s="38">
        <f>Inputs!$C$27*(1+Inputs!$C$28)^($A13/12)*IF(Inputs!$B$73=1,$G13,1)*(1-Inputs!$C$73*$H13*(1-Inputs!$E$54*Inputs!$B$73))*(1+$I13)*IF(Inputs!$C$29=0,1,(MAX(DC12,0)/Inputs!$C$6)^Inputs!$C$29)</f>
        <v>11943.979960578186</v>
      </c>
      <c r="DA13" s="38">
        <f>Inputs!$C$32*DC12/Inputs!$C$6</f>
        <v>6749.9999999999991</v>
      </c>
      <c r="DB13" s="38">
        <f>Inputs!$C$33</f>
        <v>2000</v>
      </c>
      <c r="DC13" s="38">
        <f t="shared" si="41"/>
        <v>800000</v>
      </c>
      <c r="DD13" s="38">
        <f t="shared" si="42"/>
        <v>426499.55971275456</v>
      </c>
      <c r="DE13" s="38">
        <f>Inputs!$C$19*(1-Inputs!$C$73*$H13)+Inputs!$C$21+Inputs!$B$73*$J13</f>
        <v>494500</v>
      </c>
      <c r="DF13" s="38">
        <f t="shared" si="43"/>
        <v>305500</v>
      </c>
      <c r="DG13" s="38">
        <f t="shared" si="44"/>
        <v>0</v>
      </c>
      <c r="DH13" s="38">
        <f>MAX(0,MIN(Inputs!$D$36,DM12,DI13+DJ13+DK13+Inputs!$D$6-DL12))</f>
        <v>14933.962855970953</v>
      </c>
      <c r="DI13" s="38">
        <f>Inputs!$D$27*(1+Inputs!$D$28)^($A13/12)*IF(Inputs!$B$73=1,$G13,1)*(1-Inputs!$C$73*$H13*(1-Inputs!$E$54*Inputs!$B$73))*(1+$I13)*IF(Inputs!$D$29=0,1,(MAX(DL12,0)/Inputs!$D$6)^Inputs!$D$29)</f>
        <v>9233.9628559709108</v>
      </c>
      <c r="DJ13" s="38">
        <f>Inputs!$D$32*DL12/Inputs!$D$6</f>
        <v>4200</v>
      </c>
      <c r="DK13" s="38">
        <f>Inputs!$D$33</f>
        <v>1500</v>
      </c>
      <c r="DL13" s="38">
        <f t="shared" si="45"/>
        <v>880000</v>
      </c>
      <c r="DM13" s="38">
        <f t="shared" si="46"/>
        <v>787872.17982974485</v>
      </c>
      <c r="DN13" s="38">
        <f>Inputs!$D$19*(1-Inputs!$C$73*$H13)+Inputs!$D$21+Inputs!$B$73*$J13</f>
        <v>404691.66666666663</v>
      </c>
      <c r="DO13" s="38">
        <f t="shared" si="47"/>
        <v>475308.33333333337</v>
      </c>
      <c r="DP13" s="38">
        <f t="shared" si="48"/>
        <v>0</v>
      </c>
    </row>
    <row r="14" spans="1:120" x14ac:dyDescent="0.35">
      <c r="A14" s="29">
        <v>9</v>
      </c>
      <c r="B14" s="34">
        <f>EDATE(Inputs!$B$67,$A14)</f>
        <v>46539</v>
      </c>
      <c r="C14" s="35">
        <f>IF(Inputs!$E$47&lt;=0,Inputs!$E$46,Inputs!$E$44+(Inputs!$E$46-Inputs!$E$44)*MIN($A14/Inputs!$E$47,1))</f>
        <v>0.38749999999999996</v>
      </c>
      <c r="D14" s="35">
        <f>MIN(Inputs!$E$57,Inputs!$E$55*(1+Inputs!$E$56)^($A14/12))*Inputs!$E$58*(1+Inputs!$E$59)^($A14/12)/Inputs!$E$45</f>
        <v>0.54056175655225203</v>
      </c>
      <c r="E14" s="35">
        <f>MAX(Inputs!$E$44,MIN(C14,D14))</f>
        <v>0.38749999999999996</v>
      </c>
      <c r="F14" s="35">
        <f>IF(Inputs!$E$50&lt;=0,Inputs!$E$49,Inputs!$E$48+(Inputs!$E$49-Inputs!$E$48)*MIN($A14/Inputs!$E$50,1))</f>
        <v>4.4999999999999998E-2</v>
      </c>
      <c r="G14" s="36">
        <f>(Inputs!$E$41*(1-E14*Inputs!$E$51)+Inputs!$E$42*(1-F14*Inputs!$E$51))/(Inputs!$E$41*(1-Inputs!$E$44*Inputs!$E$51)+Inputs!$E$42*(1-Inputs!$E$48*Inputs!$E$51))</f>
        <v>0.94825886990801578</v>
      </c>
      <c r="H14" s="35">
        <f>IF(Inputs!$E$53&lt;=0,Inputs!$E$52,Inputs!$E$52*MIN($A14/Inputs!$E$53,1))</f>
        <v>1.8750000000000003E-2</v>
      </c>
      <c r="I14" s="35">
        <f>IF(Inputs!$E$64&lt;=0,Inputs!$E$63,Inputs!$E$62+(Inputs!$E$63-Inputs!$E$62)*MIN($A14/Inputs!$E$64,1))</f>
        <v>1.125E-2</v>
      </c>
      <c r="J14" s="37">
        <f>(E14-Inputs!$E$44)*Inputs!$E$45/Inputs!$E$60*Inputs!$E$61</f>
        <v>2249.9999999999991</v>
      </c>
      <c r="K14" s="29">
        <f t="shared" si="0"/>
        <v>0</v>
      </c>
      <c r="L14" s="29"/>
      <c r="M14" s="38">
        <f>MAX(0,MIN(Inputs!$B$36,R13,N14+O14+P14+Inputs!$B$6-Q13))</f>
        <v>22000</v>
      </c>
      <c r="N14" s="38">
        <f>Inputs!$B$27*(1+Inputs!$B$28)^($A14/12)*IF(Inputs!$B$70=1,$G14,1)*(1-Inputs!$C$70*$H14*(1-Inputs!$E$54*Inputs!$B$70))*(1+$I14)*IF(Inputs!$B$29=0,1,(MAX(Q13,0)/Inputs!$B$6)^Inputs!$B$29)</f>
        <v>15734.094997659942</v>
      </c>
      <c r="O14" s="38">
        <f>Inputs!$B$32*Q13/Inputs!$B$6</f>
        <v>9998.0605630992522</v>
      </c>
      <c r="P14" s="38">
        <f>Inputs!$B$33</f>
        <v>2500</v>
      </c>
      <c r="Q14" s="38">
        <f t="shared" si="1"/>
        <v>623275.36137511977</v>
      </c>
      <c r="R14" s="38">
        <f t="shared" si="2"/>
        <v>173250.00000000006</v>
      </c>
      <c r="S14" s="38">
        <f>Inputs!$B$19*(1-Inputs!$C$70*$H14)+Inputs!$B$21+Inputs!$B$70*$J14</f>
        <v>595000</v>
      </c>
      <c r="T14" s="38">
        <f t="shared" si="3"/>
        <v>28275.36137511977</v>
      </c>
      <c r="U14" s="38">
        <f t="shared" si="4"/>
        <v>0</v>
      </c>
      <c r="V14" s="38">
        <f>MAX(0,MIN(Inputs!$C$36,AA13,W14+X14+Y14+Inputs!$C$6-Z13))</f>
        <v>21390.625</v>
      </c>
      <c r="W14" s="38">
        <f>Inputs!$C$27*(1+Inputs!$C$28)^($A14/12)*IF(Inputs!$B$70=1,$G14,1)*(1-Inputs!$C$70*$H14*(1-Inputs!$E$54*Inputs!$B$70))*(1+$I14)*IF(Inputs!$C$29=0,1,(MAX(Z13,0)/Inputs!$C$6)^Inputs!$C$29)</f>
        <v>12640.625</v>
      </c>
      <c r="X14" s="38">
        <f>Inputs!$C$32*Z13/Inputs!$C$6</f>
        <v>6749.9999999999991</v>
      </c>
      <c r="Y14" s="38">
        <f>Inputs!$C$33</f>
        <v>2000</v>
      </c>
      <c r="Z14" s="38">
        <f t="shared" si="5"/>
        <v>800000</v>
      </c>
      <c r="AA14" s="38">
        <f t="shared" si="6"/>
        <v>402046.875</v>
      </c>
      <c r="AB14" s="38">
        <f>Inputs!$C$19*(1-Inputs!$C$70*$H14)+Inputs!$C$21+Inputs!$B$70*$J14</f>
        <v>495000</v>
      </c>
      <c r="AC14" s="38">
        <f t="shared" si="7"/>
        <v>305000</v>
      </c>
      <c r="AD14" s="38">
        <f t="shared" si="8"/>
        <v>0</v>
      </c>
      <c r="AE14" s="38">
        <f>MAX(0,MIN(Inputs!$D$36,AJ13,AF14+AG14+AH14+Inputs!$D$6-AI13))</f>
        <v>15430.8603198356</v>
      </c>
      <c r="AF14" s="38">
        <f>Inputs!$D$27*(1+Inputs!$D$28)^($A14/12)*IF(Inputs!$B$70=1,$G14,1)*(1-Inputs!$C$70*$H14*(1-Inputs!$E$54*Inputs!$B$70))*(1+$I14)*IF(Inputs!$D$29=0,1,(MAX(AI13,0)/Inputs!$D$6)^Inputs!$D$29)</f>
        <v>9730.860319835605</v>
      </c>
      <c r="AG14" s="38">
        <f>Inputs!$D$32*AI13/Inputs!$D$6</f>
        <v>4200</v>
      </c>
      <c r="AH14" s="38">
        <f>Inputs!$D$33</f>
        <v>1500</v>
      </c>
      <c r="AI14" s="38">
        <f t="shared" si="9"/>
        <v>880000</v>
      </c>
      <c r="AJ14" s="38">
        <f t="shared" si="10"/>
        <v>770050.22297316359</v>
      </c>
      <c r="AK14" s="38">
        <f>Inputs!$D$19*(1-Inputs!$C$70*$H14)+Inputs!$D$21+Inputs!$B$70*$J14</f>
        <v>404800</v>
      </c>
      <c r="AL14" s="38">
        <f t="shared" si="11"/>
        <v>475200</v>
      </c>
      <c r="AM14" s="38">
        <f t="shared" si="12"/>
        <v>0</v>
      </c>
      <c r="AN14" s="38">
        <f>MAX(0,MIN(Inputs!$B$36,AS13,AO14+AP14+AQ14+Inputs!$B$6-AR13))</f>
        <v>22000</v>
      </c>
      <c r="AO14" s="38">
        <f>Inputs!$B$27*(1+Inputs!$B$28)^($A14/12)*IF(Inputs!$B$71=1,$G14,1)*(1-Inputs!$C$71*$H14*(1-Inputs!$E$54*Inputs!$B$71))*(1+$I14)*IF(Inputs!$B$29=0,1,(MAX(AR13,0)/Inputs!$B$6)^Inputs!$B$29)</f>
        <v>14919.995141506381</v>
      </c>
      <c r="AP14" s="38">
        <f>Inputs!$B$32*AR13/Inputs!$B$6</f>
        <v>10047.053015830243</v>
      </c>
      <c r="AQ14" s="38">
        <f>Inputs!$B$33</f>
        <v>2500</v>
      </c>
      <c r="AR14" s="38">
        <f t="shared" si="13"/>
        <v>627125.17876530823</v>
      </c>
      <c r="AS14" s="38">
        <f t="shared" si="14"/>
        <v>173250.00000000006</v>
      </c>
      <c r="AT14" s="38">
        <f>Inputs!$B$19*(1-Inputs!$C$71*$H14)+Inputs!$B$21+Inputs!$B$71*$J14</f>
        <v>597250</v>
      </c>
      <c r="AU14" s="38">
        <f t="shared" si="15"/>
        <v>29875.178765308228</v>
      </c>
      <c r="AV14" s="38">
        <f t="shared" si="16"/>
        <v>0</v>
      </c>
      <c r="AW14" s="38">
        <f>MAX(0,MIN(Inputs!$C$36,BB13,AX14+AY14+AZ14+Inputs!$C$6-BA13))</f>
        <v>20736.58477743098</v>
      </c>
      <c r="AX14" s="38">
        <f>Inputs!$C$27*(1+Inputs!$C$28)^($A14/12)*IF(Inputs!$B$71=1,$G14,1)*(1-Inputs!$C$71*$H14*(1-Inputs!$E$54*Inputs!$B$71))*(1+$I14)*IF(Inputs!$C$29=0,1,(MAX(BA13,0)/Inputs!$C$6)^Inputs!$C$29)</f>
        <v>11986.584777431011</v>
      </c>
      <c r="AY14" s="38">
        <f>Inputs!$C$32*BA13/Inputs!$C$6</f>
        <v>6749.9999999999991</v>
      </c>
      <c r="AZ14" s="38">
        <f>Inputs!$C$33</f>
        <v>2000</v>
      </c>
      <c r="BA14" s="38">
        <f t="shared" si="17"/>
        <v>800000</v>
      </c>
      <c r="BB14" s="38">
        <f t="shared" si="18"/>
        <v>405306.2967107424</v>
      </c>
      <c r="BC14" s="38">
        <f>Inputs!$C$19*(1-Inputs!$C$71*$H14)+Inputs!$C$21+Inputs!$B$71*$J14</f>
        <v>497250</v>
      </c>
      <c r="BD14" s="38">
        <f t="shared" si="19"/>
        <v>302750</v>
      </c>
      <c r="BE14" s="38">
        <f t="shared" si="20"/>
        <v>0</v>
      </c>
      <c r="BF14" s="38">
        <f>MAX(0,MIN(Inputs!$D$36,BK13,BG14+BH14+BI14+Inputs!$D$6-BJ13))</f>
        <v>14927.374610120081</v>
      </c>
      <c r="BG14" s="38">
        <f>Inputs!$D$27*(1+Inputs!$D$28)^($A14/12)*IF(Inputs!$B$71=1,$G14,1)*(1-Inputs!$C$71*$H14*(1-Inputs!$E$54*Inputs!$B$71))*(1+$I14)*IF(Inputs!$D$29=0,1,(MAX(BJ13,0)/Inputs!$D$6)^Inputs!$D$29)</f>
        <v>9227.3746101200632</v>
      </c>
      <c r="BH14" s="38">
        <f>Inputs!$D$32*BJ13/Inputs!$D$6</f>
        <v>4200</v>
      </c>
      <c r="BI14" s="38">
        <f>Inputs!$D$33</f>
        <v>1500</v>
      </c>
      <c r="BJ14" s="38">
        <f t="shared" si="21"/>
        <v>880000</v>
      </c>
      <c r="BK14" s="38">
        <f t="shared" si="22"/>
        <v>772588.16501749877</v>
      </c>
      <c r="BL14" s="38">
        <f>Inputs!$D$19*(1-Inputs!$C$71*$H14)+Inputs!$D$21+Inputs!$B$71*$J14</f>
        <v>407050</v>
      </c>
      <c r="BM14" s="38">
        <f t="shared" si="23"/>
        <v>472950</v>
      </c>
      <c r="BN14" s="38">
        <f t="shared" si="24"/>
        <v>0</v>
      </c>
      <c r="BO14" s="38">
        <f>MAX(0,MIN(Inputs!$B$36,BT13,BP14+BQ14+BR14+Inputs!$B$6-BS13))</f>
        <v>22000</v>
      </c>
      <c r="BP14" s="38">
        <f>Inputs!$B$27*(1+Inputs!$B$28)^($A14/12)*IF(Inputs!$B$72=1,$G14,1)*(1-Inputs!$C$72*$H14*(1-Inputs!$E$54*Inputs!$B$72))*(1+$I14)*IF(Inputs!$B$29=0,1,(MAX(BS13,0)/Inputs!$B$6)^Inputs!$B$29)</f>
        <v>15439.080716453816</v>
      </c>
      <c r="BQ14" s="38">
        <f>Inputs!$B$32*BS13/Inputs!$B$6</f>
        <v>10015.81449477939</v>
      </c>
      <c r="BR14" s="38">
        <f>Inputs!$B$33</f>
        <v>2500</v>
      </c>
      <c r="BS14" s="38">
        <f t="shared" si="25"/>
        <v>624670.46186746913</v>
      </c>
      <c r="BT14" s="38">
        <f t="shared" si="26"/>
        <v>173250.00000000006</v>
      </c>
      <c r="BU14" s="38">
        <f>Inputs!$B$19*(1-Inputs!$C$72*$H14)+Inputs!$B$21+Inputs!$B$72*$J14</f>
        <v>591718.75</v>
      </c>
      <c r="BV14" s="38">
        <f t="shared" si="27"/>
        <v>32951.71186746913</v>
      </c>
      <c r="BW14" s="38">
        <f t="shared" si="28"/>
        <v>0</v>
      </c>
      <c r="BX14" s="38">
        <f>MAX(0,MIN(Inputs!$C$36,CC13,BY14+BZ14+CA14+Inputs!$C$6-CB13))</f>
        <v>21153.61328125</v>
      </c>
      <c r="BY14" s="38">
        <f>Inputs!$C$27*(1+Inputs!$C$28)^($A14/12)*IF(Inputs!$B$72=1,$G14,1)*(1-Inputs!$C$72*$H14*(1-Inputs!$E$54*Inputs!$B$72))*(1+$I14)*IF(Inputs!$C$29=0,1,(MAX(CB13,0)/Inputs!$C$6)^Inputs!$C$29)</f>
        <v>12403.61328125</v>
      </c>
      <c r="BZ14" s="38">
        <f>Inputs!$C$32*CB13/Inputs!$C$6</f>
        <v>6749.9999999999991</v>
      </c>
      <c r="CA14" s="38">
        <f>Inputs!$C$33</f>
        <v>2000</v>
      </c>
      <c r="CB14" s="38">
        <f t="shared" si="29"/>
        <v>800000</v>
      </c>
      <c r="CC14" s="38">
        <f t="shared" si="30"/>
        <v>403228.02734374988</v>
      </c>
      <c r="CD14" s="38">
        <f>Inputs!$C$19*(1-Inputs!$C$72*$H14)+Inputs!$C$21+Inputs!$B$72*$J14</f>
        <v>492187.5</v>
      </c>
      <c r="CE14" s="38">
        <f t="shared" si="31"/>
        <v>307812.5</v>
      </c>
      <c r="CF14" s="38">
        <f t="shared" si="32"/>
        <v>0</v>
      </c>
      <c r="CG14" s="38">
        <f>MAX(0,MIN(Inputs!$D$36,CL13,CH14+CI14+CJ14+Inputs!$D$6-CK13))</f>
        <v>15248.406688838731</v>
      </c>
      <c r="CH14" s="38">
        <f>Inputs!$D$27*(1+Inputs!$D$28)^($A14/12)*IF(Inputs!$B$72=1,$G14,1)*(1-Inputs!$C$72*$H14*(1-Inputs!$E$54*Inputs!$B$72))*(1+$I14)*IF(Inputs!$D$29=0,1,(MAX(CK13,0)/Inputs!$D$6)^Inputs!$D$29)</f>
        <v>9548.406688838686</v>
      </c>
      <c r="CI14" s="38">
        <f>Inputs!$D$32*CK13/Inputs!$D$6</f>
        <v>4200</v>
      </c>
      <c r="CJ14" s="38">
        <f>Inputs!$D$33</f>
        <v>1500</v>
      </c>
      <c r="CK14" s="38">
        <f t="shared" si="33"/>
        <v>880000</v>
      </c>
      <c r="CL14" s="38">
        <f t="shared" si="34"/>
        <v>770969.92482827732</v>
      </c>
      <c r="CM14" s="38">
        <f>Inputs!$D$19*(1-Inputs!$C$72*$H14)+Inputs!$D$21+Inputs!$B$72*$J14</f>
        <v>402428.125</v>
      </c>
      <c r="CN14" s="38">
        <f t="shared" si="35"/>
        <v>477571.875</v>
      </c>
      <c r="CO14" s="38">
        <f t="shared" si="36"/>
        <v>0</v>
      </c>
      <c r="CP14" s="38">
        <f>MAX(0,MIN(Inputs!$B$36,CU13,CQ14+CR14+CS14+Inputs!$B$6-CT13))</f>
        <v>22000</v>
      </c>
      <c r="CQ14" s="38">
        <f>Inputs!$B$27*(1+Inputs!$B$28)^($A14/12)*IF(Inputs!$B$73=1,$G14,1)*(1-Inputs!$C$73*$H14*(1-Inputs!$E$54*Inputs!$B$73))*(1+$I14)*IF(Inputs!$B$29=0,1,(MAX(CT13,0)/Inputs!$B$6)^Inputs!$B$29)</f>
        <v>14780.120187054757</v>
      </c>
      <c r="CR14" s="38">
        <f>Inputs!$B$32*CT13/Inputs!$B$6</f>
        <v>10055.636611182983</v>
      </c>
      <c r="CS14" s="38">
        <f>Inputs!$B$33</f>
        <v>2500</v>
      </c>
      <c r="CT14" s="38">
        <f t="shared" si="37"/>
        <v>627796.91872069088</v>
      </c>
      <c r="CU14" s="38">
        <f t="shared" si="38"/>
        <v>173250.00000000006</v>
      </c>
      <c r="CV14" s="38">
        <f>Inputs!$B$19*(1-Inputs!$C$73*$H14)+Inputs!$B$21+Inputs!$B$73*$J14</f>
        <v>593968.75</v>
      </c>
      <c r="CW14" s="38">
        <f t="shared" si="39"/>
        <v>33828.168720690883</v>
      </c>
      <c r="CX14" s="38">
        <f t="shared" si="40"/>
        <v>0</v>
      </c>
      <c r="CY14" s="38">
        <f>MAX(0,MIN(Inputs!$C$36,DD13,CZ14+DA14+DB14+Inputs!$C$6-DC13))</f>
        <v>20624.210545142647</v>
      </c>
      <c r="CZ14" s="38">
        <f>Inputs!$C$27*(1+Inputs!$C$28)^($A14/12)*IF(Inputs!$B$73=1,$G14,1)*(1-Inputs!$C$73*$H14*(1-Inputs!$E$54*Inputs!$B$73))*(1+$I14)*IF(Inputs!$C$29=0,1,(MAX(DC13,0)/Inputs!$C$6)^Inputs!$C$29)</f>
        <v>11874.210545142596</v>
      </c>
      <c r="DA14" s="38">
        <f>Inputs!$C$32*DC13/Inputs!$C$6</f>
        <v>6749.9999999999991</v>
      </c>
      <c r="DB14" s="38">
        <f>Inputs!$C$33</f>
        <v>2000</v>
      </c>
      <c r="DC14" s="38">
        <f t="shared" si="41"/>
        <v>800000</v>
      </c>
      <c r="DD14" s="38">
        <f t="shared" si="42"/>
        <v>405875.34916761192</v>
      </c>
      <c r="DE14" s="38">
        <f>Inputs!$C$19*(1-Inputs!$C$73*$H14)+Inputs!$C$21+Inputs!$B$73*$J14</f>
        <v>494437.5</v>
      </c>
      <c r="DF14" s="38">
        <f t="shared" si="43"/>
        <v>305562.5</v>
      </c>
      <c r="DG14" s="38">
        <f t="shared" si="44"/>
        <v>0</v>
      </c>
      <c r="DH14" s="38">
        <f>MAX(0,MIN(Inputs!$D$36,DM13,DI14+DJ14+DK14+Inputs!$D$6-DL13))</f>
        <v>14840.86797315022</v>
      </c>
      <c r="DI14" s="38">
        <f>Inputs!$D$27*(1+Inputs!$D$28)^($A14/12)*IF(Inputs!$B$73=1,$G14,1)*(1-Inputs!$C$73*$H14*(1-Inputs!$E$54*Inputs!$B$73))*(1+$I14)*IF(Inputs!$D$29=0,1,(MAX(DL13,0)/Inputs!$D$6)^Inputs!$D$29)</f>
        <v>9140.867973150187</v>
      </c>
      <c r="DJ14" s="38">
        <f>Inputs!$D$32*DL13/Inputs!$D$6</f>
        <v>4200</v>
      </c>
      <c r="DK14" s="38">
        <f>Inputs!$D$33</f>
        <v>1500</v>
      </c>
      <c r="DL14" s="38">
        <f t="shared" si="45"/>
        <v>880000</v>
      </c>
      <c r="DM14" s="38">
        <f t="shared" si="46"/>
        <v>773031.31185659464</v>
      </c>
      <c r="DN14" s="38">
        <f>Inputs!$D$19*(1-Inputs!$C$73*$H14)+Inputs!$D$21+Inputs!$B$73*$J14</f>
        <v>404678.125</v>
      </c>
      <c r="DO14" s="38">
        <f t="shared" si="47"/>
        <v>475321.875</v>
      </c>
      <c r="DP14" s="38">
        <f t="shared" si="48"/>
        <v>0</v>
      </c>
    </row>
    <row r="15" spans="1:120" x14ac:dyDescent="0.35">
      <c r="A15" s="29">
        <v>10</v>
      </c>
      <c r="B15" s="34">
        <f>EDATE(Inputs!$B$67,$A15)</f>
        <v>46569</v>
      </c>
      <c r="C15" s="35">
        <f>IF(Inputs!$E$47&lt;=0,Inputs!$E$46,Inputs!$E$44+(Inputs!$E$46-Inputs!$E$44)*MIN($A15/Inputs!$E$47,1))</f>
        <v>0.40833333333333333</v>
      </c>
      <c r="D15" s="35">
        <f>MIN(Inputs!$E$57,Inputs!$E$55*(1+Inputs!$E$56)^($A15/12))*Inputs!$E$58*(1+Inputs!$E$59)^($A15/12)/Inputs!$E$45</f>
        <v>0.55593325484128731</v>
      </c>
      <c r="E15" s="35">
        <f>MAX(Inputs!$E$44,MIN(C15,D15))</f>
        <v>0.40833333333333333</v>
      </c>
      <c r="F15" s="35">
        <f>IF(Inputs!$E$50&lt;=0,Inputs!$E$49,Inputs!$E$48+(Inputs!$E$49-Inputs!$E$48)*MIN($A15/Inputs!$E$50,1))</f>
        <v>4.777777777777778E-2</v>
      </c>
      <c r="G15" s="36">
        <f>(Inputs!$E$41*(1-E15*Inputs!$E$51)+Inputs!$E$42*(1-F15*Inputs!$E$51))/(Inputs!$E$41*(1-Inputs!$E$44*Inputs!$E$51)+Inputs!$E$42*(1-Inputs!$E$48*Inputs!$E$51))</f>
        <v>0.94250985545335086</v>
      </c>
      <c r="H15" s="35">
        <f>IF(Inputs!$E$53&lt;=0,Inputs!$E$52,Inputs!$E$52*MIN($A15/Inputs!$E$53,1))</f>
        <v>2.0833333333333336E-2</v>
      </c>
      <c r="I15" s="35">
        <f>IF(Inputs!$E$64&lt;=0,Inputs!$E$63,Inputs!$E$62+(Inputs!$E$63-Inputs!$E$62)*MIN($A15/Inputs!$E$64,1))</f>
        <v>1.2500000000000001E-2</v>
      </c>
      <c r="J15" s="37">
        <f>(E15-Inputs!$E$44)*Inputs!$E$45/Inputs!$E$60*Inputs!$E$61</f>
        <v>2499.9999999999995</v>
      </c>
      <c r="K15" s="29">
        <f t="shared" si="0"/>
        <v>0</v>
      </c>
      <c r="L15" s="29"/>
      <c r="M15" s="38">
        <f>MAX(0,MIN(Inputs!$B$36,R14,N15+O15+P15+Inputs!$B$6-Q14))</f>
        <v>22000</v>
      </c>
      <c r="N15" s="38">
        <f>Inputs!$B$27*(1+Inputs!$B$28)^($A15/12)*IF(Inputs!$B$70=1,$G15,1)*(1-Inputs!$C$70*$H15*(1-Inputs!$E$54*Inputs!$B$70))*(1+$I15)*IF(Inputs!$B$29=0,1,(MAX(Q14,0)/Inputs!$B$6)^Inputs!$B$29)</f>
        <v>15817.725704729684</v>
      </c>
      <c r="O15" s="38">
        <f>Inputs!$B$32*Q14/Inputs!$B$6</f>
        <v>9899.0792688989604</v>
      </c>
      <c r="P15" s="38">
        <f>Inputs!$B$33</f>
        <v>2500</v>
      </c>
      <c r="Q15" s="38">
        <f t="shared" si="1"/>
        <v>617058.55640149117</v>
      </c>
      <c r="R15" s="38">
        <f t="shared" si="2"/>
        <v>151250.00000000006</v>
      </c>
      <c r="S15" s="38">
        <f>Inputs!$B$19*(1-Inputs!$C$70*$H15)+Inputs!$B$21+Inputs!$B$70*$J15</f>
        <v>595000</v>
      </c>
      <c r="T15" s="38">
        <f t="shared" si="3"/>
        <v>22058.556401491165</v>
      </c>
      <c r="U15" s="38">
        <f t="shared" si="4"/>
        <v>0</v>
      </c>
      <c r="V15" s="38">
        <f>MAX(0,MIN(Inputs!$C$36,AA14,W15+X15+Y15+Inputs!$C$6-Z14))</f>
        <v>21406.25</v>
      </c>
      <c r="W15" s="38">
        <f>Inputs!$C$27*(1+Inputs!$C$28)^($A15/12)*IF(Inputs!$B$70=1,$G15,1)*(1-Inputs!$C$70*$H15*(1-Inputs!$E$54*Inputs!$B$70))*(1+$I15)*IF(Inputs!$C$29=0,1,(MAX(Z14,0)/Inputs!$C$6)^Inputs!$C$29)</f>
        <v>12656.25</v>
      </c>
      <c r="X15" s="38">
        <f>Inputs!$C$32*Z14/Inputs!$C$6</f>
        <v>6749.9999999999991</v>
      </c>
      <c r="Y15" s="38">
        <f>Inputs!$C$33</f>
        <v>2000</v>
      </c>
      <c r="Z15" s="38">
        <f t="shared" si="5"/>
        <v>800000</v>
      </c>
      <c r="AA15" s="38">
        <f t="shared" si="6"/>
        <v>380640.625</v>
      </c>
      <c r="AB15" s="38">
        <f>Inputs!$C$19*(1-Inputs!$C$70*$H15)+Inputs!$C$21+Inputs!$B$70*$J15</f>
        <v>495000</v>
      </c>
      <c r="AC15" s="38">
        <f t="shared" si="7"/>
        <v>305000</v>
      </c>
      <c r="AD15" s="38">
        <f t="shared" si="8"/>
        <v>0</v>
      </c>
      <c r="AE15" s="38">
        <f>MAX(0,MIN(Inputs!$D$36,AJ14,AF15+AG15+AH15+Inputs!$D$6-AI14))</f>
        <v>15401.332051741891</v>
      </c>
      <c r="AF15" s="38">
        <f>Inputs!$D$27*(1+Inputs!$D$28)^($A15/12)*IF(Inputs!$B$70=1,$G15,1)*(1-Inputs!$C$70*$H15*(1-Inputs!$E$54*Inputs!$B$70))*(1+$I15)*IF(Inputs!$D$29=0,1,(MAX(AI14,0)/Inputs!$D$6)^Inputs!$D$29)</f>
        <v>9701.332051741887</v>
      </c>
      <c r="AG15" s="38">
        <f>Inputs!$D$32*AI14/Inputs!$D$6</f>
        <v>4200</v>
      </c>
      <c r="AH15" s="38">
        <f>Inputs!$D$33</f>
        <v>1500</v>
      </c>
      <c r="AI15" s="38">
        <f t="shared" si="9"/>
        <v>880000</v>
      </c>
      <c r="AJ15" s="38">
        <f t="shared" si="10"/>
        <v>754648.8909214217</v>
      </c>
      <c r="AK15" s="38">
        <f>Inputs!$D$19*(1-Inputs!$C$70*$H15)+Inputs!$D$21+Inputs!$B$70*$J15</f>
        <v>404800</v>
      </c>
      <c r="AL15" s="38">
        <f t="shared" si="11"/>
        <v>475200</v>
      </c>
      <c r="AM15" s="38">
        <f t="shared" si="12"/>
        <v>0</v>
      </c>
      <c r="AN15" s="38">
        <f>MAX(0,MIN(Inputs!$B$36,AS14,AO15+AP15+AQ15+Inputs!$B$6-AR14))</f>
        <v>22000</v>
      </c>
      <c r="AO15" s="38">
        <f>Inputs!$B$27*(1+Inputs!$B$28)^($A15/12)*IF(Inputs!$B$71=1,$G15,1)*(1-Inputs!$C$71*$H15*(1-Inputs!$E$54*Inputs!$B$71))*(1+$I15)*IF(Inputs!$B$29=0,1,(MAX(AR14,0)/Inputs!$B$6)^Inputs!$B$29)</f>
        <v>14908.362367565527</v>
      </c>
      <c r="AP15" s="38">
        <f>Inputs!$B$32*AR14/Inputs!$B$6</f>
        <v>9960.2234274490129</v>
      </c>
      <c r="AQ15" s="38">
        <f>Inputs!$B$33</f>
        <v>2500</v>
      </c>
      <c r="AR15" s="38">
        <f t="shared" si="13"/>
        <v>621756.59297029371</v>
      </c>
      <c r="AS15" s="38">
        <f t="shared" si="14"/>
        <v>151250.00000000006</v>
      </c>
      <c r="AT15" s="38">
        <f>Inputs!$B$19*(1-Inputs!$C$71*$H15)+Inputs!$B$21+Inputs!$B$71*$J15</f>
        <v>597500</v>
      </c>
      <c r="AU15" s="38">
        <f t="shared" si="15"/>
        <v>24256.592970293714</v>
      </c>
      <c r="AV15" s="38">
        <f t="shared" si="16"/>
        <v>0</v>
      </c>
      <c r="AW15" s="38">
        <f>MAX(0,MIN(Inputs!$C$36,BB14,AX15+AY15+AZ15+Inputs!$C$6-BA14))</f>
        <v>20678.640358081437</v>
      </c>
      <c r="AX15" s="38">
        <f>Inputs!$C$27*(1+Inputs!$C$28)^($A15/12)*IF(Inputs!$B$71=1,$G15,1)*(1-Inputs!$C$71*$H15*(1-Inputs!$E$54*Inputs!$B$71))*(1+$I15)*IF(Inputs!$C$29=0,1,(MAX(BA14,0)/Inputs!$C$6)^Inputs!$C$29)</f>
        <v>11928.640358081471</v>
      </c>
      <c r="AY15" s="38">
        <f>Inputs!$C$32*BA14/Inputs!$C$6</f>
        <v>6749.9999999999991</v>
      </c>
      <c r="AZ15" s="38">
        <f>Inputs!$C$33</f>
        <v>2000</v>
      </c>
      <c r="BA15" s="38">
        <f t="shared" si="17"/>
        <v>800000</v>
      </c>
      <c r="BB15" s="38">
        <f t="shared" si="18"/>
        <v>384627.65635266097</v>
      </c>
      <c r="BC15" s="38">
        <f>Inputs!$C$19*(1-Inputs!$C$71*$H15)+Inputs!$C$21+Inputs!$B$71*$J15</f>
        <v>497500</v>
      </c>
      <c r="BD15" s="38">
        <f t="shared" si="19"/>
        <v>302500</v>
      </c>
      <c r="BE15" s="38">
        <f t="shared" si="20"/>
        <v>0</v>
      </c>
      <c r="BF15" s="38">
        <f>MAX(0,MIN(Inputs!$D$36,BK14,BG15+BH15+BI15+Inputs!$D$6-BJ14))</f>
        <v>14843.601069792174</v>
      </c>
      <c r="BG15" s="38">
        <f>Inputs!$D$27*(1+Inputs!$D$28)^($A15/12)*IF(Inputs!$B$71=1,$G15,1)*(1-Inputs!$C$71*$H15*(1-Inputs!$E$54*Inputs!$B$71))*(1+$I15)*IF(Inputs!$D$29=0,1,(MAX(BJ14,0)/Inputs!$D$6)^Inputs!$D$29)</f>
        <v>9143.6010697922065</v>
      </c>
      <c r="BH15" s="38">
        <f>Inputs!$D$32*BJ14/Inputs!$D$6</f>
        <v>4200</v>
      </c>
      <c r="BI15" s="38">
        <f>Inputs!$D$33</f>
        <v>1500</v>
      </c>
      <c r="BJ15" s="38">
        <f t="shared" si="21"/>
        <v>880000</v>
      </c>
      <c r="BK15" s="38">
        <f t="shared" si="22"/>
        <v>757744.5639477066</v>
      </c>
      <c r="BL15" s="38">
        <f>Inputs!$D$19*(1-Inputs!$C$71*$H15)+Inputs!$D$21+Inputs!$B$71*$J15</f>
        <v>407300</v>
      </c>
      <c r="BM15" s="38">
        <f t="shared" si="23"/>
        <v>472700</v>
      </c>
      <c r="BN15" s="38">
        <f t="shared" si="24"/>
        <v>0</v>
      </c>
      <c r="BO15" s="38">
        <f>MAX(0,MIN(Inputs!$B$36,BT14,BP15+BQ15+BR15+Inputs!$B$6-BS14))</f>
        <v>22000</v>
      </c>
      <c r="BP15" s="38">
        <f>Inputs!$B$27*(1+Inputs!$B$28)^($A15/12)*IF(Inputs!$B$72=1,$G15,1)*(1-Inputs!$C$72*$H15*(1-Inputs!$E$54*Inputs!$B$72))*(1+$I15)*IF(Inputs!$B$29=0,1,(MAX(BS14,0)/Inputs!$B$6)^Inputs!$B$29)</f>
        <v>15488.189752547816</v>
      </c>
      <c r="BQ15" s="38">
        <f>Inputs!$B$32*BS14/Inputs!$B$6</f>
        <v>9921.2367473068625</v>
      </c>
      <c r="BR15" s="38">
        <f>Inputs!$B$33</f>
        <v>2500</v>
      </c>
      <c r="BS15" s="38">
        <f t="shared" si="25"/>
        <v>618761.03536761447</v>
      </c>
      <c r="BT15" s="38">
        <f t="shared" si="26"/>
        <v>151250.00000000006</v>
      </c>
      <c r="BU15" s="38">
        <f>Inputs!$B$19*(1-Inputs!$C$72*$H15)+Inputs!$B$21+Inputs!$B$72*$J15</f>
        <v>591354.16666666663</v>
      </c>
      <c r="BV15" s="38">
        <f t="shared" si="27"/>
        <v>27406.868700947845</v>
      </c>
      <c r="BW15" s="38">
        <f t="shared" si="28"/>
        <v>0</v>
      </c>
      <c r="BX15" s="38">
        <f>MAX(0,MIN(Inputs!$C$36,CC14,BY15+BZ15+CA15+Inputs!$C$6-CB14))</f>
        <v>21142.578125</v>
      </c>
      <c r="BY15" s="38">
        <f>Inputs!$C$27*(1+Inputs!$C$28)^($A15/12)*IF(Inputs!$B$72=1,$G15,1)*(1-Inputs!$C$72*$H15*(1-Inputs!$E$54*Inputs!$B$72))*(1+$I15)*IF(Inputs!$C$29=0,1,(MAX(CB14,0)/Inputs!$C$6)^Inputs!$C$29)</f>
        <v>12392.578124999998</v>
      </c>
      <c r="BZ15" s="38">
        <f>Inputs!$C$32*CB14/Inputs!$C$6</f>
        <v>6749.9999999999991</v>
      </c>
      <c r="CA15" s="38">
        <f>Inputs!$C$33</f>
        <v>2000</v>
      </c>
      <c r="CB15" s="38">
        <f t="shared" si="29"/>
        <v>800000</v>
      </c>
      <c r="CC15" s="38">
        <f t="shared" si="30"/>
        <v>382085.44921874988</v>
      </c>
      <c r="CD15" s="38">
        <f>Inputs!$C$19*(1-Inputs!$C$72*$H15)+Inputs!$C$21+Inputs!$B$72*$J15</f>
        <v>491875</v>
      </c>
      <c r="CE15" s="38">
        <f t="shared" si="31"/>
        <v>308125</v>
      </c>
      <c r="CF15" s="38">
        <f t="shared" si="32"/>
        <v>0</v>
      </c>
      <c r="CG15" s="38">
        <f>MAX(0,MIN(Inputs!$D$36,CL14,CH15+CI15+CJ15+Inputs!$D$6-CK14))</f>
        <v>15199.220967330621</v>
      </c>
      <c r="CH15" s="38">
        <f>Inputs!$D$27*(1+Inputs!$D$28)^($A15/12)*IF(Inputs!$B$72=1,$G15,1)*(1-Inputs!$C$72*$H15*(1-Inputs!$E$54*Inputs!$B$72))*(1+$I15)*IF(Inputs!$D$29=0,1,(MAX(CK14,0)/Inputs!$D$6)^Inputs!$D$29)</f>
        <v>9499.220967330597</v>
      </c>
      <c r="CI15" s="38">
        <f>Inputs!$D$32*CK14/Inputs!$D$6</f>
        <v>4200</v>
      </c>
      <c r="CJ15" s="38">
        <f>Inputs!$D$33</f>
        <v>1500</v>
      </c>
      <c r="CK15" s="38">
        <f t="shared" si="33"/>
        <v>880000</v>
      </c>
      <c r="CL15" s="38">
        <f t="shared" si="34"/>
        <v>755770.7038609467</v>
      </c>
      <c r="CM15" s="38">
        <f>Inputs!$D$19*(1-Inputs!$C$72*$H15)+Inputs!$D$21+Inputs!$B$72*$J15</f>
        <v>402164.58333333331</v>
      </c>
      <c r="CN15" s="38">
        <f t="shared" si="35"/>
        <v>477835.41666666669</v>
      </c>
      <c r="CO15" s="38">
        <f t="shared" si="36"/>
        <v>0</v>
      </c>
      <c r="CP15" s="38">
        <f>MAX(0,MIN(Inputs!$B$36,CU14,CQ15+CR15+CS15+Inputs!$B$6-CT14))</f>
        <v>22000</v>
      </c>
      <c r="CQ15" s="38">
        <f>Inputs!$B$27*(1+Inputs!$B$28)^($A15/12)*IF(Inputs!$B$73=1,$G15,1)*(1-Inputs!$C$73*$H15*(1-Inputs!$E$54*Inputs!$B$73))*(1+$I15)*IF(Inputs!$B$29=0,1,(MAX(CT14,0)/Inputs!$B$6)^Inputs!$B$29)</f>
        <v>14753.066926236719</v>
      </c>
      <c r="CR15" s="38">
        <f>Inputs!$B$32*CT14/Inputs!$B$6</f>
        <v>9970.8922385050901</v>
      </c>
      <c r="CS15" s="38">
        <f>Inputs!$B$33</f>
        <v>2500</v>
      </c>
      <c r="CT15" s="38">
        <f t="shared" si="37"/>
        <v>622572.95955594908</v>
      </c>
      <c r="CU15" s="38">
        <f t="shared" si="38"/>
        <v>151250.00000000006</v>
      </c>
      <c r="CV15" s="38">
        <f>Inputs!$B$19*(1-Inputs!$C$73*$H15)+Inputs!$B$21+Inputs!$B$73*$J15</f>
        <v>593854.16666666663</v>
      </c>
      <c r="CW15" s="38">
        <f t="shared" si="39"/>
        <v>28718.792889282457</v>
      </c>
      <c r="CX15" s="38">
        <f t="shared" si="40"/>
        <v>0</v>
      </c>
      <c r="CY15" s="38">
        <f>MAX(0,MIN(Inputs!$C$36,DD14,CZ15+DA15+DB15+Inputs!$C$6-DC14))</f>
        <v>20554.383687684778</v>
      </c>
      <c r="CZ15" s="38">
        <f>Inputs!$C$27*(1+Inputs!$C$28)^($A15/12)*IF(Inputs!$B$73=1,$G15,1)*(1-Inputs!$C$73*$H15*(1-Inputs!$E$54*Inputs!$B$73))*(1+$I15)*IF(Inputs!$C$29=0,1,(MAX(DC14,0)/Inputs!$C$6)^Inputs!$C$29)</f>
        <v>11804.383687684789</v>
      </c>
      <c r="DA15" s="38">
        <f>Inputs!$C$32*DC14/Inputs!$C$6</f>
        <v>6749.9999999999991</v>
      </c>
      <c r="DB15" s="38">
        <f>Inputs!$C$33</f>
        <v>2000</v>
      </c>
      <c r="DC15" s="38">
        <f t="shared" si="41"/>
        <v>800000</v>
      </c>
      <c r="DD15" s="38">
        <f t="shared" si="42"/>
        <v>385320.96547992714</v>
      </c>
      <c r="DE15" s="38">
        <f>Inputs!$C$19*(1-Inputs!$C$73*$H15)+Inputs!$C$21+Inputs!$B$73*$J15</f>
        <v>494375</v>
      </c>
      <c r="DF15" s="38">
        <f t="shared" si="43"/>
        <v>305625</v>
      </c>
      <c r="DG15" s="38">
        <f t="shared" si="44"/>
        <v>0</v>
      </c>
      <c r="DH15" s="38">
        <f>MAX(0,MIN(Inputs!$D$36,DM14,DI15+DJ15+DK15+Inputs!$D$6-DL14))</f>
        <v>14748.355225315201</v>
      </c>
      <c r="DI15" s="38">
        <f>Inputs!$D$27*(1+Inputs!$D$28)^($A15/12)*IF(Inputs!$B$73=1,$G15,1)*(1-Inputs!$C$73*$H15*(1-Inputs!$E$54*Inputs!$B$73))*(1+$I15)*IF(Inputs!$D$29=0,1,(MAX(DL14,0)/Inputs!$D$6)^Inputs!$D$29)</f>
        <v>9048.3552253152047</v>
      </c>
      <c r="DJ15" s="38">
        <f>Inputs!$D$32*DL14/Inputs!$D$6</f>
        <v>4200</v>
      </c>
      <c r="DK15" s="38">
        <f>Inputs!$D$33</f>
        <v>1500</v>
      </c>
      <c r="DL15" s="38">
        <f t="shared" si="45"/>
        <v>880000</v>
      </c>
      <c r="DM15" s="38">
        <f t="shared" si="46"/>
        <v>758282.95663127943</v>
      </c>
      <c r="DN15" s="38">
        <f>Inputs!$D$19*(1-Inputs!$C$73*$H15)+Inputs!$D$21+Inputs!$B$73*$J15</f>
        <v>404664.58333333331</v>
      </c>
      <c r="DO15" s="38">
        <f t="shared" si="47"/>
        <v>475335.41666666669</v>
      </c>
      <c r="DP15" s="38">
        <f t="shared" si="48"/>
        <v>0</v>
      </c>
    </row>
    <row r="16" spans="1:120" x14ac:dyDescent="0.35">
      <c r="A16" s="29">
        <v>11</v>
      </c>
      <c r="B16" s="34">
        <f>EDATE(Inputs!$B$67,$A16)</f>
        <v>46600</v>
      </c>
      <c r="C16" s="35">
        <f>IF(Inputs!$E$47&lt;=0,Inputs!$E$46,Inputs!$E$44+(Inputs!$E$46-Inputs!$E$44)*MIN($A16/Inputs!$E$47,1))</f>
        <v>0.42916666666666664</v>
      </c>
      <c r="D16" s="35">
        <f>MIN(Inputs!$E$57,Inputs!$E$55*(1+Inputs!$E$56)^($A16/12))*Inputs!$E$58*(1+Inputs!$E$59)^($A16/12)/Inputs!$E$45</f>
        <v>0.5717418594494168</v>
      </c>
      <c r="E16" s="35">
        <f>MAX(Inputs!$E$44,MIN(C16,D16))</f>
        <v>0.42916666666666664</v>
      </c>
      <c r="F16" s="35">
        <f>IF(Inputs!$E$50&lt;=0,Inputs!$E$49,Inputs!$E$48+(Inputs!$E$49-Inputs!$E$48)*MIN($A16/Inputs!$E$50,1))</f>
        <v>5.0555555555555555E-2</v>
      </c>
      <c r="G16" s="36">
        <f>(Inputs!$E$41*(1-E16*Inputs!$E$51)+Inputs!$E$42*(1-F16*Inputs!$E$51))/(Inputs!$E$41*(1-Inputs!$E$44*Inputs!$E$51)+Inputs!$E$42*(1-Inputs!$E$48*Inputs!$E$51))</f>
        <v>0.93676084099868595</v>
      </c>
      <c r="H16" s="35">
        <f>IF(Inputs!$E$53&lt;=0,Inputs!$E$52,Inputs!$E$52*MIN($A16/Inputs!$E$53,1))</f>
        <v>2.2916666666666669E-2</v>
      </c>
      <c r="I16" s="35">
        <f>IF(Inputs!$E$64&lt;=0,Inputs!$E$63,Inputs!$E$62+(Inputs!$E$63-Inputs!$E$62)*MIN($A16/Inputs!$E$64,1))</f>
        <v>1.3749999999999998E-2</v>
      </c>
      <c r="J16" s="37">
        <f>(E16-Inputs!$E$44)*Inputs!$E$45/Inputs!$E$60*Inputs!$E$61</f>
        <v>2749.9999999999995</v>
      </c>
      <c r="K16" s="29">
        <f t="shared" si="0"/>
        <v>0</v>
      </c>
      <c r="L16" s="29"/>
      <c r="M16" s="38">
        <f>MAX(0,MIN(Inputs!$B$36,R15,N16+O16+P16+Inputs!$B$6-Q15))</f>
        <v>22000</v>
      </c>
      <c r="N16" s="38">
        <f>Inputs!$B$27*(1+Inputs!$B$28)^($A16/12)*IF(Inputs!$B$70=1,$G16,1)*(1-Inputs!$C$70*$H16*(1-Inputs!$E$54*Inputs!$B$70))*(1+$I16)*IF(Inputs!$B$29=0,1,(MAX(Q15,0)/Inputs!$B$6)^Inputs!$B$29)</f>
        <v>15901.776693371274</v>
      </c>
      <c r="O16" s="38">
        <f>Inputs!$B$32*Q15/Inputs!$B$6</f>
        <v>9800.34177814133</v>
      </c>
      <c r="P16" s="38">
        <f>Inputs!$B$33</f>
        <v>2500</v>
      </c>
      <c r="Q16" s="38">
        <f t="shared" si="1"/>
        <v>610856.43792997859</v>
      </c>
      <c r="R16" s="38">
        <f t="shared" si="2"/>
        <v>129250.00000000006</v>
      </c>
      <c r="S16" s="38">
        <f>Inputs!$B$19*(1-Inputs!$C$70*$H16)+Inputs!$B$21+Inputs!$B$70*$J16</f>
        <v>595000</v>
      </c>
      <c r="T16" s="38">
        <f t="shared" si="3"/>
        <v>15856.437929978594</v>
      </c>
      <c r="U16" s="38">
        <f t="shared" si="4"/>
        <v>0</v>
      </c>
      <c r="V16" s="38">
        <f>MAX(0,MIN(Inputs!$C$36,AA15,W16+X16+Y16+Inputs!$C$6-Z15))</f>
        <v>21421.875</v>
      </c>
      <c r="W16" s="38">
        <f>Inputs!$C$27*(1+Inputs!$C$28)^($A16/12)*IF(Inputs!$B$70=1,$G16,1)*(1-Inputs!$C$70*$H16*(1-Inputs!$E$54*Inputs!$B$70))*(1+$I16)*IF(Inputs!$C$29=0,1,(MAX(Z15,0)/Inputs!$C$6)^Inputs!$C$29)</f>
        <v>12671.875</v>
      </c>
      <c r="X16" s="38">
        <f>Inputs!$C$32*Z15/Inputs!$C$6</f>
        <v>6749.9999999999991</v>
      </c>
      <c r="Y16" s="38">
        <f>Inputs!$C$33</f>
        <v>2000</v>
      </c>
      <c r="Z16" s="38">
        <f t="shared" si="5"/>
        <v>800000</v>
      </c>
      <c r="AA16" s="38">
        <f t="shared" si="6"/>
        <v>359218.75</v>
      </c>
      <c r="AB16" s="38">
        <f>Inputs!$C$19*(1-Inputs!$C$70*$H16)+Inputs!$C$21+Inputs!$B$70*$J16</f>
        <v>495000</v>
      </c>
      <c r="AC16" s="38">
        <f t="shared" si="7"/>
        <v>305000</v>
      </c>
      <c r="AD16" s="38">
        <f t="shared" si="8"/>
        <v>0</v>
      </c>
      <c r="AE16" s="38">
        <f>MAX(0,MIN(Inputs!$D$36,AJ15,AF16+AG16+AH16+Inputs!$D$6-AI15))</f>
        <v>15371.878645601333</v>
      </c>
      <c r="AF16" s="38">
        <f>Inputs!$D$27*(1+Inputs!$D$28)^($A16/12)*IF(Inputs!$B$70=1,$G16,1)*(1-Inputs!$C$70*$H16*(1-Inputs!$E$54*Inputs!$B$70))*(1+$I16)*IF(Inputs!$D$29=0,1,(MAX(AI15,0)/Inputs!$D$6)^Inputs!$D$29)</f>
        <v>9671.8786456013695</v>
      </c>
      <c r="AG16" s="38">
        <f>Inputs!$D$32*AI15/Inputs!$D$6</f>
        <v>4200</v>
      </c>
      <c r="AH16" s="38">
        <f>Inputs!$D$33</f>
        <v>1500</v>
      </c>
      <c r="AI16" s="38">
        <f t="shared" si="9"/>
        <v>880000</v>
      </c>
      <c r="AJ16" s="38">
        <f t="shared" si="10"/>
        <v>739277.01227582037</v>
      </c>
      <c r="AK16" s="38">
        <f>Inputs!$D$19*(1-Inputs!$C$70*$H16)+Inputs!$D$21+Inputs!$B$70*$J16</f>
        <v>404800</v>
      </c>
      <c r="AL16" s="38">
        <f t="shared" si="11"/>
        <v>475200</v>
      </c>
      <c r="AM16" s="38">
        <f t="shared" si="12"/>
        <v>0</v>
      </c>
      <c r="AN16" s="38">
        <f>MAX(0,MIN(Inputs!$B$36,AS15,AO16+AP16+AQ16+Inputs!$B$6-AR15))</f>
        <v>22000</v>
      </c>
      <c r="AO16" s="38">
        <f>Inputs!$B$27*(1+Inputs!$B$28)^($A16/12)*IF(Inputs!$B$71=1,$G16,1)*(1-Inputs!$C$71*$H16*(1-Inputs!$E$54*Inputs!$B$71))*(1+$I16)*IF(Inputs!$B$29=0,1,(MAX(AR15,0)/Inputs!$B$6)^Inputs!$B$29)</f>
        <v>14896.161708655778</v>
      </c>
      <c r="AP16" s="38">
        <f>Inputs!$B$32*AR15/Inputs!$B$6</f>
        <v>9874.9576530576069</v>
      </c>
      <c r="AQ16" s="38">
        <f>Inputs!$B$33</f>
        <v>2500</v>
      </c>
      <c r="AR16" s="38">
        <f t="shared" si="13"/>
        <v>616485.4736085803</v>
      </c>
      <c r="AS16" s="38">
        <f t="shared" si="14"/>
        <v>129250.00000000006</v>
      </c>
      <c r="AT16" s="38">
        <f>Inputs!$B$19*(1-Inputs!$C$71*$H16)+Inputs!$B$21+Inputs!$B$71*$J16</f>
        <v>597750</v>
      </c>
      <c r="AU16" s="38">
        <f t="shared" si="15"/>
        <v>18735.473608580302</v>
      </c>
      <c r="AV16" s="38">
        <f t="shared" si="16"/>
        <v>0</v>
      </c>
      <c r="AW16" s="38">
        <f>MAX(0,MIN(Inputs!$C$36,BB15,AX16+AY16+AZ16+Inputs!$C$6-BA15))</f>
        <v>20620.516282030265</v>
      </c>
      <c r="AX16" s="38">
        <f>Inputs!$C$27*(1+Inputs!$C$28)^($A16/12)*IF(Inputs!$B$71=1,$G16,1)*(1-Inputs!$C$71*$H16*(1-Inputs!$E$54*Inputs!$B$71))*(1+$I16)*IF(Inputs!$C$29=0,1,(MAX(BA15,0)/Inputs!$C$6)^Inputs!$C$29)</f>
        <v>11870.516282030221</v>
      </c>
      <c r="AY16" s="38">
        <f>Inputs!$C$32*BA15/Inputs!$C$6</f>
        <v>6749.9999999999991</v>
      </c>
      <c r="AZ16" s="38">
        <f>Inputs!$C$33</f>
        <v>2000</v>
      </c>
      <c r="BA16" s="38">
        <f t="shared" si="17"/>
        <v>800000</v>
      </c>
      <c r="BB16" s="38">
        <f t="shared" si="18"/>
        <v>364007.1400706307</v>
      </c>
      <c r="BC16" s="38">
        <f>Inputs!$C$19*(1-Inputs!$C$71*$H16)+Inputs!$C$21+Inputs!$B$71*$J16</f>
        <v>497750</v>
      </c>
      <c r="BD16" s="38">
        <f t="shared" si="19"/>
        <v>302250</v>
      </c>
      <c r="BE16" s="38">
        <f t="shared" si="20"/>
        <v>0</v>
      </c>
      <c r="BF16" s="38">
        <f>MAX(0,MIN(Inputs!$D$36,BK15,BG16+BH16+BI16+Inputs!$D$6-BJ15))</f>
        <v>14760.237174090813</v>
      </c>
      <c r="BG16" s="38">
        <f>Inputs!$D$27*(1+Inputs!$D$28)^($A16/12)*IF(Inputs!$B$71=1,$G16,1)*(1-Inputs!$C$71*$H16*(1-Inputs!$E$54*Inputs!$B$71))*(1+$I16)*IF(Inputs!$D$29=0,1,(MAX(BJ15,0)/Inputs!$D$6)^Inputs!$D$29)</f>
        <v>9060.2371740907711</v>
      </c>
      <c r="BH16" s="38">
        <f>Inputs!$D$32*BJ15/Inputs!$D$6</f>
        <v>4200</v>
      </c>
      <c r="BI16" s="38">
        <f>Inputs!$D$33</f>
        <v>1500</v>
      </c>
      <c r="BJ16" s="38">
        <f t="shared" si="21"/>
        <v>880000</v>
      </c>
      <c r="BK16" s="38">
        <f t="shared" si="22"/>
        <v>742984.32677361579</v>
      </c>
      <c r="BL16" s="38">
        <f>Inputs!$D$19*(1-Inputs!$C$71*$H16)+Inputs!$D$21+Inputs!$B$71*$J16</f>
        <v>407550</v>
      </c>
      <c r="BM16" s="38">
        <f t="shared" si="23"/>
        <v>472450</v>
      </c>
      <c r="BN16" s="38">
        <f t="shared" si="24"/>
        <v>0</v>
      </c>
      <c r="BO16" s="38">
        <f>MAX(0,MIN(Inputs!$B$36,BT15,BP16+BQ16+BR16+Inputs!$B$6-BS15))</f>
        <v>22000</v>
      </c>
      <c r="BP16" s="38">
        <f>Inputs!$B$27*(1+Inputs!$B$28)^($A16/12)*IF(Inputs!$B$72=1,$G16,1)*(1-Inputs!$C$72*$H16*(1-Inputs!$E$54*Inputs!$B$72))*(1+$I16)*IF(Inputs!$B$29=0,1,(MAX(BS15,0)/Inputs!$B$6)^Inputs!$B$29)</f>
        <v>15537.360977481514</v>
      </c>
      <c r="BQ16" s="38">
        <f>Inputs!$B$32*BS15/Inputs!$B$6</f>
        <v>9827.3811499562307</v>
      </c>
      <c r="BR16" s="38">
        <f>Inputs!$B$33</f>
        <v>2500</v>
      </c>
      <c r="BS16" s="38">
        <f t="shared" si="25"/>
        <v>612896.29324017675</v>
      </c>
      <c r="BT16" s="38">
        <f t="shared" si="26"/>
        <v>129250.00000000006</v>
      </c>
      <c r="BU16" s="38">
        <f>Inputs!$B$19*(1-Inputs!$C$72*$H16)+Inputs!$B$21+Inputs!$B$72*$J16</f>
        <v>590989.58333333326</v>
      </c>
      <c r="BV16" s="38">
        <f t="shared" si="27"/>
        <v>21906.709906843491</v>
      </c>
      <c r="BW16" s="38">
        <f t="shared" si="28"/>
        <v>0</v>
      </c>
      <c r="BX16" s="38">
        <f>MAX(0,MIN(Inputs!$C$36,CC15,BY16+BZ16+CA16+Inputs!$C$6-CB15))</f>
        <v>21131.477864583372</v>
      </c>
      <c r="BY16" s="38">
        <f>Inputs!$C$27*(1+Inputs!$C$28)^($A16/12)*IF(Inputs!$B$72=1,$G16,1)*(1-Inputs!$C$72*$H16*(1-Inputs!$E$54*Inputs!$B$72))*(1+$I16)*IF(Inputs!$C$29=0,1,(MAX(CB15,0)/Inputs!$C$6)^Inputs!$C$29)</f>
        <v>12381.477864583332</v>
      </c>
      <c r="BZ16" s="38">
        <f>Inputs!$C$32*CB15/Inputs!$C$6</f>
        <v>6749.9999999999991</v>
      </c>
      <c r="CA16" s="38">
        <f>Inputs!$C$33</f>
        <v>2000</v>
      </c>
      <c r="CB16" s="38">
        <f t="shared" si="29"/>
        <v>800000</v>
      </c>
      <c r="CC16" s="38">
        <f t="shared" si="30"/>
        <v>360953.97135416651</v>
      </c>
      <c r="CD16" s="38">
        <f>Inputs!$C$19*(1-Inputs!$C$72*$H16)+Inputs!$C$21+Inputs!$B$72*$J16</f>
        <v>491562.5</v>
      </c>
      <c r="CE16" s="38">
        <f t="shared" si="31"/>
        <v>308437.5</v>
      </c>
      <c r="CF16" s="38">
        <f t="shared" si="32"/>
        <v>0</v>
      </c>
      <c r="CG16" s="38">
        <f>MAX(0,MIN(Inputs!$D$36,CL15,CH16+CI16+CJ16+Inputs!$D$6-CK15))</f>
        <v>15150.231426639715</v>
      </c>
      <c r="CH16" s="38">
        <f>Inputs!$D$27*(1+Inputs!$D$28)^($A16/12)*IF(Inputs!$B$72=1,$G16,1)*(1-Inputs!$C$72*$H16*(1-Inputs!$E$54*Inputs!$B$72))*(1+$I16)*IF(Inputs!$D$29=0,1,(MAX(CK15,0)/Inputs!$D$6)^Inputs!$D$29)</f>
        <v>9450.2314266396716</v>
      </c>
      <c r="CI16" s="38">
        <f>Inputs!$D$32*CK15/Inputs!$D$6</f>
        <v>4200</v>
      </c>
      <c r="CJ16" s="38">
        <f>Inputs!$D$33</f>
        <v>1500</v>
      </c>
      <c r="CK16" s="38">
        <f t="shared" si="33"/>
        <v>880000</v>
      </c>
      <c r="CL16" s="38">
        <f t="shared" si="34"/>
        <v>740620.47243430698</v>
      </c>
      <c r="CM16" s="38">
        <f>Inputs!$D$19*(1-Inputs!$C$72*$H16)+Inputs!$D$21+Inputs!$B$72*$J16</f>
        <v>401901.04166666663</v>
      </c>
      <c r="CN16" s="38">
        <f t="shared" si="35"/>
        <v>478098.95833333337</v>
      </c>
      <c r="CO16" s="38">
        <f t="shared" si="36"/>
        <v>0</v>
      </c>
      <c r="CP16" s="38">
        <f>MAX(0,MIN(Inputs!$B$36,CU15,CQ16+CR16+CS16+Inputs!$B$6-CT15))</f>
        <v>22000</v>
      </c>
      <c r="CQ16" s="38">
        <f>Inputs!$B$27*(1+Inputs!$B$28)^($A16/12)*IF(Inputs!$B$73=1,$G16,1)*(1-Inputs!$C$73*$H16*(1-Inputs!$E$54*Inputs!$B$73))*(1+$I16)*IF(Inputs!$B$29=0,1,(MAX(CT15,0)/Inputs!$B$6)^Inputs!$B$29)</f>
        <v>14725.476522410763</v>
      </c>
      <c r="CR16" s="38">
        <f>Inputs!$B$32*CT15/Inputs!$B$6</f>
        <v>9887.9234753003675</v>
      </c>
      <c r="CS16" s="38">
        <f>Inputs!$B$33</f>
        <v>2500</v>
      </c>
      <c r="CT16" s="38">
        <f t="shared" si="37"/>
        <v>617459.55955823802</v>
      </c>
      <c r="CU16" s="38">
        <f t="shared" si="38"/>
        <v>129250.00000000006</v>
      </c>
      <c r="CV16" s="38">
        <f>Inputs!$B$19*(1-Inputs!$C$73*$H16)+Inputs!$B$21+Inputs!$B$73*$J16</f>
        <v>593739.58333333326</v>
      </c>
      <c r="CW16" s="38">
        <f t="shared" si="39"/>
        <v>23719.976224904764</v>
      </c>
      <c r="CX16" s="38">
        <f t="shared" si="40"/>
        <v>0</v>
      </c>
      <c r="CY16" s="38">
        <f>MAX(0,MIN(Inputs!$C$36,DD15,CZ16+DA16+DB16+Inputs!$C$6-DC15))</f>
        <v>20484.49994963198</v>
      </c>
      <c r="CZ16" s="38">
        <f>Inputs!$C$27*(1+Inputs!$C$28)^($A16/12)*IF(Inputs!$B$73=1,$G16,1)*(1-Inputs!$C$73*$H16*(1-Inputs!$E$54*Inputs!$B$73))*(1+$I16)*IF(Inputs!$C$29=0,1,(MAX(DC15,0)/Inputs!$C$6)^Inputs!$C$29)</f>
        <v>11734.499949631958</v>
      </c>
      <c r="DA16" s="38">
        <f>Inputs!$C$32*DC15/Inputs!$C$6</f>
        <v>6749.9999999999991</v>
      </c>
      <c r="DB16" s="38">
        <f>Inputs!$C$33</f>
        <v>2000</v>
      </c>
      <c r="DC16" s="38">
        <f t="shared" si="41"/>
        <v>800000</v>
      </c>
      <c r="DD16" s="38">
        <f t="shared" si="42"/>
        <v>364836.46553029516</v>
      </c>
      <c r="DE16" s="38">
        <f>Inputs!$C$19*(1-Inputs!$C$73*$H16)+Inputs!$C$21+Inputs!$B$73*$J16</f>
        <v>494312.5</v>
      </c>
      <c r="DF16" s="38">
        <f t="shared" si="43"/>
        <v>305687.5</v>
      </c>
      <c r="DG16" s="38">
        <f t="shared" si="44"/>
        <v>0</v>
      </c>
      <c r="DH16" s="38">
        <f>MAX(0,MIN(Inputs!$D$36,DM15,DI16+DJ16+DK16+Inputs!$D$6-DL15))</f>
        <v>14656.421956470935</v>
      </c>
      <c r="DI16" s="38">
        <f>Inputs!$D$27*(1+Inputs!$D$28)^($A16/12)*IF(Inputs!$B$73=1,$G16,1)*(1-Inputs!$C$73*$H16*(1-Inputs!$E$54*Inputs!$B$73))*(1+$I16)*IF(Inputs!$D$29=0,1,(MAX(DL15,0)/Inputs!$D$6)^Inputs!$D$29)</f>
        <v>8956.4219564709801</v>
      </c>
      <c r="DJ16" s="38">
        <f>Inputs!$D$32*DL15/Inputs!$D$6</f>
        <v>4200</v>
      </c>
      <c r="DK16" s="38">
        <f>Inputs!$D$33</f>
        <v>1500</v>
      </c>
      <c r="DL16" s="38">
        <f t="shared" si="45"/>
        <v>880000</v>
      </c>
      <c r="DM16" s="38">
        <f t="shared" si="46"/>
        <v>743626.5346748085</v>
      </c>
      <c r="DN16" s="38">
        <f>Inputs!$D$19*(1-Inputs!$C$73*$H16)+Inputs!$D$21+Inputs!$B$73*$J16</f>
        <v>404651.04166666663</v>
      </c>
      <c r="DO16" s="38">
        <f t="shared" si="47"/>
        <v>475348.95833333337</v>
      </c>
      <c r="DP16" s="38">
        <f t="shared" si="48"/>
        <v>0</v>
      </c>
    </row>
    <row r="17" spans="1:120" x14ac:dyDescent="0.35">
      <c r="A17" s="29">
        <v>12</v>
      </c>
      <c r="B17" s="34">
        <f>EDATE(Inputs!$B$67,$A17)</f>
        <v>46631</v>
      </c>
      <c r="C17" s="35">
        <f>IF(Inputs!$E$47&lt;=0,Inputs!$E$46,Inputs!$E$44+(Inputs!$E$46-Inputs!$E$44)*MIN($A17/Inputs!$E$47,1))</f>
        <v>0.44999999999999996</v>
      </c>
      <c r="D17" s="35">
        <f>MIN(Inputs!$E$57,Inputs!$E$55*(1+Inputs!$E$56)^($A17/12))*Inputs!$E$58*(1+Inputs!$E$59)^($A17/12)/Inputs!$E$45</f>
        <v>0.58799999999999997</v>
      </c>
      <c r="E17" s="35">
        <f>MAX(Inputs!$E$44,MIN(C17,D17))</f>
        <v>0.44999999999999996</v>
      </c>
      <c r="F17" s="35">
        <f>IF(Inputs!$E$50&lt;=0,Inputs!$E$49,Inputs!$E$48+(Inputs!$E$49-Inputs!$E$48)*MIN($A17/Inputs!$E$50,1))</f>
        <v>5.333333333333333E-2</v>
      </c>
      <c r="G17" s="36">
        <f>(Inputs!$E$41*(1-E17*Inputs!$E$51)+Inputs!$E$42*(1-F17*Inputs!$E$51))/(Inputs!$E$41*(1-Inputs!$E$44*Inputs!$E$51)+Inputs!$E$42*(1-Inputs!$E$48*Inputs!$E$51))</f>
        <v>0.93101182654402093</v>
      </c>
      <c r="H17" s="35">
        <f>IF(Inputs!$E$53&lt;=0,Inputs!$E$52,Inputs!$E$52*MIN($A17/Inputs!$E$53,1))</f>
        <v>2.5000000000000001E-2</v>
      </c>
      <c r="I17" s="35">
        <f>IF(Inputs!$E$64&lt;=0,Inputs!$E$63,Inputs!$E$62+(Inputs!$E$63-Inputs!$E$62)*MIN($A17/Inputs!$E$64,1))</f>
        <v>1.4999999999999999E-2</v>
      </c>
      <c r="J17" s="37">
        <f>(E17-Inputs!$E$44)*Inputs!$E$45/Inputs!$E$60*Inputs!$E$61</f>
        <v>2999.9999999999991</v>
      </c>
      <c r="K17" s="29">
        <f t="shared" si="0"/>
        <v>0</v>
      </c>
      <c r="L17" s="29"/>
      <c r="M17" s="38">
        <f>MAX(0,MIN(Inputs!$B$36,R16,N17+O17+P17+Inputs!$B$6-Q16))</f>
        <v>22000</v>
      </c>
      <c r="N17" s="38">
        <f>Inputs!$B$27*(1+Inputs!$B$28)^($A17/12)*IF(Inputs!$B$70=1,$G17,1)*(1-Inputs!$C$70*$H17*(1-Inputs!$E$54*Inputs!$B$70))*(1+$I17)*IF(Inputs!$B$29=0,1,(MAX(Q16,0)/Inputs!$B$6)^Inputs!$B$29)</f>
        <v>15986.249999999998</v>
      </c>
      <c r="O17" s="38">
        <f>Inputs!$B$32*Q16/Inputs!$B$6</f>
        <v>9701.8375435937778</v>
      </c>
      <c r="P17" s="38">
        <f>Inputs!$B$33</f>
        <v>2500</v>
      </c>
      <c r="Q17" s="38">
        <f t="shared" si="1"/>
        <v>604668.35038638487</v>
      </c>
      <c r="R17" s="38">
        <f t="shared" si="2"/>
        <v>107250.00000000006</v>
      </c>
      <c r="S17" s="38">
        <f>Inputs!$B$19*(1-Inputs!$C$70*$H17)+Inputs!$B$21+Inputs!$B$70*$J17</f>
        <v>595000</v>
      </c>
      <c r="T17" s="38">
        <f t="shared" si="3"/>
        <v>9668.3503863848746</v>
      </c>
      <c r="U17" s="38">
        <f t="shared" si="4"/>
        <v>0</v>
      </c>
      <c r="V17" s="38">
        <f>MAX(0,MIN(Inputs!$C$36,AA16,W17+X17+Y17+Inputs!$C$6-Z16))</f>
        <v>21437.5</v>
      </c>
      <c r="W17" s="38">
        <f>Inputs!$C$27*(1+Inputs!$C$28)^($A17/12)*IF(Inputs!$B$70=1,$G17,1)*(1-Inputs!$C$70*$H17*(1-Inputs!$E$54*Inputs!$B$70))*(1+$I17)*IF(Inputs!$C$29=0,1,(MAX(Z16,0)/Inputs!$C$6)^Inputs!$C$29)</f>
        <v>12687.499999999998</v>
      </c>
      <c r="X17" s="38">
        <f>Inputs!$C$32*Z16/Inputs!$C$6</f>
        <v>6749.9999999999991</v>
      </c>
      <c r="Y17" s="38">
        <f>Inputs!$C$33</f>
        <v>2000</v>
      </c>
      <c r="Z17" s="38">
        <f t="shared" si="5"/>
        <v>800000</v>
      </c>
      <c r="AA17" s="38">
        <f t="shared" si="6"/>
        <v>337781.25</v>
      </c>
      <c r="AB17" s="38">
        <f>Inputs!$C$19*(1-Inputs!$C$70*$H17)+Inputs!$C$21+Inputs!$B$70*$J17</f>
        <v>495000</v>
      </c>
      <c r="AC17" s="38">
        <f t="shared" si="7"/>
        <v>305000</v>
      </c>
      <c r="AD17" s="38">
        <f t="shared" si="8"/>
        <v>0</v>
      </c>
      <c r="AE17" s="38">
        <f>MAX(0,MIN(Inputs!$D$36,AJ16,AF17+AG17+AH17+Inputs!$D$6-AI16))</f>
        <v>15342.5</v>
      </c>
      <c r="AF17" s="38">
        <f>Inputs!$D$27*(1+Inputs!$D$28)^($A17/12)*IF(Inputs!$B$70=1,$G17,1)*(1-Inputs!$C$70*$H17*(1-Inputs!$E$54*Inputs!$B$70))*(1+$I17)*IF(Inputs!$D$29=0,1,(MAX(AI16,0)/Inputs!$D$6)^Inputs!$D$29)</f>
        <v>9642.4999999999982</v>
      </c>
      <c r="AG17" s="38">
        <f>Inputs!$D$32*AI16/Inputs!$D$6</f>
        <v>4200</v>
      </c>
      <c r="AH17" s="38">
        <f>Inputs!$D$33</f>
        <v>1500</v>
      </c>
      <c r="AI17" s="38">
        <f t="shared" si="9"/>
        <v>880000</v>
      </c>
      <c r="AJ17" s="38">
        <f t="shared" si="10"/>
        <v>723934.51227582037</v>
      </c>
      <c r="AK17" s="38">
        <f>Inputs!$D$19*(1-Inputs!$C$70*$H17)+Inputs!$D$21+Inputs!$B$70*$J17</f>
        <v>404800</v>
      </c>
      <c r="AL17" s="38">
        <f t="shared" si="11"/>
        <v>475200</v>
      </c>
      <c r="AM17" s="38">
        <f t="shared" si="12"/>
        <v>0</v>
      </c>
      <c r="AN17" s="38">
        <f>MAX(0,MIN(Inputs!$B$36,AS16,AO17+AP17+AQ17+Inputs!$B$6-AR16))</f>
        <v>22000</v>
      </c>
      <c r="AO17" s="38">
        <f>Inputs!$B$27*(1+Inputs!$B$28)^($A17/12)*IF(Inputs!$B$71=1,$G17,1)*(1-Inputs!$C$71*$H17*(1-Inputs!$E$54*Inputs!$B$71))*(1+$I17)*IF(Inputs!$B$29=0,1,(MAX(AR16,0)/Inputs!$B$6)^Inputs!$B$29)</f>
        <v>14883.387812089353</v>
      </c>
      <c r="AP17" s="38">
        <f>Inputs!$B$32*AR16/Inputs!$B$6</f>
        <v>9791.2398749598051</v>
      </c>
      <c r="AQ17" s="38">
        <f>Inputs!$B$33</f>
        <v>2500</v>
      </c>
      <c r="AR17" s="38">
        <f t="shared" si="13"/>
        <v>611310.84592153109</v>
      </c>
      <c r="AS17" s="38">
        <f t="shared" si="14"/>
        <v>107250.00000000006</v>
      </c>
      <c r="AT17" s="38">
        <f>Inputs!$B$19*(1-Inputs!$C$71*$H17)+Inputs!$B$21+Inputs!$B$71*$J17</f>
        <v>598000</v>
      </c>
      <c r="AU17" s="38">
        <f t="shared" si="15"/>
        <v>13310.845921531087</v>
      </c>
      <c r="AV17" s="38">
        <f t="shared" si="16"/>
        <v>0</v>
      </c>
      <c r="AW17" s="38">
        <f>MAX(0,MIN(Inputs!$C$36,BB16,AX17+AY17+AZ17+Inputs!$C$6-BA16))</f>
        <v>20562.212549277232</v>
      </c>
      <c r="AX17" s="38">
        <f>Inputs!$C$27*(1+Inputs!$C$28)^($A17/12)*IF(Inputs!$B$71=1,$G17,1)*(1-Inputs!$C$71*$H17*(1-Inputs!$E$54*Inputs!$B$71))*(1+$I17)*IF(Inputs!$C$29=0,1,(MAX(BA16,0)/Inputs!$C$6)^Inputs!$C$29)</f>
        <v>11812.212549277263</v>
      </c>
      <c r="AY17" s="38">
        <f>Inputs!$C$32*BA16/Inputs!$C$6</f>
        <v>6749.9999999999991</v>
      </c>
      <c r="AZ17" s="38">
        <f>Inputs!$C$33</f>
        <v>2000</v>
      </c>
      <c r="BA17" s="38">
        <f t="shared" si="17"/>
        <v>800000</v>
      </c>
      <c r="BB17" s="38">
        <f t="shared" si="18"/>
        <v>343444.92752135347</v>
      </c>
      <c r="BC17" s="38">
        <f>Inputs!$C$19*(1-Inputs!$C$71*$H17)+Inputs!$C$21+Inputs!$B$71*$J17</f>
        <v>498000</v>
      </c>
      <c r="BD17" s="38">
        <f t="shared" si="19"/>
        <v>302000</v>
      </c>
      <c r="BE17" s="38">
        <f t="shared" si="20"/>
        <v>0</v>
      </c>
      <c r="BF17" s="38">
        <f>MAX(0,MIN(Inputs!$D$36,BK16,BG17+BH17+BI17+Inputs!$D$6-BJ16))</f>
        <v>14677.281537450734</v>
      </c>
      <c r="BG17" s="38">
        <f>Inputs!$D$27*(1+Inputs!$D$28)^($A17/12)*IF(Inputs!$B$71=1,$G17,1)*(1-Inputs!$C$71*$H17*(1-Inputs!$E$54*Inputs!$B$71))*(1+$I17)*IF(Inputs!$D$29=0,1,(MAX(BJ16,0)/Inputs!$D$6)^Inputs!$D$29)</f>
        <v>8977.2815374507209</v>
      </c>
      <c r="BH17" s="38">
        <f>Inputs!$D$32*BJ16/Inputs!$D$6</f>
        <v>4200</v>
      </c>
      <c r="BI17" s="38">
        <f>Inputs!$D$33</f>
        <v>1500</v>
      </c>
      <c r="BJ17" s="38">
        <f t="shared" si="21"/>
        <v>880000</v>
      </c>
      <c r="BK17" s="38">
        <f t="shared" si="22"/>
        <v>728307.04523616505</v>
      </c>
      <c r="BL17" s="38">
        <f>Inputs!$D$19*(1-Inputs!$C$71*$H17)+Inputs!$D$21+Inputs!$B$71*$J17</f>
        <v>407800</v>
      </c>
      <c r="BM17" s="38">
        <f t="shared" si="23"/>
        <v>472200</v>
      </c>
      <c r="BN17" s="38">
        <f t="shared" si="24"/>
        <v>0</v>
      </c>
      <c r="BO17" s="38">
        <f>MAX(0,MIN(Inputs!$B$36,BT16,BP17+BQ17+BR17+Inputs!$B$6-BS16))</f>
        <v>22000</v>
      </c>
      <c r="BP17" s="38">
        <f>Inputs!$B$27*(1+Inputs!$B$28)^($A17/12)*IF(Inputs!$B$72=1,$G17,1)*(1-Inputs!$C$72*$H17*(1-Inputs!$E$54*Inputs!$B$72))*(1+$I17)*IF(Inputs!$B$29=0,1,(MAX(BS16,0)/Inputs!$B$6)^Inputs!$B$29)</f>
        <v>15586.593749999998</v>
      </c>
      <c r="BQ17" s="38">
        <f>Inputs!$B$32*BS16/Inputs!$B$6</f>
        <v>9734.235245579277</v>
      </c>
      <c r="BR17" s="38">
        <f>Inputs!$B$33</f>
        <v>2500</v>
      </c>
      <c r="BS17" s="38">
        <f t="shared" si="25"/>
        <v>607075.46424459748</v>
      </c>
      <c r="BT17" s="38">
        <f t="shared" si="26"/>
        <v>107250.00000000006</v>
      </c>
      <c r="BU17" s="38">
        <f>Inputs!$B$19*(1-Inputs!$C$72*$H17)+Inputs!$B$21+Inputs!$B$72*$J17</f>
        <v>590625</v>
      </c>
      <c r="BV17" s="38">
        <f t="shared" si="27"/>
        <v>16450.464244597475</v>
      </c>
      <c r="BW17" s="38">
        <f t="shared" si="28"/>
        <v>0</v>
      </c>
      <c r="BX17" s="38">
        <f>MAX(0,MIN(Inputs!$C$36,CC16,BY17+BZ17+CA17+Inputs!$C$6-CB16))</f>
        <v>21120.3125</v>
      </c>
      <c r="BY17" s="38">
        <f>Inputs!$C$27*(1+Inputs!$C$28)^($A17/12)*IF(Inputs!$B$72=1,$G17,1)*(1-Inputs!$C$72*$H17*(1-Inputs!$E$54*Inputs!$B$72))*(1+$I17)*IF(Inputs!$C$29=0,1,(MAX(CB16,0)/Inputs!$C$6)^Inputs!$C$29)</f>
        <v>12370.312499999998</v>
      </c>
      <c r="BZ17" s="38">
        <f>Inputs!$C$32*CB16/Inputs!$C$6</f>
        <v>6749.9999999999991</v>
      </c>
      <c r="CA17" s="38">
        <f>Inputs!$C$33</f>
        <v>2000</v>
      </c>
      <c r="CB17" s="38">
        <f t="shared" si="29"/>
        <v>800000</v>
      </c>
      <c r="CC17" s="38">
        <f t="shared" si="30"/>
        <v>339833.65885416651</v>
      </c>
      <c r="CD17" s="38">
        <f>Inputs!$C$19*(1-Inputs!$C$72*$H17)+Inputs!$C$21+Inputs!$B$72*$J17</f>
        <v>491250</v>
      </c>
      <c r="CE17" s="38">
        <f t="shared" si="31"/>
        <v>308750</v>
      </c>
      <c r="CF17" s="38">
        <f t="shared" si="32"/>
        <v>0</v>
      </c>
      <c r="CG17" s="38">
        <f>MAX(0,MIN(Inputs!$D$36,CL16,CH17+CI17+CJ17+Inputs!$D$6-CK16))</f>
        <v>15101.4375</v>
      </c>
      <c r="CH17" s="38">
        <f>Inputs!$D$27*(1+Inputs!$D$28)^($A17/12)*IF(Inputs!$B$72=1,$G17,1)*(1-Inputs!$C$72*$H17*(1-Inputs!$E$54*Inputs!$B$72))*(1+$I17)*IF(Inputs!$D$29=0,1,(MAX(CK16,0)/Inputs!$D$6)^Inputs!$D$29)</f>
        <v>9401.4375</v>
      </c>
      <c r="CI17" s="38">
        <f>Inputs!$D$32*CK16/Inputs!$D$6</f>
        <v>4200</v>
      </c>
      <c r="CJ17" s="38">
        <f>Inputs!$D$33</f>
        <v>1500</v>
      </c>
      <c r="CK17" s="38">
        <f t="shared" si="33"/>
        <v>880000</v>
      </c>
      <c r="CL17" s="38">
        <f t="shared" si="34"/>
        <v>725519.03493430698</v>
      </c>
      <c r="CM17" s="38">
        <f>Inputs!$D$19*(1-Inputs!$C$72*$H17)+Inputs!$D$21+Inputs!$B$72*$J17</f>
        <v>401637.5</v>
      </c>
      <c r="CN17" s="38">
        <f t="shared" si="35"/>
        <v>478362.5</v>
      </c>
      <c r="CO17" s="38">
        <f t="shared" si="36"/>
        <v>0</v>
      </c>
      <c r="CP17" s="38">
        <f>MAX(0,MIN(Inputs!$B$36,CU16,CQ17+CR17+CS17+Inputs!$B$6-CT16))</f>
        <v>22000</v>
      </c>
      <c r="CQ17" s="38">
        <f>Inputs!$B$27*(1+Inputs!$B$28)^($A17/12)*IF(Inputs!$B$73=1,$G17,1)*(1-Inputs!$C$73*$H17*(1-Inputs!$E$54*Inputs!$B$73))*(1+$I17)*IF(Inputs!$B$29=0,1,(MAX(CT16,0)/Inputs!$B$6)^Inputs!$B$29)</f>
        <v>14697.345464438236</v>
      </c>
      <c r="CR17" s="38">
        <f>Inputs!$B$32*CT16/Inputs!$B$6</f>
        <v>9806.7106518073087</v>
      </c>
      <c r="CS17" s="38">
        <f>Inputs!$B$33</f>
        <v>2500</v>
      </c>
      <c r="CT17" s="38">
        <f t="shared" si="37"/>
        <v>612455.50344199257</v>
      </c>
      <c r="CU17" s="38">
        <f t="shared" si="38"/>
        <v>107250.00000000006</v>
      </c>
      <c r="CV17" s="38">
        <f>Inputs!$B$19*(1-Inputs!$C$73*$H17)+Inputs!$B$21+Inputs!$B$73*$J17</f>
        <v>593625</v>
      </c>
      <c r="CW17" s="38">
        <f t="shared" si="39"/>
        <v>18830.503441992565</v>
      </c>
      <c r="CX17" s="38">
        <f t="shared" si="40"/>
        <v>0</v>
      </c>
      <c r="CY17" s="38">
        <f>MAX(0,MIN(Inputs!$C$36,DD16,CZ17+DA17+DB17+Inputs!$C$6-DC16))</f>
        <v>20414.559892411344</v>
      </c>
      <c r="CZ17" s="38">
        <f>Inputs!$C$27*(1+Inputs!$C$28)^($A17/12)*IF(Inputs!$B$73=1,$G17,1)*(1-Inputs!$C$73*$H17*(1-Inputs!$E$54*Inputs!$B$73))*(1+$I17)*IF(Inputs!$C$29=0,1,(MAX(DC16,0)/Inputs!$C$6)^Inputs!$C$29)</f>
        <v>11664.559892411298</v>
      </c>
      <c r="DA17" s="38">
        <f>Inputs!$C$32*DC16/Inputs!$C$6</f>
        <v>6749.9999999999991</v>
      </c>
      <c r="DB17" s="38">
        <f>Inputs!$C$33</f>
        <v>2000</v>
      </c>
      <c r="DC17" s="38">
        <f t="shared" si="41"/>
        <v>800000</v>
      </c>
      <c r="DD17" s="38">
        <f t="shared" si="42"/>
        <v>344421.90563788381</v>
      </c>
      <c r="DE17" s="38">
        <f>Inputs!$C$19*(1-Inputs!$C$73*$H17)+Inputs!$C$21+Inputs!$B$73*$J17</f>
        <v>494250</v>
      </c>
      <c r="DF17" s="38">
        <f t="shared" si="43"/>
        <v>305750</v>
      </c>
      <c r="DG17" s="38">
        <f t="shared" si="44"/>
        <v>0</v>
      </c>
      <c r="DH17" s="38">
        <f>MAX(0,MIN(Inputs!$D$36,DM16,DI17+DJ17+DK17+Inputs!$D$6-DL16))</f>
        <v>14565.065518232528</v>
      </c>
      <c r="DI17" s="38">
        <f>Inputs!$D$27*(1+Inputs!$D$28)^($A17/12)*IF(Inputs!$B$73=1,$G17,1)*(1-Inputs!$C$73*$H17*(1-Inputs!$E$54*Inputs!$B$73))*(1+$I17)*IF(Inputs!$D$29=0,1,(MAX(DL16,0)/Inputs!$D$6)^Inputs!$D$29)</f>
        <v>8865.0655182325863</v>
      </c>
      <c r="DJ17" s="38">
        <f>Inputs!$D$32*DL16/Inputs!$D$6</f>
        <v>4200</v>
      </c>
      <c r="DK17" s="38">
        <f>Inputs!$D$33</f>
        <v>1500</v>
      </c>
      <c r="DL17" s="38">
        <f t="shared" si="45"/>
        <v>880000</v>
      </c>
      <c r="DM17" s="38">
        <f t="shared" si="46"/>
        <v>729061.46915657597</v>
      </c>
      <c r="DN17" s="38">
        <f>Inputs!$D$19*(1-Inputs!$C$73*$H17)+Inputs!$D$21+Inputs!$B$73*$J17</f>
        <v>404637.5</v>
      </c>
      <c r="DO17" s="38">
        <f t="shared" si="47"/>
        <v>475362.5</v>
      </c>
      <c r="DP17" s="38">
        <f t="shared" si="48"/>
        <v>0</v>
      </c>
    </row>
    <row r="18" spans="1:120" x14ac:dyDescent="0.35">
      <c r="A18" s="29">
        <v>13</v>
      </c>
      <c r="B18" s="34">
        <f>EDATE(Inputs!$B$67,$A18)</f>
        <v>46661</v>
      </c>
      <c r="C18" s="35">
        <f>IF(Inputs!$E$47&lt;=0,Inputs!$E$46,Inputs!$E$44+(Inputs!$E$46-Inputs!$E$44)*MIN($A18/Inputs!$E$47,1))</f>
        <v>0.47083333333333327</v>
      </c>
      <c r="D18" s="35">
        <f>MIN(Inputs!$E$57,Inputs!$E$55*(1+Inputs!$E$56)^($A18/12))*Inputs!$E$58*(1+Inputs!$E$59)^($A18/12)/Inputs!$E$45</f>
        <v>0.60472045956710041</v>
      </c>
      <c r="E18" s="35">
        <f>MAX(Inputs!$E$44,MIN(C18,D18))</f>
        <v>0.47083333333333327</v>
      </c>
      <c r="F18" s="35">
        <f>IF(Inputs!$E$50&lt;=0,Inputs!$E$49,Inputs!$E$48+(Inputs!$E$49-Inputs!$E$48)*MIN($A18/Inputs!$E$50,1))</f>
        <v>5.6111111111111112E-2</v>
      </c>
      <c r="G18" s="36">
        <f>(Inputs!$E$41*(1-E18*Inputs!$E$51)+Inputs!$E$42*(1-F18*Inputs!$E$51))/(Inputs!$E$41*(1-Inputs!$E$44*Inputs!$E$51)+Inputs!$E$42*(1-Inputs!$E$48*Inputs!$E$51))</f>
        <v>0.92526281208935601</v>
      </c>
      <c r="H18" s="35">
        <f>IF(Inputs!$E$53&lt;=0,Inputs!$E$52,Inputs!$E$52*MIN($A18/Inputs!$E$53,1))</f>
        <v>2.7083333333333334E-2</v>
      </c>
      <c r="I18" s="35">
        <f>IF(Inputs!$E$64&lt;=0,Inputs!$E$63,Inputs!$E$62+(Inputs!$E$63-Inputs!$E$62)*MIN($A18/Inputs!$E$64,1))</f>
        <v>1.6249999999999997E-2</v>
      </c>
      <c r="J18" s="37">
        <f>(E18-Inputs!$E$44)*Inputs!$E$45/Inputs!$E$60*Inputs!$E$61</f>
        <v>3249.9999999999991</v>
      </c>
      <c r="K18" s="29">
        <f t="shared" si="0"/>
        <v>0</v>
      </c>
      <c r="L18" s="29"/>
      <c r="M18" s="38">
        <f>MAX(0,MIN(Inputs!$B$36,R17,N18+O18+P18+Inputs!$B$6-Q17))</f>
        <v>22000</v>
      </c>
      <c r="N18" s="38">
        <f>Inputs!$B$27*(1+Inputs!$B$28)^($A18/12)*IF(Inputs!$B$70=1,$G18,1)*(1-Inputs!$C$70*$H18*(1-Inputs!$E$54*Inputs!$B$70))*(1+$I18)*IF(Inputs!$B$29=0,1,(MAX(Q17,0)/Inputs!$B$6)^Inputs!$B$29)</f>
        <v>16071.147670648341</v>
      </c>
      <c r="O18" s="38">
        <f>Inputs!$B$32*Q17/Inputs!$B$6</f>
        <v>9603.5561531955245</v>
      </c>
      <c r="P18" s="38">
        <f>Inputs!$B$33</f>
        <v>2500</v>
      </c>
      <c r="Q18" s="38">
        <f t="shared" si="1"/>
        <v>598493.64656254102</v>
      </c>
      <c r="R18" s="38">
        <f t="shared" si="2"/>
        <v>85250.000000000058</v>
      </c>
      <c r="S18" s="38">
        <f>Inputs!$B$19*(1-Inputs!$C$70*$H18)+Inputs!$B$21+Inputs!$B$70*$J18</f>
        <v>595000</v>
      </c>
      <c r="T18" s="38">
        <f t="shared" si="3"/>
        <v>3493.6465625410201</v>
      </c>
      <c r="U18" s="38">
        <f t="shared" si="4"/>
        <v>0</v>
      </c>
      <c r="V18" s="38">
        <f>MAX(0,MIN(Inputs!$C$36,AA17,W18+X18+Y18+Inputs!$C$6-Z17))</f>
        <v>21453.125</v>
      </c>
      <c r="W18" s="38">
        <f>Inputs!$C$27*(1+Inputs!$C$28)^($A18/12)*IF(Inputs!$B$70=1,$G18,1)*(1-Inputs!$C$70*$H18*(1-Inputs!$E$54*Inputs!$B$70))*(1+$I18)*IF(Inputs!$C$29=0,1,(MAX(Z17,0)/Inputs!$C$6)^Inputs!$C$29)</f>
        <v>12703.125000000002</v>
      </c>
      <c r="X18" s="38">
        <f>Inputs!$C$32*Z17/Inputs!$C$6</f>
        <v>6749.9999999999991</v>
      </c>
      <c r="Y18" s="38">
        <f>Inputs!$C$33</f>
        <v>2000</v>
      </c>
      <c r="Z18" s="38">
        <f t="shared" si="5"/>
        <v>800000</v>
      </c>
      <c r="AA18" s="38">
        <f t="shared" si="6"/>
        <v>316328.125</v>
      </c>
      <c r="AB18" s="38">
        <f>Inputs!$C$19*(1-Inputs!$C$70*$H18)+Inputs!$C$21+Inputs!$B$70*$J18</f>
        <v>495000</v>
      </c>
      <c r="AC18" s="38">
        <f t="shared" si="7"/>
        <v>305000</v>
      </c>
      <c r="AD18" s="38">
        <f t="shared" si="8"/>
        <v>0</v>
      </c>
      <c r="AE18" s="38">
        <f>MAX(0,MIN(Inputs!$D$36,AJ17,AF18+AG18+AH18+Inputs!$D$6-AI17))</f>
        <v>15313.196013026871</v>
      </c>
      <c r="AF18" s="38">
        <f>Inputs!$D$27*(1+Inputs!$D$28)^($A18/12)*IF(Inputs!$B$70=1,$G18,1)*(1-Inputs!$C$70*$H18*(1-Inputs!$E$54*Inputs!$B$70))*(1+$I18)*IF(Inputs!$D$29=0,1,(MAX(AI17,0)/Inputs!$D$6)^Inputs!$D$29)</f>
        <v>9613.1960130268872</v>
      </c>
      <c r="AG18" s="38">
        <f>Inputs!$D$32*AI17/Inputs!$D$6</f>
        <v>4200</v>
      </c>
      <c r="AH18" s="38">
        <f>Inputs!$D$33</f>
        <v>1500</v>
      </c>
      <c r="AI18" s="38">
        <f t="shared" si="9"/>
        <v>880000</v>
      </c>
      <c r="AJ18" s="38">
        <f t="shared" si="10"/>
        <v>708621.31626279349</v>
      </c>
      <c r="AK18" s="38">
        <f>Inputs!$D$19*(1-Inputs!$C$70*$H18)+Inputs!$D$21+Inputs!$B$70*$J18</f>
        <v>404800</v>
      </c>
      <c r="AL18" s="38">
        <f t="shared" si="11"/>
        <v>475200</v>
      </c>
      <c r="AM18" s="38">
        <f t="shared" si="12"/>
        <v>0</v>
      </c>
      <c r="AN18" s="38">
        <f>MAX(0,MIN(Inputs!$B$36,AS17,AO18+AP18+AQ18+Inputs!$B$6-AR17))</f>
        <v>22000</v>
      </c>
      <c r="AO18" s="38">
        <f>Inputs!$B$27*(1+Inputs!$B$28)^($A18/12)*IF(Inputs!$B$71=1,$G18,1)*(1-Inputs!$C$71*$H18*(1-Inputs!$E$54*Inputs!$B$71))*(1+$I18)*IF(Inputs!$B$29=0,1,(MAX(AR17,0)/Inputs!$B$6)^Inputs!$B$29)</f>
        <v>14870.035287247389</v>
      </c>
      <c r="AP18" s="38">
        <f>Inputs!$B$32*AR17/Inputs!$B$6</f>
        <v>9709.0546116949045</v>
      </c>
      <c r="AQ18" s="38">
        <f>Inputs!$B$33</f>
        <v>2500</v>
      </c>
      <c r="AR18" s="38">
        <f t="shared" si="13"/>
        <v>606231.75602258882</v>
      </c>
      <c r="AS18" s="38">
        <f t="shared" si="14"/>
        <v>85250.000000000058</v>
      </c>
      <c r="AT18" s="38">
        <f>Inputs!$B$19*(1-Inputs!$C$71*$H18)+Inputs!$B$21+Inputs!$B$71*$J18</f>
        <v>598250</v>
      </c>
      <c r="AU18" s="38">
        <f t="shared" si="15"/>
        <v>7981.7560225888155</v>
      </c>
      <c r="AV18" s="38">
        <f t="shared" si="16"/>
        <v>0</v>
      </c>
      <c r="AW18" s="38">
        <f>MAX(0,MIN(Inputs!$C$36,BB17,AX18+AY18+AZ18+Inputs!$C$6-BA17))</f>
        <v>20503.729159822571</v>
      </c>
      <c r="AX18" s="38">
        <f>Inputs!$C$27*(1+Inputs!$C$28)^($A18/12)*IF(Inputs!$B$71=1,$G18,1)*(1-Inputs!$C$71*$H18*(1-Inputs!$E$54*Inputs!$B$71))*(1+$I18)*IF(Inputs!$C$29=0,1,(MAX(BA17,0)/Inputs!$C$6)^Inputs!$C$29)</f>
        <v>11753.729159822602</v>
      </c>
      <c r="AY18" s="38">
        <f>Inputs!$C$32*BA17/Inputs!$C$6</f>
        <v>6749.9999999999991</v>
      </c>
      <c r="AZ18" s="38">
        <f>Inputs!$C$33</f>
        <v>2000</v>
      </c>
      <c r="BA18" s="38">
        <f t="shared" si="17"/>
        <v>800000</v>
      </c>
      <c r="BB18" s="38">
        <f t="shared" si="18"/>
        <v>322941.1983615309</v>
      </c>
      <c r="BC18" s="38">
        <f>Inputs!$C$19*(1-Inputs!$C$71*$H18)+Inputs!$C$21+Inputs!$B$71*$J18</f>
        <v>498250</v>
      </c>
      <c r="BD18" s="38">
        <f t="shared" si="19"/>
        <v>301750</v>
      </c>
      <c r="BE18" s="38">
        <f t="shared" si="20"/>
        <v>0</v>
      </c>
      <c r="BF18" s="38">
        <f>MAX(0,MIN(Inputs!$D$36,BK17,BG18+BH18+BI18+Inputs!$D$6-BJ17))</f>
        <v>14594.732776179444</v>
      </c>
      <c r="BG18" s="38">
        <f>Inputs!$D$27*(1+Inputs!$D$28)^($A18/12)*IF(Inputs!$B$71=1,$G18,1)*(1-Inputs!$C$71*$H18*(1-Inputs!$E$54*Inputs!$B$71))*(1+$I18)*IF(Inputs!$D$29=0,1,(MAX(BJ17,0)/Inputs!$D$6)^Inputs!$D$29)</f>
        <v>8894.7327761794422</v>
      </c>
      <c r="BH18" s="38">
        <f>Inputs!$D$32*BJ17/Inputs!$D$6</f>
        <v>4200</v>
      </c>
      <c r="BI18" s="38">
        <f>Inputs!$D$33</f>
        <v>1500</v>
      </c>
      <c r="BJ18" s="38">
        <f t="shared" si="21"/>
        <v>880000</v>
      </c>
      <c r="BK18" s="38">
        <f t="shared" si="22"/>
        <v>713712.31245998561</v>
      </c>
      <c r="BL18" s="38">
        <f>Inputs!$D$19*(1-Inputs!$C$71*$H18)+Inputs!$D$21+Inputs!$B$71*$J18</f>
        <v>408050</v>
      </c>
      <c r="BM18" s="38">
        <f t="shared" si="23"/>
        <v>471950</v>
      </c>
      <c r="BN18" s="38">
        <f t="shared" si="24"/>
        <v>0</v>
      </c>
      <c r="BO18" s="38">
        <f>MAX(0,MIN(Inputs!$B$36,BT17,BP18+BQ18+BR18+Inputs!$B$6-BS17))</f>
        <v>22000</v>
      </c>
      <c r="BP18" s="38">
        <f>Inputs!$B$27*(1+Inputs!$B$28)^($A18/12)*IF(Inputs!$B$72=1,$G18,1)*(1-Inputs!$C$72*$H18*(1-Inputs!$E$54*Inputs!$B$72))*(1+$I18)*IF(Inputs!$B$29=0,1,(MAX(BS17,0)/Inputs!$B$6)^Inputs!$B$29)</f>
        <v>15635.887421234949</v>
      </c>
      <c r="BQ18" s="38">
        <f>Inputs!$B$32*BS17/Inputs!$B$6</f>
        <v>9641.7867850612547</v>
      </c>
      <c r="BR18" s="38">
        <f>Inputs!$B$33</f>
        <v>2500</v>
      </c>
      <c r="BS18" s="38">
        <f t="shared" si="25"/>
        <v>601297.79003830126</v>
      </c>
      <c r="BT18" s="38">
        <f t="shared" si="26"/>
        <v>85250.000000000058</v>
      </c>
      <c r="BU18" s="38">
        <f>Inputs!$B$19*(1-Inputs!$C$72*$H18)+Inputs!$B$21+Inputs!$B$72*$J18</f>
        <v>590260.41666666663</v>
      </c>
      <c r="BV18" s="38">
        <f t="shared" si="27"/>
        <v>11037.373371634632</v>
      </c>
      <c r="BW18" s="38">
        <f t="shared" si="28"/>
        <v>0</v>
      </c>
      <c r="BX18" s="38">
        <f>MAX(0,MIN(Inputs!$C$36,CC17,BY18+BZ18+CA18+Inputs!$C$6-CB17))</f>
        <v>21109.08203125</v>
      </c>
      <c r="BY18" s="38">
        <f>Inputs!$C$27*(1+Inputs!$C$28)^($A18/12)*IF(Inputs!$B$72=1,$G18,1)*(1-Inputs!$C$72*$H18*(1-Inputs!$E$54*Inputs!$B$72))*(1+$I18)*IF(Inputs!$C$29=0,1,(MAX(CB17,0)/Inputs!$C$6)^Inputs!$C$29)</f>
        <v>12359.082031250002</v>
      </c>
      <c r="BZ18" s="38">
        <f>Inputs!$C$32*CB17/Inputs!$C$6</f>
        <v>6749.9999999999991</v>
      </c>
      <c r="CA18" s="38">
        <f>Inputs!$C$33</f>
        <v>2000</v>
      </c>
      <c r="CB18" s="38">
        <f t="shared" si="29"/>
        <v>800000</v>
      </c>
      <c r="CC18" s="38">
        <f t="shared" si="30"/>
        <v>318724.57682291651</v>
      </c>
      <c r="CD18" s="38">
        <f>Inputs!$C$19*(1-Inputs!$C$72*$H18)+Inputs!$C$21+Inputs!$B$72*$J18</f>
        <v>490937.5</v>
      </c>
      <c r="CE18" s="38">
        <f t="shared" si="31"/>
        <v>309062.5</v>
      </c>
      <c r="CF18" s="38">
        <f t="shared" si="32"/>
        <v>0</v>
      </c>
      <c r="CG18" s="38">
        <f>MAX(0,MIN(Inputs!$D$36,CL17,CH18+CI18+CJ18+Inputs!$D$6-CK17))</f>
        <v>15052.838621007395</v>
      </c>
      <c r="CH18" s="38">
        <f>Inputs!$D$27*(1+Inputs!$D$28)^($A18/12)*IF(Inputs!$B$72=1,$G18,1)*(1-Inputs!$C$72*$H18*(1-Inputs!$E$54*Inputs!$B$72))*(1+$I18)*IF(Inputs!$D$29=0,1,(MAX(CK17,0)/Inputs!$D$6)^Inputs!$D$29)</f>
        <v>9352.8386210074095</v>
      </c>
      <c r="CI18" s="38">
        <f>Inputs!$D$32*CK17/Inputs!$D$6</f>
        <v>4200</v>
      </c>
      <c r="CJ18" s="38">
        <f>Inputs!$D$33</f>
        <v>1500</v>
      </c>
      <c r="CK18" s="38">
        <f t="shared" si="33"/>
        <v>880000</v>
      </c>
      <c r="CL18" s="38">
        <f t="shared" si="34"/>
        <v>710466.19631329959</v>
      </c>
      <c r="CM18" s="38">
        <f>Inputs!$D$19*(1-Inputs!$C$72*$H18)+Inputs!$D$21+Inputs!$B$72*$J18</f>
        <v>401373.95833333331</v>
      </c>
      <c r="CN18" s="38">
        <f t="shared" si="35"/>
        <v>478626.04166666669</v>
      </c>
      <c r="CO18" s="38">
        <f t="shared" si="36"/>
        <v>0</v>
      </c>
      <c r="CP18" s="38">
        <f>MAX(0,MIN(Inputs!$B$36,CU17,CQ18+CR18+CS18+Inputs!$B$6-CT17))</f>
        <v>22000</v>
      </c>
      <c r="CQ18" s="38">
        <f>Inputs!$B$27*(1+Inputs!$B$28)^($A18/12)*IF(Inputs!$B$73=1,$G18,1)*(1-Inputs!$C$73*$H18*(1-Inputs!$E$54*Inputs!$B$73))*(1+$I18)*IF(Inputs!$B$29=0,1,(MAX(CT17,0)/Inputs!$B$6)^Inputs!$B$29)</f>
        <v>14668.670226065913</v>
      </c>
      <c r="CR18" s="38">
        <f>Inputs!$B$32*CT17/Inputs!$B$6</f>
        <v>9727.2344664316479</v>
      </c>
      <c r="CS18" s="38">
        <f>Inputs!$B$33</f>
        <v>2500</v>
      </c>
      <c r="CT18" s="38">
        <f t="shared" si="37"/>
        <v>607559.59874949499</v>
      </c>
      <c r="CU18" s="38">
        <f t="shared" si="38"/>
        <v>85250.000000000058</v>
      </c>
      <c r="CV18" s="38">
        <f>Inputs!$B$19*(1-Inputs!$C$73*$H18)+Inputs!$B$21+Inputs!$B$73*$J18</f>
        <v>593510.41666666663</v>
      </c>
      <c r="CW18" s="38">
        <f t="shared" si="39"/>
        <v>14049.182082828367</v>
      </c>
      <c r="CX18" s="38">
        <f t="shared" si="40"/>
        <v>0</v>
      </c>
      <c r="CY18" s="38">
        <f>MAX(0,MIN(Inputs!$C$36,DD17,CZ18+DA18+DB18+Inputs!$C$6-DC17))</f>
        <v>20344.564077449962</v>
      </c>
      <c r="CZ18" s="38">
        <f>Inputs!$C$27*(1+Inputs!$C$28)^($A18/12)*IF(Inputs!$B$73=1,$G18,1)*(1-Inputs!$C$73*$H18*(1-Inputs!$E$54*Inputs!$B$73))*(1+$I18)*IF(Inputs!$C$29=0,1,(MAX(DC17,0)/Inputs!$C$6)^Inputs!$C$29)</f>
        <v>11594.564077450004</v>
      </c>
      <c r="DA18" s="38">
        <f>Inputs!$C$32*DC17/Inputs!$C$6</f>
        <v>6749.9999999999991</v>
      </c>
      <c r="DB18" s="38">
        <f>Inputs!$C$33</f>
        <v>2000</v>
      </c>
      <c r="DC18" s="38">
        <f t="shared" si="41"/>
        <v>800000</v>
      </c>
      <c r="DD18" s="38">
        <f t="shared" si="42"/>
        <v>324077.34156043385</v>
      </c>
      <c r="DE18" s="38">
        <f>Inputs!$C$19*(1-Inputs!$C$73*$H18)+Inputs!$C$21+Inputs!$B$73*$J18</f>
        <v>494187.5</v>
      </c>
      <c r="DF18" s="38">
        <f t="shared" si="43"/>
        <v>305812.5</v>
      </c>
      <c r="DG18" s="38">
        <f t="shared" si="44"/>
        <v>0</v>
      </c>
      <c r="DH18" s="38">
        <f>MAX(0,MIN(Inputs!$D$36,DM17,DI18+DJ18+DK18+Inputs!$D$6-DL17))</f>
        <v>14474.283269835403</v>
      </c>
      <c r="DI18" s="38">
        <f>Inputs!$D$27*(1+Inputs!$D$28)^($A18/12)*IF(Inputs!$B$73=1,$G18,1)*(1-Inputs!$C$73*$H18*(1-Inputs!$E$54*Inputs!$B$73))*(1+$I18)*IF(Inputs!$D$29=0,1,(MAX(DL17,0)/Inputs!$D$6)^Inputs!$D$29)</f>
        <v>8774.2832698353468</v>
      </c>
      <c r="DJ18" s="38">
        <f>Inputs!$D$32*DL17/Inputs!$D$6</f>
        <v>4200</v>
      </c>
      <c r="DK18" s="38">
        <f>Inputs!$D$33</f>
        <v>1500</v>
      </c>
      <c r="DL18" s="38">
        <f t="shared" si="45"/>
        <v>880000</v>
      </c>
      <c r="DM18" s="38">
        <f t="shared" si="46"/>
        <v>714587.18588674057</v>
      </c>
      <c r="DN18" s="38">
        <f>Inputs!$D$19*(1-Inputs!$C$73*$H18)+Inputs!$D$21+Inputs!$B$73*$J18</f>
        <v>404623.95833333331</v>
      </c>
      <c r="DO18" s="38">
        <f t="shared" si="47"/>
        <v>475376.04166666669</v>
      </c>
      <c r="DP18" s="38">
        <f t="shared" si="48"/>
        <v>0</v>
      </c>
    </row>
    <row r="19" spans="1:120" x14ac:dyDescent="0.35">
      <c r="A19" s="29">
        <v>14</v>
      </c>
      <c r="B19" s="34">
        <f>EDATE(Inputs!$B$67,$A19)</f>
        <v>46692</v>
      </c>
      <c r="C19" s="35">
        <f>IF(Inputs!$E$47&lt;=0,Inputs!$E$46,Inputs!$E$44+(Inputs!$E$46-Inputs!$E$44)*MIN($A19/Inputs!$E$47,1))</f>
        <v>0.49166666666666664</v>
      </c>
      <c r="D19" s="35">
        <f>MIN(Inputs!$E$57,Inputs!$E$55*(1+Inputs!$E$56)^($A19/12))*Inputs!$E$58*(1+Inputs!$E$59)^($A19/12)/Inputs!$E$45</f>
        <v>0.62191638472626731</v>
      </c>
      <c r="E19" s="35">
        <f>MAX(Inputs!$E$44,MIN(C19,D19))</f>
        <v>0.49166666666666664</v>
      </c>
      <c r="F19" s="35">
        <f>IF(Inputs!$E$50&lt;=0,Inputs!$E$49,Inputs!$E$48+(Inputs!$E$49-Inputs!$E$48)*MIN($A19/Inputs!$E$50,1))</f>
        <v>5.8888888888888893E-2</v>
      </c>
      <c r="G19" s="36">
        <f>(Inputs!$E$41*(1-E19*Inputs!$E$51)+Inputs!$E$42*(1-F19*Inputs!$E$51))/(Inputs!$E$41*(1-Inputs!$E$44*Inputs!$E$51)+Inputs!$E$42*(1-Inputs!$E$48*Inputs!$E$51))</f>
        <v>0.9195137976346911</v>
      </c>
      <c r="H19" s="35">
        <f>IF(Inputs!$E$53&lt;=0,Inputs!$E$52,Inputs!$E$52*MIN($A19/Inputs!$E$53,1))</f>
        <v>2.9166666666666671E-2</v>
      </c>
      <c r="I19" s="35">
        <f>IF(Inputs!$E$64&lt;=0,Inputs!$E$63,Inputs!$E$62+(Inputs!$E$63-Inputs!$E$62)*MIN($A19/Inputs!$E$64,1))</f>
        <v>1.7500000000000002E-2</v>
      </c>
      <c r="J19" s="37">
        <f>(E19-Inputs!$E$44)*Inputs!$E$45/Inputs!$E$60*Inputs!$E$61</f>
        <v>3499.9999999999991</v>
      </c>
      <c r="K19" s="29">
        <f t="shared" si="0"/>
        <v>0</v>
      </c>
      <c r="L19" s="29"/>
      <c r="M19" s="38">
        <f>MAX(0,MIN(Inputs!$B$36,R18,N19+O19+P19+Inputs!$B$6-Q18))</f>
        <v>22000</v>
      </c>
      <c r="N19" s="38">
        <f>Inputs!$B$27*(1+Inputs!$B$28)^($A19/12)*IF(Inputs!$B$70=1,$G19,1)*(1-Inputs!$C$70*$H19*(1-Inputs!$E$54*Inputs!$B$70))*(1+$I19)*IF(Inputs!$B$29=0,1,(MAX(Q18,0)/Inputs!$B$6)^Inputs!$B$29)</f>
        <v>16156.471761010498</v>
      </c>
      <c r="O19" s="38">
        <f>Inputs!$B$32*Q18/Inputs!$B$6</f>
        <v>9505.4873277580045</v>
      </c>
      <c r="P19" s="38">
        <f>Inputs!$B$33</f>
        <v>2500</v>
      </c>
      <c r="Q19" s="38">
        <f t="shared" si="1"/>
        <v>592331.68747377256</v>
      </c>
      <c r="R19" s="38">
        <f t="shared" si="2"/>
        <v>63250.000000000058</v>
      </c>
      <c r="S19" s="38">
        <f>Inputs!$B$19*(1-Inputs!$C$70*$H19)+Inputs!$B$21+Inputs!$B$70*$J19</f>
        <v>595000</v>
      </c>
      <c r="T19" s="38">
        <f t="shared" si="3"/>
        <v>-2668.3125262274407</v>
      </c>
      <c r="U19" s="38">
        <f t="shared" si="4"/>
        <v>1</v>
      </c>
      <c r="V19" s="38">
        <f>MAX(0,MIN(Inputs!$C$36,AA18,W19+X19+Y19+Inputs!$C$6-Z18))</f>
        <v>21468.75</v>
      </c>
      <c r="W19" s="38">
        <f>Inputs!$C$27*(1+Inputs!$C$28)^($A19/12)*IF(Inputs!$B$70=1,$G19,1)*(1-Inputs!$C$70*$H19*(1-Inputs!$E$54*Inputs!$B$70))*(1+$I19)*IF(Inputs!$C$29=0,1,(MAX(Z18,0)/Inputs!$C$6)^Inputs!$C$29)</f>
        <v>12718.75</v>
      </c>
      <c r="X19" s="38">
        <f>Inputs!$C$32*Z18/Inputs!$C$6</f>
        <v>6749.9999999999991</v>
      </c>
      <c r="Y19" s="38">
        <f>Inputs!$C$33</f>
        <v>2000</v>
      </c>
      <c r="Z19" s="38">
        <f t="shared" si="5"/>
        <v>800000</v>
      </c>
      <c r="AA19" s="38">
        <f t="shared" si="6"/>
        <v>294859.375</v>
      </c>
      <c r="AB19" s="38">
        <f>Inputs!$C$19*(1-Inputs!$C$70*$H19)+Inputs!$C$21+Inputs!$B$70*$J19</f>
        <v>495000</v>
      </c>
      <c r="AC19" s="38">
        <f t="shared" si="7"/>
        <v>305000</v>
      </c>
      <c r="AD19" s="38">
        <f t="shared" si="8"/>
        <v>0</v>
      </c>
      <c r="AE19" s="38">
        <f>MAX(0,MIN(Inputs!$D$36,AJ18,AF19+AG19+AH19+Inputs!$D$6-AI18))</f>
        <v>15283.966582280351</v>
      </c>
      <c r="AF19" s="38">
        <f>Inputs!$D$27*(1+Inputs!$D$28)^($A19/12)*IF(Inputs!$B$70=1,$G19,1)*(1-Inputs!$C$70*$H19*(1-Inputs!$E$54*Inputs!$B$70))*(1+$I19)*IF(Inputs!$D$29=0,1,(MAX(AI18,0)/Inputs!$D$6)^Inputs!$D$29)</f>
        <v>9583.9665822803981</v>
      </c>
      <c r="AG19" s="38">
        <f>Inputs!$D$32*AI18/Inputs!$D$6</f>
        <v>4200</v>
      </c>
      <c r="AH19" s="38">
        <f>Inputs!$D$33</f>
        <v>1500</v>
      </c>
      <c r="AI19" s="38">
        <f t="shared" si="9"/>
        <v>880000</v>
      </c>
      <c r="AJ19" s="38">
        <f t="shared" si="10"/>
        <v>693337.34968051314</v>
      </c>
      <c r="AK19" s="38">
        <f>Inputs!$D$19*(1-Inputs!$C$70*$H19)+Inputs!$D$21+Inputs!$B$70*$J19</f>
        <v>404800</v>
      </c>
      <c r="AL19" s="38">
        <f t="shared" si="11"/>
        <v>475200</v>
      </c>
      <c r="AM19" s="38">
        <f t="shared" si="12"/>
        <v>0</v>
      </c>
      <c r="AN19" s="38">
        <f>MAX(0,MIN(Inputs!$B$36,AS18,AO19+AP19+AQ19+Inputs!$B$6-AR18))</f>
        <v>22000</v>
      </c>
      <c r="AO19" s="38">
        <f>Inputs!$B$27*(1+Inputs!$B$28)^($A19/12)*IF(Inputs!$B$71=1,$G19,1)*(1-Inputs!$C$71*$H19*(1-Inputs!$E$54*Inputs!$B$71))*(1+$I19)*IF(Inputs!$B$29=0,1,(MAX(AR18,0)/Inputs!$B$6)^Inputs!$B$29)</f>
        <v>14856.098705344408</v>
      </c>
      <c r="AP19" s="38">
        <f>Inputs!$B$32*AR18/Inputs!$B$6</f>
        <v>9628.3867132999403</v>
      </c>
      <c r="AQ19" s="38">
        <f>Inputs!$B$33</f>
        <v>2500</v>
      </c>
      <c r="AR19" s="38">
        <f t="shared" si="13"/>
        <v>601247.27060394455</v>
      </c>
      <c r="AS19" s="38">
        <f t="shared" si="14"/>
        <v>63250.000000000058</v>
      </c>
      <c r="AT19" s="38">
        <f>Inputs!$B$19*(1-Inputs!$C$71*$H19)+Inputs!$B$21+Inputs!$B$71*$J19</f>
        <v>598500</v>
      </c>
      <c r="AU19" s="38">
        <f t="shared" si="15"/>
        <v>2747.2706039445475</v>
      </c>
      <c r="AV19" s="38">
        <f t="shared" si="16"/>
        <v>0</v>
      </c>
      <c r="AW19" s="38">
        <f>MAX(0,MIN(Inputs!$C$36,BB18,AX19+AY19+AZ19+Inputs!$C$6-BA18))</f>
        <v>20445.066113666282</v>
      </c>
      <c r="AX19" s="38">
        <f>Inputs!$C$27*(1+Inputs!$C$28)^($A19/12)*IF(Inputs!$B$71=1,$G19,1)*(1-Inputs!$C$71*$H19*(1-Inputs!$E$54*Inputs!$B$71))*(1+$I19)*IF(Inputs!$C$29=0,1,(MAX(BA18,0)/Inputs!$C$6)^Inputs!$C$29)</f>
        <v>11695.066113666229</v>
      </c>
      <c r="AY19" s="38">
        <f>Inputs!$C$32*BA18/Inputs!$C$6</f>
        <v>6749.9999999999991</v>
      </c>
      <c r="AZ19" s="38">
        <f>Inputs!$C$33</f>
        <v>2000</v>
      </c>
      <c r="BA19" s="38">
        <f t="shared" si="17"/>
        <v>800000</v>
      </c>
      <c r="BB19" s="38">
        <f t="shared" si="18"/>
        <v>302496.13224786462</v>
      </c>
      <c r="BC19" s="38">
        <f>Inputs!$C$19*(1-Inputs!$C$71*$H19)+Inputs!$C$21+Inputs!$B$71*$J19</f>
        <v>498500</v>
      </c>
      <c r="BD19" s="38">
        <f t="shared" si="19"/>
        <v>301500</v>
      </c>
      <c r="BE19" s="38">
        <f t="shared" si="20"/>
        <v>0</v>
      </c>
      <c r="BF19" s="38">
        <f>MAX(0,MIN(Inputs!$D$36,BK18,BG19+BH19+BI19+Inputs!$D$6-BJ18))</f>
        <v>14512.589508476667</v>
      </c>
      <c r="BG19" s="38">
        <f>Inputs!$D$27*(1+Inputs!$D$28)^($A19/12)*IF(Inputs!$B$71=1,$G19,1)*(1-Inputs!$C$71*$H19*(1-Inputs!$E$54*Inputs!$B$71))*(1+$I19)*IF(Inputs!$D$29=0,1,(MAX(BJ18,0)/Inputs!$D$6)^Inputs!$D$29)</f>
        <v>8812.5895084766216</v>
      </c>
      <c r="BH19" s="38">
        <f>Inputs!$D$32*BJ18/Inputs!$D$6</f>
        <v>4200</v>
      </c>
      <c r="BI19" s="38">
        <f>Inputs!$D$33</f>
        <v>1500</v>
      </c>
      <c r="BJ19" s="38">
        <f t="shared" si="21"/>
        <v>880000</v>
      </c>
      <c r="BK19" s="38">
        <f t="shared" si="22"/>
        <v>699199.72295150894</v>
      </c>
      <c r="BL19" s="38">
        <f>Inputs!$D$19*(1-Inputs!$C$71*$H19)+Inputs!$D$21+Inputs!$B$71*$J19</f>
        <v>408300</v>
      </c>
      <c r="BM19" s="38">
        <f t="shared" si="23"/>
        <v>471700</v>
      </c>
      <c r="BN19" s="38">
        <f t="shared" si="24"/>
        <v>0</v>
      </c>
      <c r="BO19" s="38">
        <f>MAX(0,MIN(Inputs!$B$36,BT18,BP19+BQ19+BR19+Inputs!$B$6-BS18))</f>
        <v>22000</v>
      </c>
      <c r="BP19" s="38">
        <f>Inputs!$B$27*(1+Inputs!$B$28)^($A19/12)*IF(Inputs!$B$72=1,$G19,1)*(1-Inputs!$C$72*$H19*(1-Inputs!$E$54*Inputs!$B$72))*(1+$I19)*IF(Inputs!$B$29=0,1,(MAX(BS18,0)/Inputs!$B$6)^Inputs!$B$29)</f>
        <v>15685.241334647691</v>
      </c>
      <c r="BQ19" s="38">
        <f>Inputs!$B$32*BS18/Inputs!$B$6</f>
        <v>9550.0237241377254</v>
      </c>
      <c r="BR19" s="38">
        <f>Inputs!$B$33</f>
        <v>2500</v>
      </c>
      <c r="BS19" s="38">
        <f t="shared" si="25"/>
        <v>595562.52497951593</v>
      </c>
      <c r="BT19" s="38">
        <f t="shared" si="26"/>
        <v>63250.000000000058</v>
      </c>
      <c r="BU19" s="38">
        <f>Inputs!$B$19*(1-Inputs!$C$72*$H19)+Inputs!$B$21+Inputs!$B$72*$J19</f>
        <v>589895.83333333337</v>
      </c>
      <c r="BV19" s="38">
        <f t="shared" si="27"/>
        <v>5666.6916461825604</v>
      </c>
      <c r="BW19" s="38">
        <f t="shared" si="28"/>
        <v>0</v>
      </c>
      <c r="BX19" s="38">
        <f>MAX(0,MIN(Inputs!$C$36,CC18,BY19+BZ19+CA19+Inputs!$C$6-CB18))</f>
        <v>21097.786458333372</v>
      </c>
      <c r="BY19" s="38">
        <f>Inputs!$C$27*(1+Inputs!$C$28)^($A19/12)*IF(Inputs!$B$72=1,$G19,1)*(1-Inputs!$C$72*$H19*(1-Inputs!$E$54*Inputs!$B$72))*(1+$I19)*IF(Inputs!$C$29=0,1,(MAX(CB18,0)/Inputs!$C$6)^Inputs!$C$29)</f>
        <v>12347.786458333334</v>
      </c>
      <c r="BZ19" s="38">
        <f>Inputs!$C$32*CB18/Inputs!$C$6</f>
        <v>6749.9999999999991</v>
      </c>
      <c r="CA19" s="38">
        <f>Inputs!$C$33</f>
        <v>2000</v>
      </c>
      <c r="CB19" s="38">
        <f t="shared" si="29"/>
        <v>800000</v>
      </c>
      <c r="CC19" s="38">
        <f t="shared" si="30"/>
        <v>297626.79036458314</v>
      </c>
      <c r="CD19" s="38">
        <f>Inputs!$C$19*(1-Inputs!$C$72*$H19)+Inputs!$C$21+Inputs!$B$72*$J19</f>
        <v>490625</v>
      </c>
      <c r="CE19" s="38">
        <f t="shared" si="31"/>
        <v>309375</v>
      </c>
      <c r="CF19" s="38">
        <f t="shared" si="32"/>
        <v>0</v>
      </c>
      <c r="CG19" s="38">
        <f>MAX(0,MIN(Inputs!$D$36,CL18,CH19+CI19+CJ19+Inputs!$D$6-CK18))</f>
        <v>15004.434223630582</v>
      </c>
      <c r="CH19" s="38">
        <f>Inputs!$D$27*(1+Inputs!$D$28)^($A19/12)*IF(Inputs!$B$72=1,$G19,1)*(1-Inputs!$C$72*$H19*(1-Inputs!$E$54*Inputs!$B$72))*(1+$I19)*IF(Inputs!$D$29=0,1,(MAX(CK18,0)/Inputs!$D$6)^Inputs!$D$29)</f>
        <v>9304.4342236305529</v>
      </c>
      <c r="CI19" s="38">
        <f>Inputs!$D$32*CK18/Inputs!$D$6</f>
        <v>4200</v>
      </c>
      <c r="CJ19" s="38">
        <f>Inputs!$D$33</f>
        <v>1500</v>
      </c>
      <c r="CK19" s="38">
        <f t="shared" si="33"/>
        <v>880000</v>
      </c>
      <c r="CL19" s="38">
        <f t="shared" si="34"/>
        <v>695461.76208966901</v>
      </c>
      <c r="CM19" s="38">
        <f>Inputs!$D$19*(1-Inputs!$C$72*$H19)+Inputs!$D$21+Inputs!$B$72*$J19</f>
        <v>401110.41666666669</v>
      </c>
      <c r="CN19" s="38">
        <f t="shared" si="35"/>
        <v>478889.58333333331</v>
      </c>
      <c r="CO19" s="38">
        <f t="shared" si="36"/>
        <v>0</v>
      </c>
      <c r="CP19" s="38">
        <f>MAX(0,MIN(Inputs!$B$36,CU18,CQ19+CR19+CS19+Inputs!$B$6-CT18))</f>
        <v>22000</v>
      </c>
      <c r="CQ19" s="38">
        <f>Inputs!$B$27*(1+Inputs!$B$28)^($A19/12)*IF(Inputs!$B$73=1,$G19,1)*(1-Inputs!$C$73*$H19*(1-Inputs!$E$54*Inputs!$B$73))*(1+$I19)*IF(Inputs!$B$29=0,1,(MAX(CT18,0)/Inputs!$B$6)^Inputs!$B$29)</f>
        <v>14639.447265891467</v>
      </c>
      <c r="CR19" s="38">
        <f>Inputs!$B$32*CT18/Inputs!$B$6</f>
        <v>9649.4759801390373</v>
      </c>
      <c r="CS19" s="38">
        <f>Inputs!$B$33</f>
        <v>2500</v>
      </c>
      <c r="CT19" s="38">
        <f t="shared" si="37"/>
        <v>602770.67550346453</v>
      </c>
      <c r="CU19" s="38">
        <f t="shared" si="38"/>
        <v>63250.000000000058</v>
      </c>
      <c r="CV19" s="38">
        <f>Inputs!$B$19*(1-Inputs!$C$73*$H19)+Inputs!$B$21+Inputs!$B$73*$J19</f>
        <v>593395.83333333337</v>
      </c>
      <c r="CW19" s="38">
        <f t="shared" si="39"/>
        <v>9374.8421701311599</v>
      </c>
      <c r="CX19" s="38">
        <f t="shared" si="40"/>
        <v>0</v>
      </c>
      <c r="CY19" s="38">
        <f>MAX(0,MIN(Inputs!$C$36,DD18,CZ19+DA19+DB19+Inputs!$C$6-DC18))</f>
        <v>20274.513066175277</v>
      </c>
      <c r="CZ19" s="38">
        <f>Inputs!$C$27*(1+Inputs!$C$28)^($A19/12)*IF(Inputs!$B$73=1,$G19,1)*(1-Inputs!$C$73*$H19*(1-Inputs!$E$54*Inputs!$B$73))*(1+$I19)*IF(Inputs!$C$29=0,1,(MAX(DC18,0)/Inputs!$C$6)^Inputs!$C$29)</f>
        <v>11524.513066175265</v>
      </c>
      <c r="DA19" s="38">
        <f>Inputs!$C$32*DC18/Inputs!$C$6</f>
        <v>6749.9999999999991</v>
      </c>
      <c r="DB19" s="38">
        <f>Inputs!$C$33</f>
        <v>2000</v>
      </c>
      <c r="DC19" s="38">
        <f t="shared" si="41"/>
        <v>800000</v>
      </c>
      <c r="DD19" s="38">
        <f t="shared" si="42"/>
        <v>303802.82849425857</v>
      </c>
      <c r="DE19" s="38">
        <f>Inputs!$C$19*(1-Inputs!$C$73*$H19)+Inputs!$C$21+Inputs!$B$73*$J19</f>
        <v>494125</v>
      </c>
      <c r="DF19" s="38">
        <f t="shared" si="43"/>
        <v>305875</v>
      </c>
      <c r="DG19" s="38">
        <f t="shared" si="44"/>
        <v>0</v>
      </c>
      <c r="DH19" s="38">
        <f>MAX(0,MIN(Inputs!$D$36,DM18,DI19+DJ19+DK19+Inputs!$D$6-DL18))</f>
        <v>14384.072578144725</v>
      </c>
      <c r="DI19" s="38">
        <f>Inputs!$D$27*(1+Inputs!$D$28)^($A19/12)*IF(Inputs!$B$73=1,$G19,1)*(1-Inputs!$C$73*$H19*(1-Inputs!$E$54*Inputs!$B$73))*(1+$I19)*IF(Inputs!$D$29=0,1,(MAX(DL18,0)/Inputs!$D$6)^Inputs!$D$29)</f>
        <v>8684.0725781446708</v>
      </c>
      <c r="DJ19" s="38">
        <f>Inputs!$D$32*DL18/Inputs!$D$6</f>
        <v>4200</v>
      </c>
      <c r="DK19" s="38">
        <f>Inputs!$D$33</f>
        <v>1500</v>
      </c>
      <c r="DL19" s="38">
        <f t="shared" si="45"/>
        <v>880000</v>
      </c>
      <c r="DM19" s="38">
        <f t="shared" si="46"/>
        <v>700203.11330859584</v>
      </c>
      <c r="DN19" s="38">
        <f>Inputs!$D$19*(1-Inputs!$C$73*$H19)+Inputs!$D$21+Inputs!$B$73*$J19</f>
        <v>404610.41666666669</v>
      </c>
      <c r="DO19" s="38">
        <f t="shared" si="47"/>
        <v>475389.58333333331</v>
      </c>
      <c r="DP19" s="38">
        <f t="shared" si="48"/>
        <v>0</v>
      </c>
    </row>
    <row r="20" spans="1:120" x14ac:dyDescent="0.35">
      <c r="A20" s="29">
        <v>15</v>
      </c>
      <c r="B20" s="34">
        <f>EDATE(Inputs!$B$67,$A20)</f>
        <v>46722</v>
      </c>
      <c r="C20" s="35">
        <f>IF(Inputs!$E$47&lt;=0,Inputs!$E$46,Inputs!$E$44+(Inputs!$E$46-Inputs!$E$44)*MIN($A20/Inputs!$E$47,1))</f>
        <v>0.51249999999999996</v>
      </c>
      <c r="D20" s="35">
        <f>MIN(Inputs!$E$57,Inputs!$E$55*(1+Inputs!$E$56)^($A20/12))*Inputs!$E$58*(1+Inputs!$E$59)^($A20/12)/Inputs!$E$45</f>
        <v>0.63960129589111892</v>
      </c>
      <c r="E20" s="35">
        <f>MAX(Inputs!$E$44,MIN(C20,D20))</f>
        <v>0.51249999999999996</v>
      </c>
      <c r="F20" s="35">
        <f>IF(Inputs!$E$50&lt;=0,Inputs!$E$49,Inputs!$E$48+(Inputs!$E$49-Inputs!$E$48)*MIN($A20/Inputs!$E$50,1))</f>
        <v>6.1666666666666661E-2</v>
      </c>
      <c r="G20" s="36">
        <f>(Inputs!$E$41*(1-E20*Inputs!$E$51)+Inputs!$E$42*(1-F20*Inputs!$E$51))/(Inputs!$E$41*(1-Inputs!$E$44*Inputs!$E$51)+Inputs!$E$42*(1-Inputs!$E$48*Inputs!$E$51))</f>
        <v>0.9137647831800263</v>
      </c>
      <c r="H20" s="35">
        <f>IF(Inputs!$E$53&lt;=0,Inputs!$E$52,Inputs!$E$52*MIN($A20/Inputs!$E$53,1))</f>
        <v>3.125E-2</v>
      </c>
      <c r="I20" s="35">
        <f>IF(Inputs!$E$64&lt;=0,Inputs!$E$63,Inputs!$E$62+(Inputs!$E$63-Inputs!$E$62)*MIN($A20/Inputs!$E$64,1))</f>
        <v>1.8749999999999999E-2</v>
      </c>
      <c r="J20" s="37">
        <f>(E20-Inputs!$E$44)*Inputs!$E$45/Inputs!$E$60*Inputs!$E$61</f>
        <v>3749.9999999999991</v>
      </c>
      <c r="K20" s="29">
        <f t="shared" si="0"/>
        <v>0</v>
      </c>
      <c r="L20" s="29"/>
      <c r="M20" s="38">
        <f>MAX(0,MIN(Inputs!$B$36,R19,N20+O20+P20+Inputs!$B$6-Q19))</f>
        <v>22000</v>
      </c>
      <c r="N20" s="38">
        <f>Inputs!$B$27*(1+Inputs!$B$28)^($A20/12)*IF(Inputs!$B$70=1,$G20,1)*(1-Inputs!$C$70*$H20*(1-Inputs!$E$54*Inputs!$B$70))*(1+$I20)*IF(Inputs!$B$29=0,1,(MAX(Q19,0)/Inputs!$B$6)^Inputs!$B$29)</f>
        <v>16242.224336487197</v>
      </c>
      <c r="O20" s="38">
        <f>Inputs!$B$32*Q19/Inputs!$B$6</f>
        <v>9407.6209187010936</v>
      </c>
      <c r="P20" s="38">
        <f>Inputs!$B$33</f>
        <v>2500</v>
      </c>
      <c r="Q20" s="38">
        <f t="shared" si="1"/>
        <v>586181.84221858426</v>
      </c>
      <c r="R20" s="38">
        <f t="shared" si="2"/>
        <v>41250.000000000058</v>
      </c>
      <c r="S20" s="38">
        <f>Inputs!$B$19*(1-Inputs!$C$70*$H20)+Inputs!$B$21+Inputs!$B$70*$J20</f>
        <v>595000</v>
      </c>
      <c r="T20" s="38">
        <f t="shared" si="3"/>
        <v>-8818.1577814157354</v>
      </c>
      <c r="U20" s="38">
        <f t="shared" si="4"/>
        <v>1</v>
      </c>
      <c r="V20" s="38">
        <f>MAX(0,MIN(Inputs!$C$36,AA19,W20+X20+Y20+Inputs!$C$6-Z19))</f>
        <v>21484.375</v>
      </c>
      <c r="W20" s="38">
        <f>Inputs!$C$27*(1+Inputs!$C$28)^($A20/12)*IF(Inputs!$B$70=1,$G20,1)*(1-Inputs!$C$70*$H20*(1-Inputs!$E$54*Inputs!$B$70))*(1+$I20)*IF(Inputs!$C$29=0,1,(MAX(Z19,0)/Inputs!$C$6)^Inputs!$C$29)</f>
        <v>12734.375</v>
      </c>
      <c r="X20" s="38">
        <f>Inputs!$C$32*Z19/Inputs!$C$6</f>
        <v>6749.9999999999991</v>
      </c>
      <c r="Y20" s="38">
        <f>Inputs!$C$33</f>
        <v>2000</v>
      </c>
      <c r="Z20" s="38">
        <f t="shared" si="5"/>
        <v>800000</v>
      </c>
      <c r="AA20" s="38">
        <f t="shared" si="6"/>
        <v>273375</v>
      </c>
      <c r="AB20" s="38">
        <f>Inputs!$C$19*(1-Inputs!$C$70*$H20)+Inputs!$C$21+Inputs!$B$70*$J20</f>
        <v>495000</v>
      </c>
      <c r="AC20" s="38">
        <f t="shared" si="7"/>
        <v>305000</v>
      </c>
      <c r="AD20" s="38">
        <f t="shared" si="8"/>
        <v>0</v>
      </c>
      <c r="AE20" s="38">
        <f>MAX(0,MIN(Inputs!$D$36,AJ19,AF20+AG20+AH20+Inputs!$D$6-AI19))</f>
        <v>15254.811604874209</v>
      </c>
      <c r="AF20" s="38">
        <f>Inputs!$D$27*(1+Inputs!$D$28)^($A20/12)*IF(Inputs!$B$70=1,$G20,1)*(1-Inputs!$C$70*$H20*(1-Inputs!$E$54*Inputs!$B$70))*(1+$I20)*IF(Inputs!$D$29=0,1,(MAX(AI19,0)/Inputs!$D$6)^Inputs!$D$29)</f>
        <v>9554.8116048741886</v>
      </c>
      <c r="AG20" s="38">
        <f>Inputs!$D$32*AI19/Inputs!$D$6</f>
        <v>4200</v>
      </c>
      <c r="AH20" s="38">
        <f>Inputs!$D$33</f>
        <v>1500</v>
      </c>
      <c r="AI20" s="38">
        <f t="shared" si="9"/>
        <v>880000</v>
      </c>
      <c r="AJ20" s="38">
        <f t="shared" si="10"/>
        <v>678082.53807563893</v>
      </c>
      <c r="AK20" s="38">
        <f>Inputs!$D$19*(1-Inputs!$C$70*$H20)+Inputs!$D$21+Inputs!$B$70*$J20</f>
        <v>404800</v>
      </c>
      <c r="AL20" s="38">
        <f t="shared" si="11"/>
        <v>475200</v>
      </c>
      <c r="AM20" s="38">
        <f t="shared" si="12"/>
        <v>0</v>
      </c>
      <c r="AN20" s="38">
        <f>MAX(0,MIN(Inputs!$B$36,AS19,AO20+AP20+AQ20+Inputs!$B$6-AR19))</f>
        <v>22000</v>
      </c>
      <c r="AO20" s="38">
        <f>Inputs!$B$27*(1+Inputs!$B$28)^($A20/12)*IF(Inputs!$B$71=1,$G20,1)*(1-Inputs!$C$71*$H20*(1-Inputs!$E$54*Inputs!$B$71))*(1+$I20)*IF(Inputs!$B$29=0,1,(MAX(AR19,0)/Inputs!$B$6)^Inputs!$B$29)</f>
        <v>14841.57259919157</v>
      </c>
      <c r="AP20" s="38">
        <f>Inputs!$B$32*AR19/Inputs!$B$6</f>
        <v>9549.2213566508835</v>
      </c>
      <c r="AQ20" s="38">
        <f>Inputs!$B$33</f>
        <v>2500</v>
      </c>
      <c r="AR20" s="38">
        <f t="shared" si="13"/>
        <v>596356.47664810205</v>
      </c>
      <c r="AS20" s="38">
        <f t="shared" si="14"/>
        <v>41250.000000000058</v>
      </c>
      <c r="AT20" s="38">
        <f>Inputs!$B$19*(1-Inputs!$C$71*$H20)+Inputs!$B$21+Inputs!$B$71*$J20</f>
        <v>598750</v>
      </c>
      <c r="AU20" s="38">
        <f t="shared" si="15"/>
        <v>-2393.5233518979512</v>
      </c>
      <c r="AV20" s="38">
        <f t="shared" si="16"/>
        <v>1</v>
      </c>
      <c r="AW20" s="38">
        <f>MAX(0,MIN(Inputs!$C$36,BB19,AX20+AY20+AZ20+Inputs!$C$6-BA19))</f>
        <v>20386.223410808132</v>
      </c>
      <c r="AX20" s="38">
        <f>Inputs!$C$27*(1+Inputs!$C$28)^($A20/12)*IF(Inputs!$B$71=1,$G20,1)*(1-Inputs!$C$71*$H20*(1-Inputs!$E$54*Inputs!$B$71))*(1+$I20)*IF(Inputs!$C$29=0,1,(MAX(BA19,0)/Inputs!$C$6)^Inputs!$C$29)</f>
        <v>11636.223410808148</v>
      </c>
      <c r="AY20" s="38">
        <f>Inputs!$C$32*BA19/Inputs!$C$6</f>
        <v>6749.9999999999991</v>
      </c>
      <c r="AZ20" s="38">
        <f>Inputs!$C$33</f>
        <v>2000</v>
      </c>
      <c r="BA20" s="38">
        <f t="shared" si="17"/>
        <v>800000</v>
      </c>
      <c r="BB20" s="38">
        <f t="shared" si="18"/>
        <v>282109.90883705649</v>
      </c>
      <c r="BC20" s="38">
        <f>Inputs!$C$19*(1-Inputs!$C$71*$H20)+Inputs!$C$21+Inputs!$B$71*$J20</f>
        <v>498750</v>
      </c>
      <c r="BD20" s="38">
        <f t="shared" si="19"/>
        <v>301250</v>
      </c>
      <c r="BE20" s="38">
        <f t="shared" si="20"/>
        <v>0</v>
      </c>
      <c r="BF20" s="38">
        <f>MAX(0,MIN(Inputs!$D$36,BK19,BG20+BH20+BI20+Inputs!$D$6-BJ19))</f>
        <v>14430.850354453898</v>
      </c>
      <c r="BG20" s="38">
        <f>Inputs!$D$27*(1+Inputs!$D$28)^($A20/12)*IF(Inputs!$B$71=1,$G20,1)*(1-Inputs!$C$71*$H20*(1-Inputs!$E$54*Inputs!$B$71))*(1+$I20)*IF(Inputs!$D$29=0,1,(MAX(BJ19,0)/Inputs!$D$6)^Inputs!$D$29)</f>
        <v>8730.8503544538617</v>
      </c>
      <c r="BH20" s="38">
        <f>Inputs!$D$32*BJ19/Inputs!$D$6</f>
        <v>4200</v>
      </c>
      <c r="BI20" s="38">
        <f>Inputs!$D$33</f>
        <v>1500</v>
      </c>
      <c r="BJ20" s="38">
        <f t="shared" si="21"/>
        <v>880000</v>
      </c>
      <c r="BK20" s="38">
        <f t="shared" si="22"/>
        <v>684768.87259705504</v>
      </c>
      <c r="BL20" s="38">
        <f>Inputs!$D$19*(1-Inputs!$C$71*$H20)+Inputs!$D$21+Inputs!$B$71*$J20</f>
        <v>408550</v>
      </c>
      <c r="BM20" s="38">
        <f t="shared" si="23"/>
        <v>471450</v>
      </c>
      <c r="BN20" s="38">
        <f t="shared" si="24"/>
        <v>0</v>
      </c>
      <c r="BO20" s="38">
        <f>MAX(0,MIN(Inputs!$B$36,BT19,BP20+BQ20+BR20+Inputs!$B$6-BS19))</f>
        <v>22000</v>
      </c>
      <c r="BP20" s="38">
        <f>Inputs!$B$27*(1+Inputs!$B$28)^($A20/12)*IF(Inputs!$B$72=1,$G20,1)*(1-Inputs!$C$72*$H20*(1-Inputs!$E$54*Inputs!$B$72))*(1+$I20)*IF(Inputs!$B$29=0,1,(MAX(BS19,0)/Inputs!$B$6)^Inputs!$B$29)</f>
        <v>15734.654825971971</v>
      </c>
      <c r="BQ20" s="38">
        <f>Inputs!$B$32*BS19/Inputs!$B$6</f>
        <v>9458.9342202629014</v>
      </c>
      <c r="BR20" s="38">
        <f>Inputs!$B$33</f>
        <v>2500</v>
      </c>
      <c r="BS20" s="38">
        <f t="shared" si="25"/>
        <v>589868.93593328109</v>
      </c>
      <c r="BT20" s="38">
        <f t="shared" si="26"/>
        <v>41250.000000000058</v>
      </c>
      <c r="BU20" s="38">
        <f>Inputs!$B$19*(1-Inputs!$C$72*$H20)+Inputs!$B$21+Inputs!$B$72*$J20</f>
        <v>589531.25</v>
      </c>
      <c r="BV20" s="38">
        <f t="shared" si="27"/>
        <v>337.68593328108545</v>
      </c>
      <c r="BW20" s="38">
        <f t="shared" si="28"/>
        <v>0</v>
      </c>
      <c r="BX20" s="38">
        <f>MAX(0,MIN(Inputs!$C$36,CC19,BY20+BZ20+CA20+Inputs!$C$6-CB19))</f>
        <v>21086.42578125</v>
      </c>
      <c r="BY20" s="38">
        <f>Inputs!$C$27*(1+Inputs!$C$28)^($A20/12)*IF(Inputs!$B$72=1,$G20,1)*(1-Inputs!$C$72*$H20*(1-Inputs!$E$54*Inputs!$B$72))*(1+$I20)*IF(Inputs!$C$29=0,1,(MAX(CB19,0)/Inputs!$C$6)^Inputs!$C$29)</f>
        <v>12336.42578125</v>
      </c>
      <c r="BZ20" s="38">
        <f>Inputs!$C$32*CB19/Inputs!$C$6</f>
        <v>6749.9999999999991</v>
      </c>
      <c r="CA20" s="38">
        <f>Inputs!$C$33</f>
        <v>2000</v>
      </c>
      <c r="CB20" s="38">
        <f t="shared" si="29"/>
        <v>800000</v>
      </c>
      <c r="CC20" s="38">
        <f t="shared" si="30"/>
        <v>276540.36458333314</v>
      </c>
      <c r="CD20" s="38">
        <f>Inputs!$C$19*(1-Inputs!$C$72*$H20)+Inputs!$C$21+Inputs!$B$72*$J20</f>
        <v>490312.5</v>
      </c>
      <c r="CE20" s="38">
        <f t="shared" si="31"/>
        <v>309687.5</v>
      </c>
      <c r="CF20" s="38">
        <f t="shared" si="32"/>
        <v>0</v>
      </c>
      <c r="CG20" s="38">
        <f>MAX(0,MIN(Inputs!$D$36,CL19,CH20+CI20+CJ20+Inputs!$D$6-CK19))</f>
        <v>14956.223742221831</v>
      </c>
      <c r="CH20" s="38">
        <f>Inputs!$D$27*(1+Inputs!$D$28)^($A20/12)*IF(Inputs!$B$72=1,$G20,1)*(1-Inputs!$C$72*$H20*(1-Inputs!$E$54*Inputs!$B$72))*(1+$I20)*IF(Inputs!$D$29=0,1,(MAX(CK19,0)/Inputs!$D$6)^Inputs!$D$29)</f>
        <v>9256.2237422218695</v>
      </c>
      <c r="CI20" s="38">
        <f>Inputs!$D$32*CK19/Inputs!$D$6</f>
        <v>4200</v>
      </c>
      <c r="CJ20" s="38">
        <f>Inputs!$D$33</f>
        <v>1500</v>
      </c>
      <c r="CK20" s="38">
        <f t="shared" si="33"/>
        <v>880000</v>
      </c>
      <c r="CL20" s="38">
        <f t="shared" si="34"/>
        <v>680505.53834744717</v>
      </c>
      <c r="CM20" s="38">
        <f>Inputs!$D$19*(1-Inputs!$C$72*$H20)+Inputs!$D$21+Inputs!$B$72*$J20</f>
        <v>400846.875</v>
      </c>
      <c r="CN20" s="38">
        <f t="shared" si="35"/>
        <v>479153.125</v>
      </c>
      <c r="CO20" s="38">
        <f t="shared" si="36"/>
        <v>0</v>
      </c>
      <c r="CP20" s="38">
        <f>MAX(0,MIN(Inputs!$B$36,CU19,CQ20+CR20+CS20+Inputs!$B$6-CT19))</f>
        <v>22000</v>
      </c>
      <c r="CQ20" s="38">
        <f>Inputs!$B$27*(1+Inputs!$B$28)^($A20/12)*IF(Inputs!$B$73=1,$G20,1)*(1-Inputs!$C$73*$H20*(1-Inputs!$E$54*Inputs!$B$73))*(1+$I20)*IF(Inputs!$B$29=0,1,(MAX(CT19,0)/Inputs!$B$6)^Inputs!$B$29)</f>
        <v>14609.6730273292</v>
      </c>
      <c r="CR20" s="38">
        <f>Inputs!$B$32*CT19/Inputs!$B$6</f>
        <v>9573.4166109373782</v>
      </c>
      <c r="CS20" s="38">
        <f>Inputs!$B$33</f>
        <v>2500</v>
      </c>
      <c r="CT20" s="38">
        <f t="shared" si="37"/>
        <v>598087.58586519805</v>
      </c>
      <c r="CU20" s="38">
        <f t="shared" si="38"/>
        <v>41250.000000000058</v>
      </c>
      <c r="CV20" s="38">
        <f>Inputs!$B$19*(1-Inputs!$C$73*$H20)+Inputs!$B$21+Inputs!$B$73*$J20</f>
        <v>593281.25</v>
      </c>
      <c r="CW20" s="38">
        <f t="shared" si="39"/>
        <v>4806.3358651980525</v>
      </c>
      <c r="CX20" s="38">
        <f t="shared" si="40"/>
        <v>0</v>
      </c>
      <c r="CY20" s="38">
        <f>MAX(0,MIN(Inputs!$C$36,DD19,CZ20+DA20+DB20+Inputs!$C$6-DC19))</f>
        <v>20204.407420014264</v>
      </c>
      <c r="CZ20" s="38">
        <f>Inputs!$C$27*(1+Inputs!$C$28)^($A20/12)*IF(Inputs!$B$73=1,$G20,1)*(1-Inputs!$C$73*$H20*(1-Inputs!$E$54*Inputs!$B$73))*(1+$I20)*IF(Inputs!$C$29=0,1,(MAX(DC19,0)/Inputs!$C$6)^Inputs!$C$29)</f>
        <v>11454.40742001427</v>
      </c>
      <c r="DA20" s="38">
        <f>Inputs!$C$32*DC19/Inputs!$C$6</f>
        <v>6749.9999999999991</v>
      </c>
      <c r="DB20" s="38">
        <f>Inputs!$C$33</f>
        <v>2000</v>
      </c>
      <c r="DC20" s="38">
        <f t="shared" si="41"/>
        <v>800000</v>
      </c>
      <c r="DD20" s="38">
        <f t="shared" si="42"/>
        <v>283598.42107424431</v>
      </c>
      <c r="DE20" s="38">
        <f>Inputs!$C$19*(1-Inputs!$C$73*$H20)+Inputs!$C$21+Inputs!$B$73*$J20</f>
        <v>494062.5</v>
      </c>
      <c r="DF20" s="38">
        <f t="shared" si="43"/>
        <v>305937.5</v>
      </c>
      <c r="DG20" s="38">
        <f t="shared" si="44"/>
        <v>0</v>
      </c>
      <c r="DH20" s="38">
        <f>MAX(0,MIN(Inputs!$D$36,DM19,DI20+DJ20+DK20+Inputs!$D$6-DL19))</f>
        <v>14294.430817665532</v>
      </c>
      <c r="DI20" s="38">
        <f>Inputs!$D$27*(1+Inputs!$D$28)^($A20/12)*IF(Inputs!$B$73=1,$G20,1)*(1-Inputs!$C$73*$H20*(1-Inputs!$E$54*Inputs!$B$73))*(1+$I20)*IF(Inputs!$D$29=0,1,(MAX(DL19,0)/Inputs!$D$6)^Inputs!$D$29)</f>
        <v>8594.4308176655213</v>
      </c>
      <c r="DJ20" s="38">
        <f>Inputs!$D$32*DL19/Inputs!$D$6</f>
        <v>4200</v>
      </c>
      <c r="DK20" s="38">
        <f>Inputs!$D$33</f>
        <v>1500</v>
      </c>
      <c r="DL20" s="38">
        <f t="shared" si="45"/>
        <v>880000</v>
      </c>
      <c r="DM20" s="38">
        <f t="shared" si="46"/>
        <v>685908.68249093031</v>
      </c>
      <c r="DN20" s="38">
        <f>Inputs!$D$19*(1-Inputs!$C$73*$H20)+Inputs!$D$21+Inputs!$B$73*$J20</f>
        <v>404596.875</v>
      </c>
      <c r="DO20" s="38">
        <f t="shared" si="47"/>
        <v>475403.125</v>
      </c>
      <c r="DP20" s="38">
        <f t="shared" si="48"/>
        <v>0</v>
      </c>
    </row>
    <row r="21" spans="1:120" x14ac:dyDescent="0.35">
      <c r="A21" s="29">
        <v>16</v>
      </c>
      <c r="B21" s="34">
        <f>EDATE(Inputs!$B$67,$A21)</f>
        <v>46753</v>
      </c>
      <c r="C21" s="35">
        <f>IF(Inputs!$E$47&lt;=0,Inputs!$E$46,Inputs!$E$44+(Inputs!$E$46-Inputs!$E$44)*MIN($A21/Inputs!$E$47,1))</f>
        <v>0.53333333333333321</v>
      </c>
      <c r="D21" s="35">
        <f>MIN(Inputs!$E$57,Inputs!$E$55*(1+Inputs!$E$56)^($A21/12))*Inputs!$E$58*(1+Inputs!$E$59)^($A21/12)/Inputs!$E$45</f>
        <v>0.6577890979438612</v>
      </c>
      <c r="E21" s="35">
        <f>MAX(Inputs!$E$44,MIN(C21,D21))</f>
        <v>0.53333333333333321</v>
      </c>
      <c r="F21" s="35">
        <f>IF(Inputs!$E$50&lt;=0,Inputs!$E$49,Inputs!$E$48+(Inputs!$E$49-Inputs!$E$48)*MIN($A21/Inputs!$E$50,1))</f>
        <v>6.4444444444444443E-2</v>
      </c>
      <c r="G21" s="36">
        <f>(Inputs!$E$41*(1-E21*Inputs!$E$51)+Inputs!$E$42*(1-F21*Inputs!$E$51))/(Inputs!$E$41*(1-Inputs!$E$44*Inputs!$E$51)+Inputs!$E$42*(1-Inputs!$E$48*Inputs!$E$51))</f>
        <v>0.90801576872536138</v>
      </c>
      <c r="H21" s="35">
        <f>IF(Inputs!$E$53&lt;=0,Inputs!$E$52,Inputs!$E$52*MIN($A21/Inputs!$E$53,1))</f>
        <v>3.3333333333333333E-2</v>
      </c>
      <c r="I21" s="35">
        <f>IF(Inputs!$E$64&lt;=0,Inputs!$E$63,Inputs!$E$62+(Inputs!$E$63-Inputs!$E$62)*MIN($A21/Inputs!$E$64,1))</f>
        <v>1.9999999999999997E-2</v>
      </c>
      <c r="J21" s="37">
        <f>(E21-Inputs!$E$44)*Inputs!$E$45/Inputs!$E$60*Inputs!$E$61</f>
        <v>3999.9999999999986</v>
      </c>
      <c r="K21" s="29">
        <f t="shared" si="0"/>
        <v>0</v>
      </c>
      <c r="L21" s="29"/>
      <c r="M21" s="38">
        <f>MAX(0,MIN(Inputs!$B$36,R20,N21+O21+P21+Inputs!$B$6-Q20))</f>
        <v>22000</v>
      </c>
      <c r="N21" s="38">
        <f>Inputs!$B$27*(1+Inputs!$B$28)^($A21/12)*IF(Inputs!$B$70=1,$G21,1)*(1-Inputs!$C$70*$H21*(1-Inputs!$E$54*Inputs!$B$70))*(1+$I21)*IF(Inputs!$B$29=0,1,(MAX(Q20,0)/Inputs!$B$6)^Inputs!$B$29)</f>
        <v>16328.407472230621</v>
      </c>
      <c r="O21" s="38">
        <f>Inputs!$B$32*Q20/Inputs!$B$6</f>
        <v>9309.9469058245741</v>
      </c>
      <c r="P21" s="38">
        <f>Inputs!$B$33</f>
        <v>2500</v>
      </c>
      <c r="Q21" s="38">
        <f t="shared" si="1"/>
        <v>580043.48784052907</v>
      </c>
      <c r="R21" s="38">
        <f t="shared" si="2"/>
        <v>19250.000000000058</v>
      </c>
      <c r="S21" s="38">
        <f>Inputs!$B$19*(1-Inputs!$C$70*$H21)+Inputs!$B$21+Inputs!$B$70*$J21</f>
        <v>595000</v>
      </c>
      <c r="T21" s="38">
        <f t="shared" si="3"/>
        <v>-14956.512159470934</v>
      </c>
      <c r="U21" s="38">
        <f t="shared" si="4"/>
        <v>1</v>
      </c>
      <c r="V21" s="38">
        <f>MAX(0,MIN(Inputs!$C$36,AA20,W21+X21+Y21+Inputs!$C$6-Z20))</f>
        <v>21500</v>
      </c>
      <c r="W21" s="38">
        <f>Inputs!$C$27*(1+Inputs!$C$28)^($A21/12)*IF(Inputs!$B$70=1,$G21,1)*(1-Inputs!$C$70*$H21*(1-Inputs!$E$54*Inputs!$B$70))*(1+$I21)*IF(Inputs!$C$29=0,1,(MAX(Z20,0)/Inputs!$C$6)^Inputs!$C$29)</f>
        <v>12750</v>
      </c>
      <c r="X21" s="38">
        <f>Inputs!$C$32*Z20/Inputs!$C$6</f>
        <v>6749.9999999999991</v>
      </c>
      <c r="Y21" s="38">
        <f>Inputs!$C$33</f>
        <v>2000</v>
      </c>
      <c r="Z21" s="38">
        <f t="shared" si="5"/>
        <v>800000</v>
      </c>
      <c r="AA21" s="38">
        <f t="shared" si="6"/>
        <v>251875</v>
      </c>
      <c r="AB21" s="38">
        <f>Inputs!$C$19*(1-Inputs!$C$70*$H21)+Inputs!$C$21+Inputs!$B$70*$J21</f>
        <v>495000</v>
      </c>
      <c r="AC21" s="38">
        <f t="shared" si="7"/>
        <v>305000</v>
      </c>
      <c r="AD21" s="38">
        <f t="shared" si="8"/>
        <v>0</v>
      </c>
      <c r="AE21" s="38">
        <f>MAX(0,MIN(Inputs!$D$36,AJ20,AF21+AG21+AH21+Inputs!$D$6-AI20))</f>
        <v>15225.730977443163</v>
      </c>
      <c r="AF21" s="38">
        <f>Inputs!$D$27*(1+Inputs!$D$28)^($A21/12)*IF(Inputs!$B$70=1,$G21,1)*(1-Inputs!$C$70*$H21*(1-Inputs!$E$54*Inputs!$B$70))*(1+$I21)*IF(Inputs!$D$29=0,1,(MAX(AI20,0)/Inputs!$D$6)^Inputs!$D$29)</f>
        <v>9525.7309774432015</v>
      </c>
      <c r="AG21" s="38">
        <f>Inputs!$D$32*AI20/Inputs!$D$6</f>
        <v>4200</v>
      </c>
      <c r="AH21" s="38">
        <f>Inputs!$D$33</f>
        <v>1500</v>
      </c>
      <c r="AI21" s="38">
        <f t="shared" si="9"/>
        <v>880000</v>
      </c>
      <c r="AJ21" s="38">
        <f t="shared" si="10"/>
        <v>662856.80709819577</v>
      </c>
      <c r="AK21" s="38">
        <f>Inputs!$D$19*(1-Inputs!$C$70*$H21)+Inputs!$D$21+Inputs!$B$70*$J21</f>
        <v>404800</v>
      </c>
      <c r="AL21" s="38">
        <f t="shared" si="11"/>
        <v>475200</v>
      </c>
      <c r="AM21" s="38">
        <f t="shared" si="12"/>
        <v>0</v>
      </c>
      <c r="AN21" s="38">
        <f>MAX(0,MIN(Inputs!$B$36,AS20,AO21+AP21+AQ21+Inputs!$B$6-AR20))</f>
        <v>22000</v>
      </c>
      <c r="AO21" s="38">
        <f>Inputs!$B$27*(1+Inputs!$B$28)^($A21/12)*IF(Inputs!$B$71=1,$G21,1)*(1-Inputs!$C$71*$H21*(1-Inputs!$E$54*Inputs!$B$71))*(1+$I21)*IF(Inputs!$B$29=0,1,(MAX(AR20,0)/Inputs!$B$6)^Inputs!$B$29)</f>
        <v>14826.451462958423</v>
      </c>
      <c r="AP21" s="38">
        <f>Inputs!$B$32*AR20/Inputs!$B$6</f>
        <v>9471.5440408816212</v>
      </c>
      <c r="AQ21" s="38">
        <f>Inputs!$B$33</f>
        <v>2500</v>
      </c>
      <c r="AR21" s="38">
        <f t="shared" si="13"/>
        <v>591558.48114426201</v>
      </c>
      <c r="AS21" s="38">
        <f t="shared" si="14"/>
        <v>19250.000000000058</v>
      </c>
      <c r="AT21" s="38">
        <f>Inputs!$B$19*(1-Inputs!$C$71*$H21)+Inputs!$B$21+Inputs!$B$71*$J21</f>
        <v>599000</v>
      </c>
      <c r="AU21" s="38">
        <f t="shared" si="15"/>
        <v>-7441.5188557379879</v>
      </c>
      <c r="AV21" s="38">
        <f t="shared" si="16"/>
        <v>1</v>
      </c>
      <c r="AW21" s="38">
        <f>MAX(0,MIN(Inputs!$C$36,BB20,AX21+AY21+AZ21+Inputs!$C$6-BA20))</f>
        <v>20327.201051248354</v>
      </c>
      <c r="AX21" s="38">
        <f>Inputs!$C$27*(1+Inputs!$C$28)^($A21/12)*IF(Inputs!$B$71=1,$G21,1)*(1-Inputs!$C$71*$H21*(1-Inputs!$E$54*Inputs!$B$71))*(1+$I21)*IF(Inputs!$C$29=0,1,(MAX(BA20,0)/Inputs!$C$6)^Inputs!$C$29)</f>
        <v>11577.201051248358</v>
      </c>
      <c r="AY21" s="38">
        <f>Inputs!$C$32*BA20/Inputs!$C$6</f>
        <v>6749.9999999999991</v>
      </c>
      <c r="AZ21" s="38">
        <f>Inputs!$C$33</f>
        <v>2000</v>
      </c>
      <c r="BA21" s="38">
        <f t="shared" si="17"/>
        <v>800000</v>
      </c>
      <c r="BB21" s="38">
        <f t="shared" si="18"/>
        <v>261782.70778580813</v>
      </c>
      <c r="BC21" s="38">
        <f>Inputs!$C$19*(1-Inputs!$C$71*$H21)+Inputs!$C$21+Inputs!$B$71*$J21</f>
        <v>499000</v>
      </c>
      <c r="BD21" s="38">
        <f t="shared" si="19"/>
        <v>301000</v>
      </c>
      <c r="BE21" s="38">
        <f t="shared" si="20"/>
        <v>0</v>
      </c>
      <c r="BF21" s="38">
        <f>MAX(0,MIN(Inputs!$D$36,BK20,BG21+BH21+BI21+Inputs!$D$6-BJ20))</f>
        <v>14349.513936154079</v>
      </c>
      <c r="BG21" s="38">
        <f>Inputs!$D$27*(1+Inputs!$D$28)^($A21/12)*IF(Inputs!$B$71=1,$G21,1)*(1-Inputs!$C$71*$H21*(1-Inputs!$E$54*Inputs!$B$71))*(1+$I21)*IF(Inputs!$D$29=0,1,(MAX(BJ20,0)/Inputs!$D$6)^Inputs!$D$29)</f>
        <v>8649.5139361540769</v>
      </c>
      <c r="BH21" s="38">
        <f>Inputs!$D$32*BJ20/Inputs!$D$6</f>
        <v>4200</v>
      </c>
      <c r="BI21" s="38">
        <f>Inputs!$D$33</f>
        <v>1500</v>
      </c>
      <c r="BJ21" s="38">
        <f t="shared" si="21"/>
        <v>880000</v>
      </c>
      <c r="BK21" s="38">
        <f t="shared" si="22"/>
        <v>670419.35866090097</v>
      </c>
      <c r="BL21" s="38">
        <f>Inputs!$D$19*(1-Inputs!$C$71*$H21)+Inputs!$D$21+Inputs!$B$71*$J21</f>
        <v>408800</v>
      </c>
      <c r="BM21" s="38">
        <f t="shared" si="23"/>
        <v>471200</v>
      </c>
      <c r="BN21" s="38">
        <f t="shared" si="24"/>
        <v>0</v>
      </c>
      <c r="BO21" s="38">
        <f>MAX(0,MIN(Inputs!$B$36,BT20,BP21+BQ21+BR21+Inputs!$B$6-BS20))</f>
        <v>22000</v>
      </c>
      <c r="BP21" s="38">
        <f>Inputs!$B$27*(1+Inputs!$B$28)^($A21/12)*IF(Inputs!$B$72=1,$G21,1)*(1-Inputs!$C$72*$H21*(1-Inputs!$E$54*Inputs!$B$72))*(1+$I21)*IF(Inputs!$B$29=0,1,(MAX(BS20,0)/Inputs!$B$6)^Inputs!$B$29)</f>
        <v>15784.127223156265</v>
      </c>
      <c r="BQ21" s="38">
        <f>Inputs!$B$32*BS20/Inputs!$B$6</f>
        <v>9368.5066295285815</v>
      </c>
      <c r="BR21" s="38">
        <f>Inputs!$B$33</f>
        <v>2500</v>
      </c>
      <c r="BS21" s="38">
        <f t="shared" si="25"/>
        <v>584216.30208059622</v>
      </c>
      <c r="BT21" s="38">
        <f t="shared" si="26"/>
        <v>19250.000000000058</v>
      </c>
      <c r="BU21" s="38">
        <f>Inputs!$B$19*(1-Inputs!$C$72*$H21)+Inputs!$B$21+Inputs!$B$72*$J21</f>
        <v>589166.66666666663</v>
      </c>
      <c r="BV21" s="38">
        <f t="shared" si="27"/>
        <v>-4950.3645860704128</v>
      </c>
      <c r="BW21" s="38">
        <f t="shared" si="28"/>
        <v>1</v>
      </c>
      <c r="BX21" s="38">
        <f>MAX(0,MIN(Inputs!$C$36,CC20,BY21+BZ21+CA21+Inputs!$C$6-CB20))</f>
        <v>21075</v>
      </c>
      <c r="BY21" s="38">
        <f>Inputs!$C$27*(1+Inputs!$C$28)^($A21/12)*IF(Inputs!$B$72=1,$G21,1)*(1-Inputs!$C$72*$H21*(1-Inputs!$E$54*Inputs!$B$72))*(1+$I21)*IF(Inputs!$C$29=0,1,(MAX(CB20,0)/Inputs!$C$6)^Inputs!$C$29)</f>
        <v>12325</v>
      </c>
      <c r="BZ21" s="38">
        <f>Inputs!$C$32*CB20/Inputs!$C$6</f>
        <v>6749.9999999999991</v>
      </c>
      <c r="CA21" s="38">
        <f>Inputs!$C$33</f>
        <v>2000</v>
      </c>
      <c r="CB21" s="38">
        <f t="shared" si="29"/>
        <v>800000</v>
      </c>
      <c r="CC21" s="38">
        <f t="shared" si="30"/>
        <v>255465.36458333314</v>
      </c>
      <c r="CD21" s="38">
        <f>Inputs!$C$19*(1-Inputs!$C$72*$H21)+Inputs!$C$21+Inputs!$B$72*$J21</f>
        <v>490000</v>
      </c>
      <c r="CE21" s="38">
        <f t="shared" si="31"/>
        <v>310000</v>
      </c>
      <c r="CF21" s="38">
        <f t="shared" si="32"/>
        <v>0</v>
      </c>
      <c r="CG21" s="38">
        <f>MAX(0,MIN(Inputs!$D$36,CL20,CH21+CI21+CJ21+Inputs!$D$6-CK20))</f>
        <v>14908.206611528411</v>
      </c>
      <c r="CH21" s="38">
        <f>Inputs!$D$27*(1+Inputs!$D$28)^($A21/12)*IF(Inputs!$B$72=1,$G21,1)*(1-Inputs!$C$72*$H21*(1-Inputs!$E$54*Inputs!$B$72))*(1+$I21)*IF(Inputs!$D$29=0,1,(MAX(CK20,0)/Inputs!$D$6)^Inputs!$D$29)</f>
        <v>9208.2066115284288</v>
      </c>
      <c r="CI21" s="38">
        <f>Inputs!$D$32*CK20/Inputs!$D$6</f>
        <v>4200</v>
      </c>
      <c r="CJ21" s="38">
        <f>Inputs!$D$33</f>
        <v>1500</v>
      </c>
      <c r="CK21" s="38">
        <f t="shared" si="33"/>
        <v>880000</v>
      </c>
      <c r="CL21" s="38">
        <f t="shared" si="34"/>
        <v>665597.33173591876</v>
      </c>
      <c r="CM21" s="38">
        <f>Inputs!$D$19*(1-Inputs!$C$72*$H21)+Inputs!$D$21+Inputs!$B$72*$J21</f>
        <v>400583.33333333331</v>
      </c>
      <c r="CN21" s="38">
        <f t="shared" si="35"/>
        <v>479416.66666666669</v>
      </c>
      <c r="CO21" s="38">
        <f t="shared" si="36"/>
        <v>0</v>
      </c>
      <c r="CP21" s="38">
        <f>MAX(0,MIN(Inputs!$B$36,CU20,CQ21+CR21+CS21+Inputs!$B$6-CT20))</f>
        <v>22000</v>
      </c>
      <c r="CQ21" s="38">
        <f>Inputs!$B$27*(1+Inputs!$B$28)^($A21/12)*IF(Inputs!$B$73=1,$G21,1)*(1-Inputs!$C$73*$H21*(1-Inputs!$E$54*Inputs!$B$73))*(1+$I21)*IF(Inputs!$B$29=0,1,(MAX(CT20,0)/Inputs!$B$6)^Inputs!$B$29)</f>
        <v>14579.343938575781</v>
      </c>
      <c r="CR21" s="38">
        <f>Inputs!$B$32*CT20/Inputs!$B$6</f>
        <v>9499.0381284472642</v>
      </c>
      <c r="CS21" s="38">
        <f>Inputs!$B$33</f>
        <v>2500</v>
      </c>
      <c r="CT21" s="38">
        <f t="shared" si="37"/>
        <v>593509.20379817497</v>
      </c>
      <c r="CU21" s="38">
        <f t="shared" si="38"/>
        <v>19250.000000000058</v>
      </c>
      <c r="CV21" s="38">
        <f>Inputs!$B$19*(1-Inputs!$C$73*$H21)+Inputs!$B$21+Inputs!$B$73*$J21</f>
        <v>593166.66666666663</v>
      </c>
      <c r="CW21" s="38">
        <f t="shared" si="39"/>
        <v>342.53713150834665</v>
      </c>
      <c r="CX21" s="38">
        <f t="shared" si="40"/>
        <v>0</v>
      </c>
      <c r="CY21" s="38">
        <f>MAX(0,MIN(Inputs!$C$36,DD20,CZ21+DA21+DB21+Inputs!$C$6-DC20))</f>
        <v>20134.247700394248</v>
      </c>
      <c r="CZ21" s="38">
        <f>Inputs!$C$27*(1+Inputs!$C$28)^($A21/12)*IF(Inputs!$B$73=1,$G21,1)*(1-Inputs!$C$73*$H21*(1-Inputs!$E$54*Inputs!$B$73))*(1+$I21)*IF(Inputs!$C$29=0,1,(MAX(DC20,0)/Inputs!$C$6)^Inputs!$C$29)</f>
        <v>11384.247700394219</v>
      </c>
      <c r="DA21" s="38">
        <f>Inputs!$C$32*DC20/Inputs!$C$6</f>
        <v>6749.9999999999991</v>
      </c>
      <c r="DB21" s="38">
        <f>Inputs!$C$33</f>
        <v>2000</v>
      </c>
      <c r="DC21" s="38">
        <f t="shared" si="41"/>
        <v>800000</v>
      </c>
      <c r="DD21" s="38">
        <f t="shared" si="42"/>
        <v>263464.17337385006</v>
      </c>
      <c r="DE21" s="38">
        <f>Inputs!$C$19*(1-Inputs!$C$73*$H21)+Inputs!$C$21+Inputs!$B$73*$J21</f>
        <v>494000</v>
      </c>
      <c r="DF21" s="38">
        <f t="shared" si="43"/>
        <v>306000</v>
      </c>
      <c r="DG21" s="38">
        <f t="shared" si="44"/>
        <v>0</v>
      </c>
      <c r="DH21" s="38">
        <f>MAX(0,MIN(Inputs!$D$36,DM20,DI21+DJ21+DK21+Inputs!$D$6-DL20))</f>
        <v>14205.355370551464</v>
      </c>
      <c r="DI21" s="38">
        <f>Inputs!$D$27*(1+Inputs!$D$28)^($A21/12)*IF(Inputs!$B$73=1,$G21,1)*(1-Inputs!$C$73*$H21*(1-Inputs!$E$54*Inputs!$B$73))*(1+$I21)*IF(Inputs!$D$29=0,1,(MAX(DL20,0)/Inputs!$D$6)^Inputs!$D$29)</f>
        <v>8505.3553705515078</v>
      </c>
      <c r="DJ21" s="38">
        <f>Inputs!$D$32*DL20/Inputs!$D$6</f>
        <v>4200</v>
      </c>
      <c r="DK21" s="38">
        <f>Inputs!$D$33</f>
        <v>1500</v>
      </c>
      <c r="DL21" s="38">
        <f t="shared" si="45"/>
        <v>880000</v>
      </c>
      <c r="DM21" s="38">
        <f t="shared" si="46"/>
        <v>671703.32712037885</v>
      </c>
      <c r="DN21" s="38">
        <f>Inputs!$D$19*(1-Inputs!$C$73*$H21)+Inputs!$D$21+Inputs!$B$73*$J21</f>
        <v>404583.33333333331</v>
      </c>
      <c r="DO21" s="38">
        <f t="shared" si="47"/>
        <v>475416.66666666669</v>
      </c>
      <c r="DP21" s="38">
        <f t="shared" si="48"/>
        <v>0</v>
      </c>
    </row>
    <row r="22" spans="1:120" x14ac:dyDescent="0.35">
      <c r="A22" s="29">
        <v>17</v>
      </c>
      <c r="B22" s="34">
        <f>EDATE(Inputs!$B$67,$A22)</f>
        <v>46784</v>
      </c>
      <c r="C22" s="35">
        <f>IF(Inputs!$E$47&lt;=0,Inputs!$E$46,Inputs!$E$44+(Inputs!$E$46-Inputs!$E$44)*MIN($A22/Inputs!$E$47,1))</f>
        <v>0.5541666666666667</v>
      </c>
      <c r="D22" s="35">
        <f>MIN(Inputs!$E$57,Inputs!$E$55*(1+Inputs!$E$56)^($A22/12))*Inputs!$E$58*(1+Inputs!$E$59)^($A22/12)/Inputs!$E$45</f>
        <v>0.67649409116809556</v>
      </c>
      <c r="E22" s="35">
        <f>MAX(Inputs!$E$44,MIN(C22,D22))</f>
        <v>0.5541666666666667</v>
      </c>
      <c r="F22" s="35">
        <f>IF(Inputs!$E$50&lt;=0,Inputs!$E$49,Inputs!$E$48+(Inputs!$E$49-Inputs!$E$48)*MIN($A22/Inputs!$E$50,1))</f>
        <v>6.7222222222222211E-2</v>
      </c>
      <c r="G22" s="36">
        <f>(Inputs!$E$41*(1-E22*Inputs!$E$51)+Inputs!$E$42*(1-F22*Inputs!$E$51))/(Inputs!$E$41*(1-Inputs!$E$44*Inputs!$E$51)+Inputs!$E$42*(1-Inputs!$E$48*Inputs!$E$51))</f>
        <v>0.90226675427069636</v>
      </c>
      <c r="H22" s="35">
        <f>IF(Inputs!$E$53&lt;=0,Inputs!$E$52,Inputs!$E$52*MIN($A22/Inputs!$E$53,1))</f>
        <v>3.5416666666666673E-2</v>
      </c>
      <c r="I22" s="35">
        <f>IF(Inputs!$E$64&lt;=0,Inputs!$E$63,Inputs!$E$62+(Inputs!$E$63-Inputs!$E$62)*MIN($A22/Inputs!$E$64,1))</f>
        <v>2.1250000000000002E-2</v>
      </c>
      <c r="J22" s="37">
        <f>(E22-Inputs!$E$44)*Inputs!$E$45/Inputs!$E$60*Inputs!$E$61</f>
        <v>4250</v>
      </c>
      <c r="K22" s="29">
        <f t="shared" si="0"/>
        <v>0</v>
      </c>
      <c r="L22" s="29"/>
      <c r="M22" s="38">
        <f>MAX(0,MIN(Inputs!$B$36,R21,N22+O22+P22+Inputs!$B$6-Q21))</f>
        <v>19250.000000000058</v>
      </c>
      <c r="N22" s="38">
        <f>Inputs!$B$27*(1+Inputs!$B$28)^($A22/12)*IF(Inputs!$B$70=1,$G22,1)*(1-Inputs!$C$70*$H22*(1-Inputs!$E$54*Inputs!$B$70))*(1+$I22)*IF(Inputs!$B$29=0,1,(MAX(Q21,0)/Inputs!$B$6)^Inputs!$B$29)</f>
        <v>16415.023253189618</v>
      </c>
      <c r="O22" s="38">
        <f>Inputs!$B$32*Q21/Inputs!$B$6</f>
        <v>9212.4553951142861</v>
      </c>
      <c r="P22" s="38">
        <f>Inputs!$B$33</f>
        <v>2500</v>
      </c>
      <c r="Q22" s="38">
        <f t="shared" si="1"/>
        <v>571166.00919222517</v>
      </c>
      <c r="R22" s="38">
        <f t="shared" si="2"/>
        <v>0</v>
      </c>
      <c r="S22" s="38">
        <f>Inputs!$B$19*(1-Inputs!$C$70*$H22)+Inputs!$B$21+Inputs!$B$70*$J22</f>
        <v>595000</v>
      </c>
      <c r="T22" s="38">
        <f t="shared" si="3"/>
        <v>-23833.990807774826</v>
      </c>
      <c r="U22" s="38">
        <f t="shared" si="4"/>
        <v>1</v>
      </c>
      <c r="V22" s="38">
        <f>MAX(0,MIN(Inputs!$C$36,AA21,W22+X22+Y22+Inputs!$C$6-Z21))</f>
        <v>21515.625</v>
      </c>
      <c r="W22" s="38">
        <f>Inputs!$C$27*(1+Inputs!$C$28)^($A22/12)*IF(Inputs!$B$70=1,$G22,1)*(1-Inputs!$C$70*$H22*(1-Inputs!$E$54*Inputs!$B$70))*(1+$I22)*IF(Inputs!$C$29=0,1,(MAX(Z21,0)/Inputs!$C$6)^Inputs!$C$29)</f>
        <v>12765.625</v>
      </c>
      <c r="X22" s="38">
        <f>Inputs!$C$32*Z21/Inputs!$C$6</f>
        <v>6749.9999999999991</v>
      </c>
      <c r="Y22" s="38">
        <f>Inputs!$C$33</f>
        <v>2000</v>
      </c>
      <c r="Z22" s="38">
        <f t="shared" si="5"/>
        <v>800000</v>
      </c>
      <c r="AA22" s="38">
        <f t="shared" si="6"/>
        <v>230359.375</v>
      </c>
      <c r="AB22" s="38">
        <f>Inputs!$C$19*(1-Inputs!$C$70*$H22)+Inputs!$C$21+Inputs!$B$70*$J22</f>
        <v>495000</v>
      </c>
      <c r="AC22" s="38">
        <f t="shared" si="7"/>
        <v>305000</v>
      </c>
      <c r="AD22" s="38">
        <f t="shared" si="8"/>
        <v>0</v>
      </c>
      <c r="AE22" s="38">
        <f>MAX(0,MIN(Inputs!$D$36,AJ21,AF22+AG22+AH22+Inputs!$D$6-AI21))</f>
        <v>15196.724596149637</v>
      </c>
      <c r="AF22" s="38">
        <f>Inputs!$D$27*(1+Inputs!$D$28)^($A22/12)*IF(Inputs!$B$70=1,$G22,1)*(1-Inputs!$C$70*$H22*(1-Inputs!$E$54*Inputs!$B$70))*(1+$I22)*IF(Inputs!$D$29=0,1,(MAX(AI21,0)/Inputs!$D$6)^Inputs!$D$29)</f>
        <v>9496.7245961496246</v>
      </c>
      <c r="AG22" s="38">
        <f>Inputs!$D$32*AI21/Inputs!$D$6</f>
        <v>4200</v>
      </c>
      <c r="AH22" s="38">
        <f>Inputs!$D$33</f>
        <v>1500</v>
      </c>
      <c r="AI22" s="38">
        <f t="shared" si="9"/>
        <v>880000</v>
      </c>
      <c r="AJ22" s="38">
        <f t="shared" si="10"/>
        <v>647660.08250204613</v>
      </c>
      <c r="AK22" s="38">
        <f>Inputs!$D$19*(1-Inputs!$C$70*$H22)+Inputs!$D$21+Inputs!$B$70*$J22</f>
        <v>404800</v>
      </c>
      <c r="AL22" s="38">
        <f t="shared" si="11"/>
        <v>475200</v>
      </c>
      <c r="AM22" s="38">
        <f t="shared" si="12"/>
        <v>0</v>
      </c>
      <c r="AN22" s="38">
        <f>MAX(0,MIN(Inputs!$B$36,AS21,AO22+AP22+AQ22+Inputs!$B$6-AR21))</f>
        <v>19250.000000000058</v>
      </c>
      <c r="AO22" s="38">
        <f>Inputs!$B$27*(1+Inputs!$B$28)^($A22/12)*IF(Inputs!$B$71=1,$G22,1)*(1-Inputs!$C$71*$H22*(1-Inputs!$E$54*Inputs!$B$71))*(1+$I22)*IF(Inputs!$B$29=0,1,(MAX(AR21,0)/Inputs!$B$6)^Inputs!$B$29)</f>
        <v>14810.729751933404</v>
      </c>
      <c r="AP22" s="38">
        <f>Inputs!$B$32*AR21/Inputs!$B$6</f>
        <v>9395.3405828794548</v>
      </c>
      <c r="AQ22" s="38">
        <f>Inputs!$B$33</f>
        <v>2500</v>
      </c>
      <c r="AR22" s="38">
        <f t="shared" si="13"/>
        <v>584102.41080944915</v>
      </c>
      <c r="AS22" s="38">
        <f t="shared" si="14"/>
        <v>0</v>
      </c>
      <c r="AT22" s="38">
        <f>Inputs!$B$19*(1-Inputs!$C$71*$H22)+Inputs!$B$21+Inputs!$B$71*$J22</f>
        <v>599250</v>
      </c>
      <c r="AU22" s="38">
        <f t="shared" si="15"/>
        <v>-15147.589190550847</v>
      </c>
      <c r="AV22" s="38">
        <f t="shared" si="16"/>
        <v>1</v>
      </c>
      <c r="AW22" s="38">
        <f>MAX(0,MIN(Inputs!$C$36,BB21,AX22+AY22+AZ22+Inputs!$C$6-BA21))</f>
        <v>20267.999034986831</v>
      </c>
      <c r="AX22" s="38">
        <f>Inputs!$C$27*(1+Inputs!$C$28)^($A22/12)*IF(Inputs!$B$71=1,$G22,1)*(1-Inputs!$C$71*$H22*(1-Inputs!$E$54*Inputs!$B$71))*(1+$I22)*IF(Inputs!$C$29=0,1,(MAX(BA21,0)/Inputs!$C$6)^Inputs!$C$29)</f>
        <v>11517.999034986859</v>
      </c>
      <c r="AY22" s="38">
        <f>Inputs!$C$32*BA21/Inputs!$C$6</f>
        <v>6749.9999999999991</v>
      </c>
      <c r="AZ22" s="38">
        <f>Inputs!$C$33</f>
        <v>2000</v>
      </c>
      <c r="BA22" s="38">
        <f t="shared" si="17"/>
        <v>800000</v>
      </c>
      <c r="BB22" s="38">
        <f t="shared" si="18"/>
        <v>241514.7087508213</v>
      </c>
      <c r="BC22" s="38">
        <f>Inputs!$C$19*(1-Inputs!$C$71*$H22)+Inputs!$C$21+Inputs!$B$71*$J22</f>
        <v>499250</v>
      </c>
      <c r="BD22" s="38">
        <f t="shared" si="19"/>
        <v>300750</v>
      </c>
      <c r="BE22" s="38">
        <f t="shared" si="20"/>
        <v>0</v>
      </c>
      <c r="BF22" s="38">
        <f>MAX(0,MIN(Inputs!$D$36,BK21,BG22+BH22+BI22+Inputs!$D$6-BJ21))</f>
        <v>14268.578877570573</v>
      </c>
      <c r="BG22" s="38">
        <f>Inputs!$D$27*(1+Inputs!$D$28)^($A22/12)*IF(Inputs!$B$71=1,$G22,1)*(1-Inputs!$C$71*$H22*(1-Inputs!$E$54*Inputs!$B$71))*(1+$I22)*IF(Inputs!$D$29=0,1,(MAX(BJ21,0)/Inputs!$D$6)^Inputs!$D$29)</f>
        <v>8568.5788775706114</v>
      </c>
      <c r="BH22" s="38">
        <f>Inputs!$D$32*BJ21/Inputs!$D$6</f>
        <v>4200</v>
      </c>
      <c r="BI22" s="38">
        <f>Inputs!$D$33</f>
        <v>1500</v>
      </c>
      <c r="BJ22" s="38">
        <f t="shared" si="21"/>
        <v>880000</v>
      </c>
      <c r="BK22" s="38">
        <f t="shared" si="22"/>
        <v>656150.77978333039</v>
      </c>
      <c r="BL22" s="38">
        <f>Inputs!$D$19*(1-Inputs!$C$71*$H22)+Inputs!$D$21+Inputs!$B$71*$J22</f>
        <v>409050</v>
      </c>
      <c r="BM22" s="38">
        <f t="shared" si="23"/>
        <v>470950</v>
      </c>
      <c r="BN22" s="38">
        <f t="shared" si="24"/>
        <v>0</v>
      </c>
      <c r="BO22" s="38">
        <f>MAX(0,MIN(Inputs!$B$36,BT21,BP22+BQ22+BR22+Inputs!$B$6-BS21))</f>
        <v>19250.000000000058</v>
      </c>
      <c r="BP22" s="38">
        <f>Inputs!$B$27*(1+Inputs!$B$28)^($A22/12)*IF(Inputs!$B$72=1,$G22,1)*(1-Inputs!$C$72*$H22*(1-Inputs!$E$54*Inputs!$B$72))*(1+$I22)*IF(Inputs!$B$29=0,1,(MAX(BS21,0)/Inputs!$B$6)^Inputs!$B$29)</f>
        <v>15833.657846305819</v>
      </c>
      <c r="BQ22" s="38">
        <f>Inputs!$B$32*BS21/Inputs!$B$6</f>
        <v>9278.7295036329979</v>
      </c>
      <c r="BR22" s="38">
        <f>Inputs!$B$33</f>
        <v>2500</v>
      </c>
      <c r="BS22" s="38">
        <f t="shared" si="25"/>
        <v>575853.91473065747</v>
      </c>
      <c r="BT22" s="38">
        <f t="shared" si="26"/>
        <v>0</v>
      </c>
      <c r="BU22" s="38">
        <f>Inputs!$B$19*(1-Inputs!$C$72*$H22)+Inputs!$B$21+Inputs!$B$72*$J22</f>
        <v>588802.08333333337</v>
      </c>
      <c r="BV22" s="38">
        <f t="shared" si="27"/>
        <v>-12948.168602675898</v>
      </c>
      <c r="BW22" s="38">
        <f t="shared" si="28"/>
        <v>1</v>
      </c>
      <c r="BX22" s="38">
        <f>MAX(0,MIN(Inputs!$C$36,CC21,BY22+BZ22+CA22+Inputs!$C$6-CB21))</f>
        <v>21063.509114583372</v>
      </c>
      <c r="BY22" s="38">
        <f>Inputs!$C$27*(1+Inputs!$C$28)^($A22/12)*IF(Inputs!$B$72=1,$G22,1)*(1-Inputs!$C$72*$H22*(1-Inputs!$E$54*Inputs!$B$72))*(1+$I22)*IF(Inputs!$C$29=0,1,(MAX(CB21,0)/Inputs!$C$6)^Inputs!$C$29)</f>
        <v>12313.509114583332</v>
      </c>
      <c r="BZ22" s="38">
        <f>Inputs!$C$32*CB21/Inputs!$C$6</f>
        <v>6749.9999999999991</v>
      </c>
      <c r="CA22" s="38">
        <f>Inputs!$C$33</f>
        <v>2000</v>
      </c>
      <c r="CB22" s="38">
        <f t="shared" si="29"/>
        <v>800000</v>
      </c>
      <c r="CC22" s="38">
        <f t="shared" si="30"/>
        <v>234401.85546874977</v>
      </c>
      <c r="CD22" s="38">
        <f>Inputs!$C$19*(1-Inputs!$C$72*$H22)+Inputs!$C$21+Inputs!$B$72*$J22</f>
        <v>489687.5</v>
      </c>
      <c r="CE22" s="38">
        <f t="shared" si="31"/>
        <v>310312.5</v>
      </c>
      <c r="CF22" s="38">
        <f t="shared" si="32"/>
        <v>0</v>
      </c>
      <c r="CG22" s="38">
        <f>MAX(0,MIN(Inputs!$D$36,CL21,CH22+CI22+CJ22+Inputs!$D$6-CK21))</f>
        <v>14860.382266702713</v>
      </c>
      <c r="CH22" s="38">
        <f>Inputs!$D$27*(1+Inputs!$D$28)^($A22/12)*IF(Inputs!$B$72=1,$G22,1)*(1-Inputs!$C$72*$H22*(1-Inputs!$E$54*Inputs!$B$72))*(1+$I22)*IF(Inputs!$D$29=0,1,(MAX(CK21,0)/Inputs!$D$6)^Inputs!$D$29)</f>
        <v>9160.3822667026598</v>
      </c>
      <c r="CI22" s="38">
        <f>Inputs!$D$32*CK21/Inputs!$D$6</f>
        <v>4200</v>
      </c>
      <c r="CJ22" s="38">
        <f>Inputs!$D$33</f>
        <v>1500</v>
      </c>
      <c r="CK22" s="38">
        <f t="shared" si="33"/>
        <v>880000</v>
      </c>
      <c r="CL22" s="38">
        <f t="shared" si="34"/>
        <v>650736.94946921605</v>
      </c>
      <c r="CM22" s="38">
        <f>Inputs!$D$19*(1-Inputs!$C$72*$H22)+Inputs!$D$21+Inputs!$B$72*$J22</f>
        <v>400319.79166666669</v>
      </c>
      <c r="CN22" s="38">
        <f t="shared" si="35"/>
        <v>479680.20833333331</v>
      </c>
      <c r="CO22" s="38">
        <f t="shared" si="36"/>
        <v>0</v>
      </c>
      <c r="CP22" s="38">
        <f>MAX(0,MIN(Inputs!$B$36,CU21,CQ22+CR22+CS22+Inputs!$B$6-CT21))</f>
        <v>19250.000000000058</v>
      </c>
      <c r="CQ22" s="38">
        <f>Inputs!$B$27*(1+Inputs!$B$28)^($A22/12)*IF(Inputs!$B$73=1,$G22,1)*(1-Inputs!$C$73*$H22*(1-Inputs!$E$54*Inputs!$B$73))*(1+$I22)*IF(Inputs!$B$29=0,1,(MAX(CT21,0)/Inputs!$B$6)^Inputs!$B$29)</f>
        <v>14548.45641257625</v>
      </c>
      <c r="CR22" s="38">
        <f>Inputs!$B$32*CT21/Inputs!$B$6</f>
        <v>9426.3226485592495</v>
      </c>
      <c r="CS22" s="38">
        <f>Inputs!$B$33</f>
        <v>2500</v>
      </c>
      <c r="CT22" s="38">
        <f t="shared" si="37"/>
        <v>586284.4247370396</v>
      </c>
      <c r="CU22" s="38">
        <f t="shared" si="38"/>
        <v>0</v>
      </c>
      <c r="CV22" s="38">
        <f>Inputs!$B$19*(1-Inputs!$C$73*$H22)+Inputs!$B$21+Inputs!$B$73*$J22</f>
        <v>593052.08333333337</v>
      </c>
      <c r="CW22" s="38">
        <f t="shared" si="39"/>
        <v>-6767.6585962937679</v>
      </c>
      <c r="CX22" s="38">
        <f t="shared" si="40"/>
        <v>1</v>
      </c>
      <c r="CY22" s="38">
        <f>MAX(0,MIN(Inputs!$C$36,DD21,CZ22+DA22+DB22+Inputs!$C$6-DC21))</f>
        <v>20064.03446874232</v>
      </c>
      <c r="CZ22" s="38">
        <f>Inputs!$C$27*(1+Inputs!$C$28)^($A22/12)*IF(Inputs!$B$73=1,$G22,1)*(1-Inputs!$C$73*$H22*(1-Inputs!$E$54*Inputs!$B$73))*(1+$I22)*IF(Inputs!$C$29=0,1,(MAX(DC21,0)/Inputs!$C$6)^Inputs!$C$29)</f>
        <v>11314.0344687423</v>
      </c>
      <c r="DA22" s="38">
        <f>Inputs!$C$32*DC21/Inputs!$C$6</f>
        <v>6749.9999999999991</v>
      </c>
      <c r="DB22" s="38">
        <f>Inputs!$C$33</f>
        <v>2000</v>
      </c>
      <c r="DC22" s="38">
        <f t="shared" si="41"/>
        <v>800000</v>
      </c>
      <c r="DD22" s="38">
        <f t="shared" si="42"/>
        <v>243400.13890510774</v>
      </c>
      <c r="DE22" s="38">
        <f>Inputs!$C$19*(1-Inputs!$C$73*$H22)+Inputs!$C$21+Inputs!$B$73*$J22</f>
        <v>493937.5</v>
      </c>
      <c r="DF22" s="38">
        <f t="shared" si="43"/>
        <v>306062.5</v>
      </c>
      <c r="DG22" s="38">
        <f t="shared" si="44"/>
        <v>0</v>
      </c>
      <c r="DH22" s="38">
        <f>MAX(0,MIN(Inputs!$D$36,DM21,DI22+DJ22+DK22+Inputs!$D$6-DL21))</f>
        <v>14116.843626613612</v>
      </c>
      <c r="DI22" s="38">
        <f>Inputs!$D$27*(1+Inputs!$D$28)^($A22/12)*IF(Inputs!$B$73=1,$G22,1)*(1-Inputs!$C$73*$H22*(1-Inputs!$E$54*Inputs!$B$73))*(1+$I22)*IF(Inputs!$D$29=0,1,(MAX(DL21,0)/Inputs!$D$6)^Inputs!$D$29)</f>
        <v>8416.8436266136323</v>
      </c>
      <c r="DJ22" s="38">
        <f>Inputs!$D$32*DL21/Inputs!$D$6</f>
        <v>4200</v>
      </c>
      <c r="DK22" s="38">
        <f>Inputs!$D$33</f>
        <v>1500</v>
      </c>
      <c r="DL22" s="38">
        <f t="shared" si="45"/>
        <v>880000</v>
      </c>
      <c r="DM22" s="38">
        <f t="shared" si="46"/>
        <v>657586.48349376523</v>
      </c>
      <c r="DN22" s="38">
        <f>Inputs!$D$19*(1-Inputs!$C$73*$H22)+Inputs!$D$21+Inputs!$B$73*$J22</f>
        <v>404569.79166666669</v>
      </c>
      <c r="DO22" s="38">
        <f t="shared" si="47"/>
        <v>475430.20833333331</v>
      </c>
      <c r="DP22" s="38">
        <f t="shared" si="48"/>
        <v>0</v>
      </c>
    </row>
    <row r="23" spans="1:120" x14ac:dyDescent="0.35">
      <c r="A23" s="29">
        <v>18</v>
      </c>
      <c r="B23" s="34">
        <f>EDATE(Inputs!$B$67,$A23)</f>
        <v>46813</v>
      </c>
      <c r="C23" s="35">
        <f>IF(Inputs!$E$47&lt;=0,Inputs!$E$46,Inputs!$E$44+(Inputs!$E$46-Inputs!$E$44)*MIN($A23/Inputs!$E$47,1))</f>
        <v>0.57499999999999996</v>
      </c>
      <c r="D23" s="35">
        <f>MIN(Inputs!$E$57,Inputs!$E$55*(1+Inputs!$E$56)^($A23/12))*Inputs!$E$58*(1+Inputs!$E$59)^($A23/12)/Inputs!$E$45</f>
        <v>0.69573098249251475</v>
      </c>
      <c r="E23" s="35">
        <f>MAX(Inputs!$E$44,MIN(C23,D23))</f>
        <v>0.57499999999999996</v>
      </c>
      <c r="F23" s="35">
        <f>IF(Inputs!$E$50&lt;=0,Inputs!$E$49,Inputs!$E$48+(Inputs!$E$49-Inputs!$E$48)*MIN($A23/Inputs!$E$50,1))</f>
        <v>6.9999999999999993E-2</v>
      </c>
      <c r="G23" s="36">
        <f>(Inputs!$E$41*(1-E23*Inputs!$E$51)+Inputs!$E$42*(1-F23*Inputs!$E$51))/(Inputs!$E$41*(1-Inputs!$E$44*Inputs!$E$51)+Inputs!$E$42*(1-Inputs!$E$48*Inputs!$E$51))</f>
        <v>0.89651773981603156</v>
      </c>
      <c r="H23" s="35">
        <f>IF(Inputs!$E$53&lt;=0,Inputs!$E$52,Inputs!$E$52*MIN($A23/Inputs!$E$53,1))</f>
        <v>3.7500000000000006E-2</v>
      </c>
      <c r="I23" s="35">
        <f>IF(Inputs!$E$64&lt;=0,Inputs!$E$63,Inputs!$E$62+(Inputs!$E$63-Inputs!$E$62)*MIN($A23/Inputs!$E$64,1))</f>
        <v>2.2499999999999999E-2</v>
      </c>
      <c r="J23" s="37">
        <f>(E23-Inputs!$E$44)*Inputs!$E$45/Inputs!$E$60*Inputs!$E$61</f>
        <v>4499.9999999999991</v>
      </c>
      <c r="K23" s="29">
        <f t="shared" si="0"/>
        <v>0</v>
      </c>
      <c r="L23" s="29"/>
      <c r="M23" s="38">
        <f>MAX(0,MIN(Inputs!$B$36,R22,N23+O23+P23+Inputs!$B$6-Q22))</f>
        <v>0</v>
      </c>
      <c r="N23" s="38">
        <f>Inputs!$B$27*(1+Inputs!$B$28)^($A23/12)*IF(Inputs!$B$70=1,$G23,1)*(1-Inputs!$C$70*$H23*(1-Inputs!$E$54*Inputs!$B$70))*(1+$I23)*IF(Inputs!$B$29=0,1,(MAX(Q22,0)/Inputs!$B$6)^Inputs!$B$29)</f>
        <v>16502.073774155062</v>
      </c>
      <c r="O23" s="38">
        <f>Inputs!$B$32*Q22/Inputs!$B$6</f>
        <v>9071.4601459941641</v>
      </c>
      <c r="P23" s="38">
        <f>Inputs!$B$33</f>
        <v>2500</v>
      </c>
      <c r="Q23" s="38">
        <f t="shared" si="1"/>
        <v>543092.47527207586</v>
      </c>
      <c r="R23" s="38">
        <f t="shared" si="2"/>
        <v>0</v>
      </c>
      <c r="S23" s="38">
        <f>Inputs!$B$19*(1-Inputs!$C$70*$H23)+Inputs!$B$21+Inputs!$B$70*$J23</f>
        <v>595000</v>
      </c>
      <c r="T23" s="38">
        <f t="shared" si="3"/>
        <v>-51907.524727924145</v>
      </c>
      <c r="U23" s="38">
        <f t="shared" si="4"/>
        <v>1</v>
      </c>
      <c r="V23" s="38">
        <f>MAX(0,MIN(Inputs!$C$36,AA22,W23+X23+Y23+Inputs!$C$6-Z22))</f>
        <v>21531.25</v>
      </c>
      <c r="W23" s="38">
        <f>Inputs!$C$27*(1+Inputs!$C$28)^($A23/12)*IF(Inputs!$B$70=1,$G23,1)*(1-Inputs!$C$70*$H23*(1-Inputs!$E$54*Inputs!$B$70))*(1+$I23)*IF(Inputs!$C$29=0,1,(MAX(Z22,0)/Inputs!$C$6)^Inputs!$C$29)</f>
        <v>12781.25</v>
      </c>
      <c r="X23" s="38">
        <f>Inputs!$C$32*Z22/Inputs!$C$6</f>
        <v>6749.9999999999991</v>
      </c>
      <c r="Y23" s="38">
        <f>Inputs!$C$33</f>
        <v>2000</v>
      </c>
      <c r="Z23" s="38">
        <f t="shared" si="5"/>
        <v>800000</v>
      </c>
      <c r="AA23" s="38">
        <f t="shared" si="6"/>
        <v>208828.125</v>
      </c>
      <c r="AB23" s="38">
        <f>Inputs!$C$19*(1-Inputs!$C$70*$H23)+Inputs!$C$21+Inputs!$B$70*$J23</f>
        <v>495000</v>
      </c>
      <c r="AC23" s="38">
        <f t="shared" si="7"/>
        <v>305000</v>
      </c>
      <c r="AD23" s="38">
        <f t="shared" si="8"/>
        <v>0</v>
      </c>
      <c r="AE23" s="38">
        <f>MAX(0,MIN(Inputs!$D$36,AJ22,AF23+AG23+AH23+Inputs!$D$6-AI22))</f>
        <v>15167.792356688762</v>
      </c>
      <c r="AF23" s="38">
        <f>Inputs!$D$27*(1+Inputs!$D$28)^($A23/12)*IF(Inputs!$B$70=1,$G23,1)*(1-Inputs!$C$70*$H23*(1-Inputs!$E$54*Inputs!$B$70))*(1+$I23)*IF(Inputs!$D$29=0,1,(MAX(AI22,0)/Inputs!$D$6)^Inputs!$D$29)</f>
        <v>9467.7923566888057</v>
      </c>
      <c r="AG23" s="38">
        <f>Inputs!$D$32*AI22/Inputs!$D$6</f>
        <v>4200</v>
      </c>
      <c r="AH23" s="38">
        <f>Inputs!$D$33</f>
        <v>1500</v>
      </c>
      <c r="AI23" s="38">
        <f t="shared" si="9"/>
        <v>880000</v>
      </c>
      <c r="AJ23" s="38">
        <f t="shared" si="10"/>
        <v>632492.29014535737</v>
      </c>
      <c r="AK23" s="38">
        <f>Inputs!$D$19*(1-Inputs!$C$70*$H23)+Inputs!$D$21+Inputs!$B$70*$J23</f>
        <v>404800</v>
      </c>
      <c r="AL23" s="38">
        <f t="shared" si="11"/>
        <v>475200</v>
      </c>
      <c r="AM23" s="38">
        <f t="shared" si="12"/>
        <v>0</v>
      </c>
      <c r="AN23" s="38">
        <f>MAX(0,MIN(Inputs!$B$36,AS22,AO23+AP23+AQ23+Inputs!$B$6-AR22))</f>
        <v>0</v>
      </c>
      <c r="AO23" s="38">
        <f>Inputs!$B$27*(1+Inputs!$B$28)^($A23/12)*IF(Inputs!$B$71=1,$G23,1)*(1-Inputs!$C$71*$H23*(1-Inputs!$E$54*Inputs!$B$71))*(1+$I23)*IF(Inputs!$B$29=0,1,(MAX(AR22,0)/Inputs!$B$6)^Inputs!$B$29)</f>
        <v>14794.401882282904</v>
      </c>
      <c r="AP23" s="38">
        <f>Inputs!$B$32*AR22/Inputs!$B$6</f>
        <v>9276.9206422677216</v>
      </c>
      <c r="AQ23" s="38">
        <f>Inputs!$B$33</f>
        <v>2500</v>
      </c>
      <c r="AR23" s="38">
        <f t="shared" si="13"/>
        <v>557531.08828489855</v>
      </c>
      <c r="AS23" s="38">
        <f t="shared" si="14"/>
        <v>0</v>
      </c>
      <c r="AT23" s="38">
        <f>Inputs!$B$19*(1-Inputs!$C$71*$H23)+Inputs!$B$21+Inputs!$B$71*$J23</f>
        <v>599500</v>
      </c>
      <c r="AU23" s="38">
        <f t="shared" si="15"/>
        <v>-41968.911715101451</v>
      </c>
      <c r="AV23" s="38">
        <f t="shared" si="16"/>
        <v>1</v>
      </c>
      <c r="AW23" s="38">
        <f>MAX(0,MIN(Inputs!$C$36,BB22,AX23+AY23+AZ23+Inputs!$C$6-BA22))</f>
        <v>20208.61736202368</v>
      </c>
      <c r="AX23" s="38">
        <f>Inputs!$C$27*(1+Inputs!$C$28)^($A23/12)*IF(Inputs!$B$71=1,$G23,1)*(1-Inputs!$C$71*$H23*(1-Inputs!$E$54*Inputs!$B$71))*(1+$I23)*IF(Inputs!$C$29=0,1,(MAX(BA22,0)/Inputs!$C$6)^Inputs!$C$29)</f>
        <v>11458.617362023653</v>
      </c>
      <c r="AY23" s="38">
        <f>Inputs!$C$32*BA22/Inputs!$C$6</f>
        <v>6749.9999999999991</v>
      </c>
      <c r="AZ23" s="38">
        <f>Inputs!$C$33</f>
        <v>2000</v>
      </c>
      <c r="BA23" s="38">
        <f t="shared" si="17"/>
        <v>800000</v>
      </c>
      <c r="BB23" s="38">
        <f t="shared" si="18"/>
        <v>221306.09138879762</v>
      </c>
      <c r="BC23" s="38">
        <f>Inputs!$C$19*(1-Inputs!$C$71*$H23)+Inputs!$C$21+Inputs!$B$71*$J23</f>
        <v>499500</v>
      </c>
      <c r="BD23" s="38">
        <f t="shared" si="19"/>
        <v>300500</v>
      </c>
      <c r="BE23" s="38">
        <f t="shared" si="20"/>
        <v>0</v>
      </c>
      <c r="BF23" s="38">
        <f>MAX(0,MIN(Inputs!$D$36,BK22,BG23+BH23+BI23+Inputs!$D$6-BJ22))</f>
        <v>14188.043804666144</v>
      </c>
      <c r="BG23" s="38">
        <f>Inputs!$D$27*(1+Inputs!$D$28)^($A23/12)*IF(Inputs!$B$71=1,$G23,1)*(1-Inputs!$C$71*$H23*(1-Inputs!$E$54*Inputs!$B$71))*(1+$I23)*IF(Inputs!$D$29=0,1,(MAX(BJ22,0)/Inputs!$D$6)^Inputs!$D$29)</f>
        <v>8488.0438046661475</v>
      </c>
      <c r="BH23" s="38">
        <f>Inputs!$D$32*BJ22/Inputs!$D$6</f>
        <v>4200</v>
      </c>
      <c r="BI23" s="38">
        <f>Inputs!$D$33</f>
        <v>1500</v>
      </c>
      <c r="BJ23" s="38">
        <f t="shared" si="21"/>
        <v>880000</v>
      </c>
      <c r="BK23" s="38">
        <f t="shared" si="22"/>
        <v>641962.73597866425</v>
      </c>
      <c r="BL23" s="38">
        <f>Inputs!$D$19*(1-Inputs!$C$71*$H23)+Inputs!$D$21+Inputs!$B$71*$J23</f>
        <v>409300</v>
      </c>
      <c r="BM23" s="38">
        <f t="shared" si="23"/>
        <v>470700</v>
      </c>
      <c r="BN23" s="38">
        <f t="shared" si="24"/>
        <v>0</v>
      </c>
      <c r="BO23" s="38">
        <f>MAX(0,MIN(Inputs!$B$36,BT22,BP23+BQ23+BR23+Inputs!$B$6-BS22))</f>
        <v>0</v>
      </c>
      <c r="BP23" s="38">
        <f>Inputs!$B$27*(1+Inputs!$B$28)^($A23/12)*IF(Inputs!$B$72=1,$G23,1)*(1-Inputs!$C$72*$H23*(1-Inputs!$E$54*Inputs!$B$72))*(1+$I23)*IF(Inputs!$B$29=0,1,(MAX(BS22,0)/Inputs!$B$6)^Inputs!$B$29)</f>
        <v>15883.246007624246</v>
      </c>
      <c r="BQ23" s="38">
        <f>Inputs!$B$32*BS22/Inputs!$B$6</f>
        <v>9145.9151163104416</v>
      </c>
      <c r="BR23" s="38">
        <f>Inputs!$B$33</f>
        <v>2500</v>
      </c>
      <c r="BS23" s="38">
        <f t="shared" si="25"/>
        <v>548324.75360672281</v>
      </c>
      <c r="BT23" s="38">
        <f t="shared" si="26"/>
        <v>0</v>
      </c>
      <c r="BU23" s="38">
        <f>Inputs!$B$19*(1-Inputs!$C$72*$H23)+Inputs!$B$21+Inputs!$B$72*$J23</f>
        <v>588437.5</v>
      </c>
      <c r="BV23" s="38">
        <f t="shared" si="27"/>
        <v>-40112.746393277193</v>
      </c>
      <c r="BW23" s="38">
        <f t="shared" si="28"/>
        <v>1</v>
      </c>
      <c r="BX23" s="38">
        <f>MAX(0,MIN(Inputs!$C$36,CC22,BY23+BZ23+CA23+Inputs!$C$6-CB22))</f>
        <v>21051.953125</v>
      </c>
      <c r="BY23" s="38">
        <f>Inputs!$C$27*(1+Inputs!$C$28)^($A23/12)*IF(Inputs!$B$72=1,$G23,1)*(1-Inputs!$C$72*$H23*(1-Inputs!$E$54*Inputs!$B$72))*(1+$I23)*IF(Inputs!$C$29=0,1,(MAX(CB22,0)/Inputs!$C$6)^Inputs!$C$29)</f>
        <v>12301.953125</v>
      </c>
      <c r="BZ23" s="38">
        <f>Inputs!$C$32*CB22/Inputs!$C$6</f>
        <v>6749.9999999999991</v>
      </c>
      <c r="CA23" s="38">
        <f>Inputs!$C$33</f>
        <v>2000</v>
      </c>
      <c r="CB23" s="38">
        <f t="shared" si="29"/>
        <v>800000</v>
      </c>
      <c r="CC23" s="38">
        <f t="shared" si="30"/>
        <v>213349.90234374977</v>
      </c>
      <c r="CD23" s="38">
        <f>Inputs!$C$19*(1-Inputs!$C$72*$H23)+Inputs!$C$21+Inputs!$B$72*$J23</f>
        <v>489375</v>
      </c>
      <c r="CE23" s="38">
        <f t="shared" si="31"/>
        <v>310625</v>
      </c>
      <c r="CF23" s="38">
        <f t="shared" si="32"/>
        <v>0</v>
      </c>
      <c r="CG23" s="38">
        <f>MAX(0,MIN(Inputs!$D$36,CL22,CH23+CI23+CJ23+Inputs!$D$6-CK22))</f>
        <v>14812.750143312966</v>
      </c>
      <c r="CH23" s="38">
        <f>Inputs!$D$27*(1+Inputs!$D$28)^($A23/12)*IF(Inputs!$B$72=1,$G23,1)*(1-Inputs!$C$72*$H23*(1-Inputs!$E$54*Inputs!$B$72))*(1+$I23)*IF(Inputs!$D$29=0,1,(MAX(CK22,0)/Inputs!$D$6)^Inputs!$D$29)</f>
        <v>9112.7501433129764</v>
      </c>
      <c r="CI23" s="38">
        <f>Inputs!$D$32*CK22/Inputs!$D$6</f>
        <v>4200</v>
      </c>
      <c r="CJ23" s="38">
        <f>Inputs!$D$33</f>
        <v>1500</v>
      </c>
      <c r="CK23" s="38">
        <f t="shared" si="33"/>
        <v>880000</v>
      </c>
      <c r="CL23" s="38">
        <f t="shared" si="34"/>
        <v>635924.19932590309</v>
      </c>
      <c r="CM23" s="38">
        <f>Inputs!$D$19*(1-Inputs!$C$72*$H23)+Inputs!$D$21+Inputs!$B$72*$J23</f>
        <v>400056.25</v>
      </c>
      <c r="CN23" s="38">
        <f t="shared" si="35"/>
        <v>479943.75</v>
      </c>
      <c r="CO23" s="38">
        <f t="shared" si="36"/>
        <v>0</v>
      </c>
      <c r="CP23" s="38">
        <f>MAX(0,MIN(Inputs!$B$36,CU22,CQ23+CR23+CS23+Inputs!$B$6-CT22))</f>
        <v>0</v>
      </c>
      <c r="CQ23" s="38">
        <f>Inputs!$B$27*(1+Inputs!$B$28)^($A23/12)*IF(Inputs!$B$73=1,$G23,1)*(1-Inputs!$C$73*$H23*(1-Inputs!$E$54*Inputs!$B$73))*(1+$I23)*IF(Inputs!$B$29=0,1,(MAX(CT22,0)/Inputs!$B$6)^Inputs!$B$29)</f>
        <v>14517.0068469901</v>
      </c>
      <c r="CR23" s="38">
        <f>Inputs!$B$32*CT22/Inputs!$B$6</f>
        <v>9311.5761575882752</v>
      </c>
      <c r="CS23" s="38">
        <f>Inputs!$B$33</f>
        <v>2500</v>
      </c>
      <c r="CT23" s="38">
        <f t="shared" si="37"/>
        <v>559955.84173246124</v>
      </c>
      <c r="CU23" s="38">
        <f t="shared" si="38"/>
        <v>0</v>
      </c>
      <c r="CV23" s="38">
        <f>Inputs!$B$19*(1-Inputs!$C$73*$H23)+Inputs!$B$21+Inputs!$B$73*$J23</f>
        <v>592937.5</v>
      </c>
      <c r="CW23" s="38">
        <f t="shared" si="39"/>
        <v>-32981.658267538762</v>
      </c>
      <c r="CX23" s="38">
        <f t="shared" si="40"/>
        <v>1</v>
      </c>
      <c r="CY23" s="38">
        <f>MAX(0,MIN(Inputs!$C$36,DD22,CZ23+DA23+DB23+Inputs!$C$6-DC22))</f>
        <v>19993.768286485691</v>
      </c>
      <c r="CZ23" s="38">
        <f>Inputs!$C$27*(1+Inputs!$C$28)^($A23/12)*IF(Inputs!$B$73=1,$G23,1)*(1-Inputs!$C$73*$H23*(1-Inputs!$E$54*Inputs!$B$73))*(1+$I23)*IF(Inputs!$C$29=0,1,(MAX(DC22,0)/Inputs!$C$6)^Inputs!$C$29)</f>
        <v>11243.768286485709</v>
      </c>
      <c r="DA23" s="38">
        <f>Inputs!$C$32*DC22/Inputs!$C$6</f>
        <v>6749.9999999999991</v>
      </c>
      <c r="DB23" s="38">
        <f>Inputs!$C$33</f>
        <v>2000</v>
      </c>
      <c r="DC23" s="38">
        <f t="shared" si="41"/>
        <v>800000</v>
      </c>
      <c r="DD23" s="38">
        <f t="shared" si="42"/>
        <v>223406.37061862205</v>
      </c>
      <c r="DE23" s="38">
        <f>Inputs!$C$19*(1-Inputs!$C$73*$H23)+Inputs!$C$21+Inputs!$B$73*$J23</f>
        <v>493875</v>
      </c>
      <c r="DF23" s="38">
        <f t="shared" si="43"/>
        <v>306125</v>
      </c>
      <c r="DG23" s="38">
        <f t="shared" si="44"/>
        <v>0</v>
      </c>
      <c r="DH23" s="38">
        <f>MAX(0,MIN(Inputs!$D$36,DM22,DI23+DJ23+DK23+Inputs!$D$6-DL22))</f>
        <v>14028.892983328667</v>
      </c>
      <c r="DI23" s="38">
        <f>Inputs!$D$27*(1+Inputs!$D$28)^($A23/12)*IF(Inputs!$B$73=1,$G23,1)*(1-Inputs!$C$73*$H23*(1-Inputs!$E$54*Inputs!$B$73))*(1+$I23)*IF(Inputs!$D$29=0,1,(MAX(DL22,0)/Inputs!$D$6)^Inputs!$D$29)</f>
        <v>8328.8929833286566</v>
      </c>
      <c r="DJ23" s="38">
        <f>Inputs!$D$32*DL22/Inputs!$D$6</f>
        <v>4200</v>
      </c>
      <c r="DK23" s="38">
        <f>Inputs!$D$33</f>
        <v>1500</v>
      </c>
      <c r="DL23" s="38">
        <f t="shared" si="45"/>
        <v>880000</v>
      </c>
      <c r="DM23" s="38">
        <f t="shared" si="46"/>
        <v>643557.59051043657</v>
      </c>
      <c r="DN23" s="38">
        <f>Inputs!$D$19*(1-Inputs!$C$73*$H23)+Inputs!$D$21+Inputs!$B$73*$J23</f>
        <v>404556.25</v>
      </c>
      <c r="DO23" s="38">
        <f t="shared" si="47"/>
        <v>475443.75</v>
      </c>
      <c r="DP23" s="38">
        <f t="shared" si="48"/>
        <v>0</v>
      </c>
    </row>
    <row r="24" spans="1:120" x14ac:dyDescent="0.35">
      <c r="A24" s="29">
        <v>19</v>
      </c>
      <c r="B24" s="34">
        <f>EDATE(Inputs!$B$67,$A24)</f>
        <v>46844</v>
      </c>
      <c r="C24" s="35">
        <f>IF(Inputs!$E$47&lt;=0,Inputs!$E$46,Inputs!$E$44+(Inputs!$E$46-Inputs!$E$44)*MIN($A24/Inputs!$E$47,1))</f>
        <v>0.59583333333333321</v>
      </c>
      <c r="D24" s="35">
        <f>MIN(Inputs!$E$57,Inputs!$E$55*(1+Inputs!$E$56)^($A24/12))*Inputs!$E$58*(1+Inputs!$E$59)^($A24/12)/Inputs!$E$45</f>
        <v>0.71551489705432625</v>
      </c>
      <c r="E24" s="35">
        <f>MAX(Inputs!$E$44,MIN(C24,D24))</f>
        <v>0.59583333333333321</v>
      </c>
      <c r="F24" s="35">
        <f>IF(Inputs!$E$50&lt;=0,Inputs!$E$49,Inputs!$E$48+(Inputs!$E$49-Inputs!$E$48)*MIN($A24/Inputs!$E$50,1))</f>
        <v>7.2777777777777775E-2</v>
      </c>
      <c r="G24" s="36">
        <f>(Inputs!$E$41*(1-E24*Inputs!$E$51)+Inputs!$E$42*(1-F24*Inputs!$E$51))/(Inputs!$E$41*(1-Inputs!$E$44*Inputs!$E$51)+Inputs!$E$42*(1-Inputs!$E$48*Inputs!$E$51))</f>
        <v>0.89076872536136664</v>
      </c>
      <c r="H24" s="35">
        <f>IF(Inputs!$E$53&lt;=0,Inputs!$E$52,Inputs!$E$52*MIN($A24/Inputs!$E$53,1))</f>
        <v>3.9583333333333331E-2</v>
      </c>
      <c r="I24" s="35">
        <f>IF(Inputs!$E$64&lt;=0,Inputs!$E$63,Inputs!$E$62+(Inputs!$E$63-Inputs!$E$62)*MIN($A24/Inputs!$E$64,1))</f>
        <v>2.3749999999999997E-2</v>
      </c>
      <c r="J24" s="37">
        <f>(E24-Inputs!$E$44)*Inputs!$E$45/Inputs!$E$60*Inputs!$E$61</f>
        <v>4749.9999999999982</v>
      </c>
      <c r="K24" s="29">
        <f t="shared" si="0"/>
        <v>0</v>
      </c>
      <c r="L24" s="29"/>
      <c r="M24" s="38">
        <f>MAX(0,MIN(Inputs!$B$36,R23,N24+O24+P24+Inputs!$B$6-Q23))</f>
        <v>0</v>
      </c>
      <c r="N24" s="38">
        <f>Inputs!$B$27*(1+Inputs!$B$28)^($A24/12)*IF(Inputs!$B$70=1,$G24,1)*(1-Inputs!$C$70*$H24*(1-Inputs!$E$54*Inputs!$B$70))*(1+$I24)*IF(Inputs!$B$29=0,1,(MAX(Q23,0)/Inputs!$B$6)^Inputs!$B$29)</f>
        <v>16589.561139805443</v>
      </c>
      <c r="O24" s="38">
        <f>Inputs!$B$32*Q23/Inputs!$B$6</f>
        <v>8625.5863719682638</v>
      </c>
      <c r="P24" s="38">
        <f>Inputs!$B$33</f>
        <v>2500</v>
      </c>
      <c r="Q24" s="38">
        <f t="shared" si="1"/>
        <v>515377.32776030211</v>
      </c>
      <c r="R24" s="38">
        <f t="shared" si="2"/>
        <v>0</v>
      </c>
      <c r="S24" s="38">
        <f>Inputs!$B$19*(1-Inputs!$C$70*$H24)+Inputs!$B$21+Inputs!$B$70*$J24</f>
        <v>595000</v>
      </c>
      <c r="T24" s="38">
        <f t="shared" si="3"/>
        <v>-79622.672239697888</v>
      </c>
      <c r="U24" s="38">
        <f t="shared" si="4"/>
        <v>1</v>
      </c>
      <c r="V24" s="38">
        <f>MAX(0,MIN(Inputs!$C$36,AA23,W24+X24+Y24+Inputs!$C$6-Z23))</f>
        <v>21546.875</v>
      </c>
      <c r="W24" s="38">
        <f>Inputs!$C$27*(1+Inputs!$C$28)^($A24/12)*IF(Inputs!$B$70=1,$G24,1)*(1-Inputs!$C$70*$H24*(1-Inputs!$E$54*Inputs!$B$70))*(1+$I24)*IF(Inputs!$C$29=0,1,(MAX(Z23,0)/Inputs!$C$6)^Inputs!$C$29)</f>
        <v>12796.875</v>
      </c>
      <c r="X24" s="38">
        <f>Inputs!$C$32*Z23/Inputs!$C$6</f>
        <v>6749.9999999999991</v>
      </c>
      <c r="Y24" s="38">
        <f>Inputs!$C$33</f>
        <v>2000</v>
      </c>
      <c r="Z24" s="38">
        <f t="shared" si="5"/>
        <v>800000</v>
      </c>
      <c r="AA24" s="38">
        <f t="shared" si="6"/>
        <v>187281.25</v>
      </c>
      <c r="AB24" s="38">
        <f>Inputs!$C$19*(1-Inputs!$C$70*$H24)+Inputs!$C$21+Inputs!$B$70*$J24</f>
        <v>495000</v>
      </c>
      <c r="AC24" s="38">
        <f t="shared" si="7"/>
        <v>305000</v>
      </c>
      <c r="AD24" s="38">
        <f t="shared" si="8"/>
        <v>0</v>
      </c>
      <c r="AE24" s="38">
        <f>MAX(0,MIN(Inputs!$D$36,AJ23,AF24+AG24+AH24+Inputs!$D$6-AI23))</f>
        <v>15138.93415429513</v>
      </c>
      <c r="AF24" s="38">
        <f>Inputs!$D$27*(1+Inputs!$D$28)^($A24/12)*IF(Inputs!$B$70=1,$G24,1)*(1-Inputs!$C$70*$H24*(1-Inputs!$E$54*Inputs!$B$70))*(1+$I24)*IF(Inputs!$D$29=0,1,(MAX(AI23,0)/Inputs!$D$6)^Inputs!$D$29)</f>
        <v>9438.9341542951206</v>
      </c>
      <c r="AG24" s="38">
        <f>Inputs!$D$32*AI23/Inputs!$D$6</f>
        <v>4200</v>
      </c>
      <c r="AH24" s="38">
        <f>Inputs!$D$33</f>
        <v>1500</v>
      </c>
      <c r="AI24" s="38">
        <f t="shared" si="9"/>
        <v>880000</v>
      </c>
      <c r="AJ24" s="38">
        <f t="shared" si="10"/>
        <v>617353.35599106224</v>
      </c>
      <c r="AK24" s="38">
        <f>Inputs!$D$19*(1-Inputs!$C$70*$H24)+Inputs!$D$21+Inputs!$B$70*$J24</f>
        <v>404800</v>
      </c>
      <c r="AL24" s="38">
        <f t="shared" si="11"/>
        <v>475200</v>
      </c>
      <c r="AM24" s="38">
        <f t="shared" si="12"/>
        <v>0</v>
      </c>
      <c r="AN24" s="38">
        <f>MAX(0,MIN(Inputs!$B$36,AS23,AO24+AP24+AQ24+Inputs!$B$6-AR23))</f>
        <v>0</v>
      </c>
      <c r="AO24" s="38">
        <f>Inputs!$B$27*(1+Inputs!$B$28)^($A24/12)*IF(Inputs!$B$71=1,$G24,1)*(1-Inputs!$C$71*$H24*(1-Inputs!$E$54*Inputs!$B$71))*(1+$I24)*IF(Inputs!$B$29=0,1,(MAX(AR23,0)/Inputs!$B$6)^Inputs!$B$29)</f>
        <v>14777.462230808955</v>
      </c>
      <c r="AP24" s="38">
        <f>Inputs!$B$32*AR23/Inputs!$B$6</f>
        <v>8854.9055198189762</v>
      </c>
      <c r="AQ24" s="38">
        <f>Inputs!$B$33</f>
        <v>2500</v>
      </c>
      <c r="AR24" s="38">
        <f t="shared" si="13"/>
        <v>531398.72053427063</v>
      </c>
      <c r="AS24" s="38">
        <f t="shared" si="14"/>
        <v>0</v>
      </c>
      <c r="AT24" s="38">
        <f>Inputs!$B$19*(1-Inputs!$C$71*$H24)+Inputs!$B$21+Inputs!$B$71*$J24</f>
        <v>599750</v>
      </c>
      <c r="AU24" s="38">
        <f t="shared" si="15"/>
        <v>-68351.279465729371</v>
      </c>
      <c r="AV24" s="38">
        <f t="shared" si="16"/>
        <v>1</v>
      </c>
      <c r="AW24" s="38">
        <f>MAX(0,MIN(Inputs!$C$36,BB23,AX24+AY24+AZ24+Inputs!$C$6-BA23))</f>
        <v>20149.056032358785</v>
      </c>
      <c r="AX24" s="38">
        <f>Inputs!$C$27*(1+Inputs!$C$28)^($A24/12)*IF(Inputs!$B$71=1,$G24,1)*(1-Inputs!$C$71*$H24*(1-Inputs!$E$54*Inputs!$B$71))*(1+$I24)*IF(Inputs!$C$29=0,1,(MAX(BA23,0)/Inputs!$C$6)^Inputs!$C$29)</f>
        <v>11399.056032358738</v>
      </c>
      <c r="AY24" s="38">
        <f>Inputs!$C$32*BA23/Inputs!$C$6</f>
        <v>6749.9999999999991</v>
      </c>
      <c r="AZ24" s="38">
        <f>Inputs!$C$33</f>
        <v>2000</v>
      </c>
      <c r="BA24" s="38">
        <f t="shared" si="17"/>
        <v>800000</v>
      </c>
      <c r="BB24" s="38">
        <f t="shared" si="18"/>
        <v>201157.03535643884</v>
      </c>
      <c r="BC24" s="38">
        <f>Inputs!$C$19*(1-Inputs!$C$71*$H24)+Inputs!$C$21+Inputs!$B$71*$J24</f>
        <v>499750</v>
      </c>
      <c r="BD24" s="38">
        <f t="shared" si="19"/>
        <v>300250</v>
      </c>
      <c r="BE24" s="38">
        <f t="shared" si="20"/>
        <v>0</v>
      </c>
      <c r="BF24" s="38">
        <f>MAX(0,MIN(Inputs!$D$36,BK23,BG24+BH24+BI24+Inputs!$D$6-BJ23))</f>
        <v>14107.907345391344</v>
      </c>
      <c r="BG24" s="38">
        <f>Inputs!$D$27*(1+Inputs!$D$28)^($A24/12)*IF(Inputs!$B$71=1,$G24,1)*(1-Inputs!$C$71*$H24*(1-Inputs!$E$54*Inputs!$B$71))*(1+$I24)*IF(Inputs!$D$29=0,1,(MAX(BJ23,0)/Inputs!$D$6)^Inputs!$D$29)</f>
        <v>8407.9073453913352</v>
      </c>
      <c r="BH24" s="38">
        <f>Inputs!$D$32*BJ23/Inputs!$D$6</f>
        <v>4200</v>
      </c>
      <c r="BI24" s="38">
        <f>Inputs!$D$33</f>
        <v>1500</v>
      </c>
      <c r="BJ24" s="38">
        <f t="shared" si="21"/>
        <v>880000</v>
      </c>
      <c r="BK24" s="38">
        <f t="shared" si="22"/>
        <v>627854.8286332729</v>
      </c>
      <c r="BL24" s="38">
        <f>Inputs!$D$19*(1-Inputs!$C$71*$H24)+Inputs!$D$21+Inputs!$B$71*$J24</f>
        <v>409550</v>
      </c>
      <c r="BM24" s="38">
        <f t="shared" si="23"/>
        <v>470450</v>
      </c>
      <c r="BN24" s="38">
        <f t="shared" si="24"/>
        <v>0</v>
      </c>
      <c r="BO24" s="38">
        <f>MAX(0,MIN(Inputs!$B$36,BT23,BP24+BQ24+BR24+Inputs!$B$6-BS23))</f>
        <v>0</v>
      </c>
      <c r="BP24" s="38">
        <f>Inputs!$B$27*(1+Inputs!$B$28)^($A24/12)*IF(Inputs!$B$72=1,$G24,1)*(1-Inputs!$C$72*$H24*(1-Inputs!$E$54*Inputs!$B$72))*(1+$I24)*IF(Inputs!$B$29=0,1,(MAX(BS23,0)/Inputs!$B$6)^Inputs!$B$29)</f>
        <v>15932.891011354812</v>
      </c>
      <c r="BQ24" s="38">
        <f>Inputs!$B$32*BS23/Inputs!$B$6</f>
        <v>8708.687263165597</v>
      </c>
      <c r="BR24" s="38">
        <f>Inputs!$B$33</f>
        <v>2500</v>
      </c>
      <c r="BS24" s="38">
        <f t="shared" si="25"/>
        <v>521183.17533220234</v>
      </c>
      <c r="BT24" s="38">
        <f t="shared" si="26"/>
        <v>0</v>
      </c>
      <c r="BU24" s="38">
        <f>Inputs!$B$19*(1-Inputs!$C$72*$H24)+Inputs!$B$21+Inputs!$B$72*$J24</f>
        <v>588072.91666666674</v>
      </c>
      <c r="BV24" s="38">
        <f t="shared" si="27"/>
        <v>-66889.741334464401</v>
      </c>
      <c r="BW24" s="38">
        <f t="shared" si="28"/>
        <v>1</v>
      </c>
      <c r="BX24" s="38">
        <f>MAX(0,MIN(Inputs!$C$36,CC23,BY24+BZ24+CA24+Inputs!$C$6-CB23))</f>
        <v>21040.33203125</v>
      </c>
      <c r="BY24" s="38">
        <f>Inputs!$C$27*(1+Inputs!$C$28)^($A24/12)*IF(Inputs!$B$72=1,$G24,1)*(1-Inputs!$C$72*$H24*(1-Inputs!$E$54*Inputs!$B$72))*(1+$I24)*IF(Inputs!$C$29=0,1,(MAX(CB23,0)/Inputs!$C$6)^Inputs!$C$29)</f>
        <v>12290.33203125</v>
      </c>
      <c r="BZ24" s="38">
        <f>Inputs!$C$32*CB23/Inputs!$C$6</f>
        <v>6749.9999999999991</v>
      </c>
      <c r="CA24" s="38">
        <f>Inputs!$C$33</f>
        <v>2000</v>
      </c>
      <c r="CB24" s="38">
        <f t="shared" si="29"/>
        <v>800000</v>
      </c>
      <c r="CC24" s="38">
        <f t="shared" si="30"/>
        <v>192309.57031249977</v>
      </c>
      <c r="CD24" s="38">
        <f>Inputs!$C$19*(1-Inputs!$C$72*$H24)+Inputs!$C$21+Inputs!$B$72*$J24</f>
        <v>489062.5</v>
      </c>
      <c r="CE24" s="38">
        <f t="shared" si="31"/>
        <v>310937.5</v>
      </c>
      <c r="CF24" s="38">
        <f t="shared" si="32"/>
        <v>0</v>
      </c>
      <c r="CG24" s="38">
        <f>MAX(0,MIN(Inputs!$D$36,CL23,CH24+CI24+CJ24+Inputs!$D$6-CK23))</f>
        <v>14765.309677354293</v>
      </c>
      <c r="CH24" s="38">
        <f>Inputs!$D$27*(1+Inputs!$D$28)^($A24/12)*IF(Inputs!$B$72=1,$G24,1)*(1-Inputs!$C$72*$H24*(1-Inputs!$E$54*Inputs!$B$72))*(1+$I24)*IF(Inputs!$D$29=0,1,(MAX(CK23,0)/Inputs!$D$6)^Inputs!$D$29)</f>
        <v>9065.3096773542729</v>
      </c>
      <c r="CI24" s="38">
        <f>Inputs!$D$32*CK23/Inputs!$D$6</f>
        <v>4200</v>
      </c>
      <c r="CJ24" s="38">
        <f>Inputs!$D$33</f>
        <v>1500</v>
      </c>
      <c r="CK24" s="38">
        <f t="shared" si="33"/>
        <v>880000</v>
      </c>
      <c r="CL24" s="38">
        <f t="shared" si="34"/>
        <v>621158.88964854879</v>
      </c>
      <c r="CM24" s="38">
        <f>Inputs!$D$19*(1-Inputs!$C$72*$H24)+Inputs!$D$21+Inputs!$B$72*$J24</f>
        <v>399792.70833333337</v>
      </c>
      <c r="CN24" s="38">
        <f t="shared" si="35"/>
        <v>480207.29166666663</v>
      </c>
      <c r="CO24" s="38">
        <f t="shared" si="36"/>
        <v>0</v>
      </c>
      <c r="CP24" s="38">
        <f>MAX(0,MIN(Inputs!$B$36,CU23,CQ24+CR24+CS24+Inputs!$B$6-CT23))</f>
        <v>0</v>
      </c>
      <c r="CQ24" s="38">
        <f>Inputs!$B$27*(1+Inputs!$B$28)^($A24/12)*IF(Inputs!$B$73=1,$G24,1)*(1-Inputs!$C$73*$H24*(1-Inputs!$E$54*Inputs!$B$73))*(1+$I24)*IF(Inputs!$B$29=0,1,(MAX(CT23,0)/Inputs!$B$6)^Inputs!$B$29)</f>
        <v>14484.991624157528</v>
      </c>
      <c r="CR24" s="38">
        <f>Inputs!$B$32*CT23/Inputs!$B$6</f>
        <v>8893.4163098685021</v>
      </c>
      <c r="CS24" s="38">
        <f>Inputs!$B$33</f>
        <v>2500</v>
      </c>
      <c r="CT24" s="38">
        <f t="shared" si="37"/>
        <v>534077.43379843526</v>
      </c>
      <c r="CU24" s="38">
        <f t="shared" si="38"/>
        <v>0</v>
      </c>
      <c r="CV24" s="38">
        <f>Inputs!$B$19*(1-Inputs!$C$73*$H24)+Inputs!$B$21+Inputs!$B$73*$J24</f>
        <v>592822.91666666674</v>
      </c>
      <c r="CW24" s="38">
        <f t="shared" si="39"/>
        <v>-58745.482868231484</v>
      </c>
      <c r="CX24" s="38">
        <f t="shared" si="40"/>
        <v>1</v>
      </c>
      <c r="CY24" s="38">
        <f>MAX(0,MIN(Inputs!$C$36,DD23,CZ24+DA24+DB24+Inputs!$C$6-DC23))</f>
        <v>19923.449715051684</v>
      </c>
      <c r="CZ24" s="38">
        <f>Inputs!$C$27*(1+Inputs!$C$28)^($A24/12)*IF(Inputs!$B$73=1,$G24,1)*(1-Inputs!$C$73*$H24*(1-Inputs!$E$54*Inputs!$B$73))*(1+$I24)*IF(Inputs!$C$29=0,1,(MAX(DC23,0)/Inputs!$C$6)^Inputs!$C$29)</f>
        <v>11173.44971505164</v>
      </c>
      <c r="DA24" s="38">
        <f>Inputs!$C$32*DC23/Inputs!$C$6</f>
        <v>6749.9999999999991</v>
      </c>
      <c r="DB24" s="38">
        <f>Inputs!$C$33</f>
        <v>2000</v>
      </c>
      <c r="DC24" s="38">
        <f t="shared" si="41"/>
        <v>800000</v>
      </c>
      <c r="DD24" s="38">
        <f t="shared" si="42"/>
        <v>203482.92090357037</v>
      </c>
      <c r="DE24" s="38">
        <f>Inputs!$C$19*(1-Inputs!$C$73*$H24)+Inputs!$C$21+Inputs!$B$73*$J24</f>
        <v>493812.5</v>
      </c>
      <c r="DF24" s="38">
        <f t="shared" si="43"/>
        <v>306187.5</v>
      </c>
      <c r="DG24" s="38">
        <f t="shared" si="44"/>
        <v>0</v>
      </c>
      <c r="DH24" s="38">
        <f>MAX(0,MIN(Inputs!$D$36,DM23,DI24+DJ24+DK24+Inputs!$D$6-DL23))</f>
        <v>13941.500845847186</v>
      </c>
      <c r="DI24" s="38">
        <f>Inputs!$D$27*(1+Inputs!$D$28)^($A24/12)*IF(Inputs!$B$73=1,$G24,1)*(1-Inputs!$C$73*$H24*(1-Inputs!$E$54*Inputs!$B$73))*(1+$I24)*IF(Inputs!$D$29=0,1,(MAX(DL23,0)/Inputs!$D$6)^Inputs!$D$29)</f>
        <v>8241.5008458471311</v>
      </c>
      <c r="DJ24" s="38">
        <f>Inputs!$D$32*DL23/Inputs!$D$6</f>
        <v>4200</v>
      </c>
      <c r="DK24" s="38">
        <f>Inputs!$D$33</f>
        <v>1500</v>
      </c>
      <c r="DL24" s="38">
        <f t="shared" si="45"/>
        <v>880000</v>
      </c>
      <c r="DM24" s="38">
        <f t="shared" si="46"/>
        <v>629616.08966458938</v>
      </c>
      <c r="DN24" s="38">
        <f>Inputs!$D$19*(1-Inputs!$C$73*$H24)+Inputs!$D$21+Inputs!$B$73*$J24</f>
        <v>404542.70833333337</v>
      </c>
      <c r="DO24" s="38">
        <f t="shared" si="47"/>
        <v>475457.29166666663</v>
      </c>
      <c r="DP24" s="38">
        <f t="shared" si="48"/>
        <v>0</v>
      </c>
    </row>
    <row r="25" spans="1:120" x14ac:dyDescent="0.35">
      <c r="A25" s="29">
        <v>20</v>
      </c>
      <c r="B25" s="34">
        <f>EDATE(Inputs!$B$67,$A25)</f>
        <v>46874</v>
      </c>
      <c r="C25" s="35">
        <f>IF(Inputs!$E$47&lt;=0,Inputs!$E$46,Inputs!$E$44+(Inputs!$E$46-Inputs!$E$44)*MIN($A25/Inputs!$E$47,1))</f>
        <v>0.6166666666666667</v>
      </c>
      <c r="D25" s="35">
        <f>MIN(Inputs!$E$57,Inputs!$E$55*(1+Inputs!$E$56)^($A25/12))*Inputs!$E$58*(1+Inputs!$E$59)^($A25/12)/Inputs!$E$45</f>
        <v>0.73586139009149443</v>
      </c>
      <c r="E25" s="35">
        <f>MAX(Inputs!$E$44,MIN(C25,D25))</f>
        <v>0.6166666666666667</v>
      </c>
      <c r="F25" s="35">
        <f>IF(Inputs!$E$50&lt;=0,Inputs!$E$49,Inputs!$E$48+(Inputs!$E$49-Inputs!$E$48)*MIN($A25/Inputs!$E$50,1))</f>
        <v>7.5555555555555556E-2</v>
      </c>
      <c r="G25" s="36">
        <f>(Inputs!$E$41*(1-E25*Inputs!$E$51)+Inputs!$E$42*(1-F25*Inputs!$E$51))/(Inputs!$E$41*(1-Inputs!$E$44*Inputs!$E$51)+Inputs!$E$42*(1-Inputs!$E$48*Inputs!$E$51))</f>
        <v>0.88501971090670173</v>
      </c>
      <c r="H25" s="35">
        <f>IF(Inputs!$E$53&lt;=0,Inputs!$E$52,Inputs!$E$52*MIN($A25/Inputs!$E$53,1))</f>
        <v>4.1666666666666671E-2</v>
      </c>
      <c r="I25" s="35">
        <f>IF(Inputs!$E$64&lt;=0,Inputs!$E$63,Inputs!$E$62+(Inputs!$E$63-Inputs!$E$62)*MIN($A25/Inputs!$E$64,1))</f>
        <v>2.5000000000000001E-2</v>
      </c>
      <c r="J25" s="37">
        <f>(E25-Inputs!$E$44)*Inputs!$E$45/Inputs!$E$60*Inputs!$E$61</f>
        <v>5000</v>
      </c>
      <c r="K25" s="29">
        <f t="shared" si="0"/>
        <v>0</v>
      </c>
      <c r="L25" s="29"/>
      <c r="M25" s="38">
        <f>MAX(0,MIN(Inputs!$B$36,R24,N25+O25+P25+Inputs!$B$6-Q24))</f>
        <v>0</v>
      </c>
      <c r="N25" s="38">
        <f>Inputs!$B$27*(1+Inputs!$B$28)^($A25/12)*IF(Inputs!$B$70=1,$G25,1)*(1-Inputs!$C$70*$H25*(1-Inputs!$E$54*Inputs!$B$70))*(1+$I25)*IF(Inputs!$B$29=0,1,(MAX(Q24,0)/Inputs!$B$6)^Inputs!$B$29)</f>
        <v>16677.48746475267</v>
      </c>
      <c r="O25" s="38">
        <f>Inputs!$B$32*Q24/Inputs!$B$6</f>
        <v>8185.4046173695042</v>
      </c>
      <c r="P25" s="38">
        <f>Inputs!$B$33</f>
        <v>2500</v>
      </c>
      <c r="Q25" s="38">
        <f t="shared" si="1"/>
        <v>488014.4356781799</v>
      </c>
      <c r="R25" s="38">
        <f t="shared" si="2"/>
        <v>0</v>
      </c>
      <c r="S25" s="38">
        <f>Inputs!$B$19*(1-Inputs!$C$70*$H25)+Inputs!$B$21+Inputs!$B$70*$J25</f>
        <v>595000</v>
      </c>
      <c r="T25" s="38">
        <f t="shared" si="3"/>
        <v>-106985.5643218201</v>
      </c>
      <c r="U25" s="38">
        <f t="shared" si="4"/>
        <v>1</v>
      </c>
      <c r="V25" s="38">
        <f>MAX(0,MIN(Inputs!$C$36,AA24,W25+X25+Y25+Inputs!$C$6-Z24))</f>
        <v>21562.5</v>
      </c>
      <c r="W25" s="38">
        <f>Inputs!$C$27*(1+Inputs!$C$28)^($A25/12)*IF(Inputs!$B$70=1,$G25,1)*(1-Inputs!$C$70*$H25*(1-Inputs!$E$54*Inputs!$B$70))*(1+$I25)*IF(Inputs!$C$29=0,1,(MAX(Z24,0)/Inputs!$C$6)^Inputs!$C$29)</f>
        <v>12812.499999999998</v>
      </c>
      <c r="X25" s="38">
        <f>Inputs!$C$32*Z24/Inputs!$C$6</f>
        <v>6749.9999999999991</v>
      </c>
      <c r="Y25" s="38">
        <f>Inputs!$C$33</f>
        <v>2000</v>
      </c>
      <c r="Z25" s="38">
        <f t="shared" si="5"/>
        <v>800000</v>
      </c>
      <c r="AA25" s="38">
        <f t="shared" si="6"/>
        <v>165718.75</v>
      </c>
      <c r="AB25" s="38">
        <f>Inputs!$C$19*(1-Inputs!$C$70*$H25)+Inputs!$C$21+Inputs!$B$70*$J25</f>
        <v>495000</v>
      </c>
      <c r="AC25" s="38">
        <f t="shared" si="7"/>
        <v>305000</v>
      </c>
      <c r="AD25" s="38">
        <f t="shared" si="8"/>
        <v>0</v>
      </c>
      <c r="AE25" s="38">
        <f>MAX(0,MIN(Inputs!$D$36,AJ24,AF25+AG25+AH25+Inputs!$D$6-AI24))</f>
        <v>15110.149883747799</v>
      </c>
      <c r="AF25" s="38">
        <f>Inputs!$D$27*(1+Inputs!$D$28)^($A25/12)*IF(Inputs!$B$70=1,$G25,1)*(1-Inputs!$C$70*$H25*(1-Inputs!$E$54*Inputs!$B$70))*(1+$I25)*IF(Inputs!$D$29=0,1,(MAX(AI24,0)/Inputs!$D$6)^Inputs!$D$29)</f>
        <v>9410.149883747803</v>
      </c>
      <c r="AG25" s="38">
        <f>Inputs!$D$32*AI24/Inputs!$D$6</f>
        <v>4200</v>
      </c>
      <c r="AH25" s="38">
        <f>Inputs!$D$33</f>
        <v>1500</v>
      </c>
      <c r="AI25" s="38">
        <f t="shared" si="9"/>
        <v>880000</v>
      </c>
      <c r="AJ25" s="38">
        <f t="shared" si="10"/>
        <v>602243.20610731444</v>
      </c>
      <c r="AK25" s="38">
        <f>Inputs!$D$19*(1-Inputs!$C$70*$H25)+Inputs!$D$21+Inputs!$B$70*$J25</f>
        <v>404800</v>
      </c>
      <c r="AL25" s="38">
        <f t="shared" si="11"/>
        <v>475200</v>
      </c>
      <c r="AM25" s="38">
        <f t="shared" si="12"/>
        <v>0</v>
      </c>
      <c r="AN25" s="38">
        <f>MAX(0,MIN(Inputs!$B$36,AS24,AO25+AP25+AQ25+Inputs!$B$6-AR24))</f>
        <v>0</v>
      </c>
      <c r="AO25" s="38">
        <f>Inputs!$B$27*(1+Inputs!$B$28)^($A25/12)*IF(Inputs!$B$71=1,$G25,1)*(1-Inputs!$C$71*$H25*(1-Inputs!$E$54*Inputs!$B$71))*(1+$I25)*IF(Inputs!$B$29=0,1,(MAX(AR24,0)/Inputs!$B$6)^Inputs!$B$29)</f>
        <v>14759.90513470555</v>
      </c>
      <c r="AP25" s="38">
        <f>Inputs!$B$32*AR24/Inputs!$B$6</f>
        <v>8439.8620320148857</v>
      </c>
      <c r="AQ25" s="38">
        <f>Inputs!$B$33</f>
        <v>2500</v>
      </c>
      <c r="AR25" s="38">
        <f t="shared" si="13"/>
        <v>505698.95336755022</v>
      </c>
      <c r="AS25" s="38">
        <f t="shared" si="14"/>
        <v>0</v>
      </c>
      <c r="AT25" s="38">
        <f>Inputs!$B$19*(1-Inputs!$C$71*$H25)+Inputs!$B$21+Inputs!$B$71*$J25</f>
        <v>600000</v>
      </c>
      <c r="AU25" s="38">
        <f t="shared" si="15"/>
        <v>-94301.046632449783</v>
      </c>
      <c r="AV25" s="38">
        <f t="shared" si="16"/>
        <v>1</v>
      </c>
      <c r="AW25" s="38">
        <f>MAX(0,MIN(Inputs!$C$36,BB24,AX25+AY25+AZ25+Inputs!$C$6-BA24))</f>
        <v>20089.315045992145</v>
      </c>
      <c r="AX25" s="38">
        <f>Inputs!$C$27*(1+Inputs!$C$28)^($A25/12)*IF(Inputs!$B$71=1,$G25,1)*(1-Inputs!$C$71*$H25*(1-Inputs!$E$54*Inputs!$B$71))*(1+$I25)*IF(Inputs!$C$29=0,1,(MAX(BA24,0)/Inputs!$C$6)^Inputs!$C$29)</f>
        <v>11339.315045992114</v>
      </c>
      <c r="AY25" s="38">
        <f>Inputs!$C$32*BA24/Inputs!$C$6</f>
        <v>6749.9999999999991</v>
      </c>
      <c r="AZ25" s="38">
        <f>Inputs!$C$33</f>
        <v>2000</v>
      </c>
      <c r="BA25" s="38">
        <f t="shared" si="17"/>
        <v>800000</v>
      </c>
      <c r="BB25" s="38">
        <f t="shared" si="18"/>
        <v>181067.72031044669</v>
      </c>
      <c r="BC25" s="38">
        <f>Inputs!$C$19*(1-Inputs!$C$71*$H25)+Inputs!$C$21+Inputs!$B$71*$J25</f>
        <v>500000</v>
      </c>
      <c r="BD25" s="38">
        <f t="shared" si="19"/>
        <v>300000</v>
      </c>
      <c r="BE25" s="38">
        <f t="shared" si="20"/>
        <v>0</v>
      </c>
      <c r="BF25" s="38">
        <f>MAX(0,MIN(Inputs!$D$36,BK24,BG25+BH25+BI25+Inputs!$D$6-BJ24))</f>
        <v>14028.168129703263</v>
      </c>
      <c r="BG25" s="38">
        <f>Inputs!$D$27*(1+Inputs!$D$28)^($A25/12)*IF(Inputs!$B$71=1,$G25,1)*(1-Inputs!$C$71*$H25*(1-Inputs!$E$54*Inputs!$B$71))*(1+$I25)*IF(Inputs!$D$29=0,1,(MAX(BJ24,0)/Inputs!$D$6)^Inputs!$D$29)</f>
        <v>8328.1681297032137</v>
      </c>
      <c r="BH25" s="38">
        <f>Inputs!$D$32*BJ24/Inputs!$D$6</f>
        <v>4200</v>
      </c>
      <c r="BI25" s="38">
        <f>Inputs!$D$33</f>
        <v>1500</v>
      </c>
      <c r="BJ25" s="38">
        <f t="shared" si="21"/>
        <v>880000</v>
      </c>
      <c r="BK25" s="38">
        <f t="shared" si="22"/>
        <v>613826.66050356964</v>
      </c>
      <c r="BL25" s="38">
        <f>Inputs!$D$19*(1-Inputs!$C$71*$H25)+Inputs!$D$21+Inputs!$B$71*$J25</f>
        <v>409800</v>
      </c>
      <c r="BM25" s="38">
        <f t="shared" si="23"/>
        <v>470200</v>
      </c>
      <c r="BN25" s="38">
        <f t="shared" si="24"/>
        <v>0</v>
      </c>
      <c r="BO25" s="38">
        <f>MAX(0,MIN(Inputs!$B$36,BT24,BP25+BQ25+BR25+Inputs!$B$6-BS24))</f>
        <v>0</v>
      </c>
      <c r="BP25" s="38">
        <f>Inputs!$B$27*(1+Inputs!$B$28)^($A25/12)*IF(Inputs!$B$72=1,$G25,1)*(1-Inputs!$C$72*$H25*(1-Inputs!$E$54*Inputs!$B$72))*(1+$I25)*IF(Inputs!$B$29=0,1,(MAX(BS24,0)/Inputs!$B$6)^Inputs!$B$29)</f>
        <v>15982.592153721309</v>
      </c>
      <c r="BQ25" s="38">
        <f>Inputs!$B$32*BS24/Inputs!$B$6</f>
        <v>8277.6151376290964</v>
      </c>
      <c r="BR25" s="38">
        <f>Inputs!$B$33</f>
        <v>2500</v>
      </c>
      <c r="BS25" s="38">
        <f t="shared" si="25"/>
        <v>494422.96804085193</v>
      </c>
      <c r="BT25" s="38">
        <f t="shared" si="26"/>
        <v>0</v>
      </c>
      <c r="BU25" s="38">
        <f>Inputs!$B$19*(1-Inputs!$C$72*$H25)+Inputs!$B$21+Inputs!$B$72*$J25</f>
        <v>587708.33333333337</v>
      </c>
      <c r="BV25" s="38">
        <f t="shared" si="27"/>
        <v>-93285.365292481438</v>
      </c>
      <c r="BW25" s="38">
        <f t="shared" si="28"/>
        <v>1</v>
      </c>
      <c r="BX25" s="38">
        <f>MAX(0,MIN(Inputs!$C$36,CC24,BY25+BZ25+CA25+Inputs!$C$6-CB24))</f>
        <v>21028.645833333372</v>
      </c>
      <c r="BY25" s="38">
        <f>Inputs!$C$27*(1+Inputs!$C$28)^($A25/12)*IF(Inputs!$B$72=1,$G25,1)*(1-Inputs!$C$72*$H25*(1-Inputs!$E$54*Inputs!$B$72))*(1+$I25)*IF(Inputs!$C$29=0,1,(MAX(CB24,0)/Inputs!$C$6)^Inputs!$C$29)</f>
        <v>12278.645833333334</v>
      </c>
      <c r="BZ25" s="38">
        <f>Inputs!$C$32*CB24/Inputs!$C$6</f>
        <v>6749.9999999999991</v>
      </c>
      <c r="CA25" s="38">
        <f>Inputs!$C$33</f>
        <v>2000</v>
      </c>
      <c r="CB25" s="38">
        <f t="shared" si="29"/>
        <v>800000</v>
      </c>
      <c r="CC25" s="38">
        <f t="shared" si="30"/>
        <v>171280.9244791664</v>
      </c>
      <c r="CD25" s="38">
        <f>Inputs!$C$19*(1-Inputs!$C$72*$H25)+Inputs!$C$21+Inputs!$B$72*$J25</f>
        <v>488750</v>
      </c>
      <c r="CE25" s="38">
        <f t="shared" si="31"/>
        <v>311250</v>
      </c>
      <c r="CF25" s="38">
        <f t="shared" si="32"/>
        <v>0</v>
      </c>
      <c r="CG25" s="38">
        <f>MAX(0,MIN(Inputs!$D$36,CL24,CH25+CI25+CJ25+Inputs!$D$6-CK24))</f>
        <v>14718.060305258259</v>
      </c>
      <c r="CH25" s="38">
        <f>Inputs!$D$27*(1+Inputs!$D$28)^($A25/12)*IF(Inputs!$B$72=1,$G25,1)*(1-Inputs!$C$72*$H25*(1-Inputs!$E$54*Inputs!$B$72))*(1+$I25)*IF(Inputs!$D$29=0,1,(MAX(CK24,0)/Inputs!$D$6)^Inputs!$D$29)</f>
        <v>9018.0603052583119</v>
      </c>
      <c r="CI25" s="38">
        <f>Inputs!$D$32*CK24/Inputs!$D$6</f>
        <v>4200</v>
      </c>
      <c r="CJ25" s="38">
        <f>Inputs!$D$33</f>
        <v>1500</v>
      </c>
      <c r="CK25" s="38">
        <f t="shared" si="33"/>
        <v>880000</v>
      </c>
      <c r="CL25" s="38">
        <f t="shared" si="34"/>
        <v>606440.82934329053</v>
      </c>
      <c r="CM25" s="38">
        <f>Inputs!$D$19*(1-Inputs!$C$72*$H25)+Inputs!$D$21+Inputs!$B$72*$J25</f>
        <v>399529.16666666669</v>
      </c>
      <c r="CN25" s="38">
        <f t="shared" si="35"/>
        <v>480470.83333333331</v>
      </c>
      <c r="CO25" s="38">
        <f t="shared" si="36"/>
        <v>0</v>
      </c>
      <c r="CP25" s="38">
        <f>MAX(0,MIN(Inputs!$B$36,CU24,CQ25+CR25+CS25+Inputs!$B$6-CT24))</f>
        <v>0</v>
      </c>
      <c r="CQ25" s="38">
        <f>Inputs!$B$27*(1+Inputs!$B$28)^($A25/12)*IF(Inputs!$B$73=1,$G25,1)*(1-Inputs!$C$73*$H25*(1-Inputs!$E$54*Inputs!$B$73))*(1+$I25)*IF(Inputs!$B$29=0,1,(MAX(CT24,0)/Inputs!$B$6)^Inputs!$B$29)</f>
        <v>14452.407111065851</v>
      </c>
      <c r="CR25" s="38">
        <f>Inputs!$B$32*CT24/Inputs!$B$6</f>
        <v>8482.4063015045595</v>
      </c>
      <c r="CS25" s="38">
        <f>Inputs!$B$33</f>
        <v>2500</v>
      </c>
      <c r="CT25" s="38">
        <f t="shared" si="37"/>
        <v>508642.62038586481</v>
      </c>
      <c r="CU25" s="38">
        <f t="shared" si="38"/>
        <v>0</v>
      </c>
      <c r="CV25" s="38">
        <f>Inputs!$B$19*(1-Inputs!$C$73*$H25)+Inputs!$B$21+Inputs!$B$73*$J25</f>
        <v>592708.33333333337</v>
      </c>
      <c r="CW25" s="38">
        <f t="shared" si="39"/>
        <v>-84065.712947468564</v>
      </c>
      <c r="CX25" s="38">
        <f t="shared" si="40"/>
        <v>1</v>
      </c>
      <c r="CY25" s="38">
        <f>MAX(0,MIN(Inputs!$C$36,DD24,CZ25+DA25+DB25+Inputs!$C$6-DC24))</f>
        <v>19853.079315867275</v>
      </c>
      <c r="CZ25" s="38">
        <f>Inputs!$C$27*(1+Inputs!$C$28)^($A25/12)*IF(Inputs!$B$73=1,$G25,1)*(1-Inputs!$C$73*$H25*(1-Inputs!$E$54*Inputs!$B$73))*(1+$I25)*IF(Inputs!$C$29=0,1,(MAX(DC24,0)/Inputs!$C$6)^Inputs!$C$29)</f>
        <v>11103.079315867279</v>
      </c>
      <c r="DA25" s="38">
        <f>Inputs!$C$32*DC24/Inputs!$C$6</f>
        <v>6749.9999999999991</v>
      </c>
      <c r="DB25" s="38">
        <f>Inputs!$C$33</f>
        <v>2000</v>
      </c>
      <c r="DC25" s="38">
        <f t="shared" si="41"/>
        <v>800000</v>
      </c>
      <c r="DD25" s="38">
        <f t="shared" si="42"/>
        <v>183629.84158770309</v>
      </c>
      <c r="DE25" s="38">
        <f>Inputs!$C$19*(1-Inputs!$C$73*$H25)+Inputs!$C$21+Inputs!$B$73*$J25</f>
        <v>493750</v>
      </c>
      <c r="DF25" s="38">
        <f t="shared" si="43"/>
        <v>306250</v>
      </c>
      <c r="DG25" s="38">
        <f t="shared" si="44"/>
        <v>0</v>
      </c>
      <c r="DH25" s="38">
        <f>MAX(0,MIN(Inputs!$D$36,DM24,DI25+DJ25+DK25+Inputs!$D$6-DL24))</f>
        <v>13854.664627001039</v>
      </c>
      <c r="DI25" s="38">
        <f>Inputs!$D$27*(1+Inputs!$D$28)^($A25/12)*IF(Inputs!$B$73=1,$G25,1)*(1-Inputs!$C$73*$H25*(1-Inputs!$E$54*Inputs!$B$73))*(1+$I25)*IF(Inputs!$D$29=0,1,(MAX(DL24,0)/Inputs!$D$6)^Inputs!$D$29)</f>
        <v>8154.6646270010633</v>
      </c>
      <c r="DJ25" s="38">
        <f>Inputs!$D$32*DL24/Inputs!$D$6</f>
        <v>4200</v>
      </c>
      <c r="DK25" s="38">
        <f>Inputs!$D$33</f>
        <v>1500</v>
      </c>
      <c r="DL25" s="38">
        <f t="shared" si="45"/>
        <v>880000</v>
      </c>
      <c r="DM25" s="38">
        <f t="shared" si="46"/>
        <v>615761.42503758834</v>
      </c>
      <c r="DN25" s="38">
        <f>Inputs!$D$19*(1-Inputs!$C$73*$H25)+Inputs!$D$21+Inputs!$B$73*$J25</f>
        <v>404529.16666666669</v>
      </c>
      <c r="DO25" s="38">
        <f t="shared" si="47"/>
        <v>475470.83333333331</v>
      </c>
      <c r="DP25" s="38">
        <f t="shared" si="48"/>
        <v>0</v>
      </c>
    </row>
    <row r="26" spans="1:120" x14ac:dyDescent="0.35">
      <c r="A26" s="29">
        <v>21</v>
      </c>
      <c r="B26" s="34">
        <f>EDATE(Inputs!$B$67,$A26)</f>
        <v>46905</v>
      </c>
      <c r="C26" s="35">
        <f>IF(Inputs!$E$47&lt;=0,Inputs!$E$46,Inputs!$E$44+(Inputs!$E$46-Inputs!$E$44)*MIN($A26/Inputs!$E$47,1))</f>
        <v>0.63749999999999996</v>
      </c>
      <c r="D26" s="35">
        <f>MIN(Inputs!$E$57,Inputs!$E$55*(1+Inputs!$E$56)^($A26/12))*Inputs!$E$58*(1+Inputs!$E$59)^($A26/12)/Inputs!$E$45</f>
        <v>0.75678645917315279</v>
      </c>
      <c r="E26" s="35">
        <f>MAX(Inputs!$E$44,MIN(C26,D26))</f>
        <v>0.63749999999999996</v>
      </c>
      <c r="F26" s="35">
        <f>IF(Inputs!$E$50&lt;=0,Inputs!$E$49,Inputs!$E$48+(Inputs!$E$49-Inputs!$E$48)*MIN($A26/Inputs!$E$50,1))</f>
        <v>7.8333333333333338E-2</v>
      </c>
      <c r="G26" s="36">
        <f>(Inputs!$E$41*(1-E26*Inputs!$E$51)+Inputs!$E$42*(1-F26*Inputs!$E$51))/(Inputs!$E$41*(1-Inputs!$E$44*Inputs!$E$51)+Inputs!$E$42*(1-Inputs!$E$48*Inputs!$E$51))</f>
        <v>0.87927069645203682</v>
      </c>
      <c r="H26" s="35">
        <f>IF(Inputs!$E$53&lt;=0,Inputs!$E$52,Inputs!$E$52*MIN($A26/Inputs!$E$53,1))</f>
        <v>4.3750000000000004E-2</v>
      </c>
      <c r="I26" s="35">
        <f>IF(Inputs!$E$64&lt;=0,Inputs!$E$63,Inputs!$E$62+(Inputs!$E$63-Inputs!$E$62)*MIN($A26/Inputs!$E$64,1))</f>
        <v>2.6249999999999999E-2</v>
      </c>
      <c r="J26" s="37">
        <f>(E26-Inputs!$E$44)*Inputs!$E$45/Inputs!$E$60*Inputs!$E$61</f>
        <v>5249.9999999999991</v>
      </c>
      <c r="K26" s="29">
        <f t="shared" si="0"/>
        <v>0</v>
      </c>
      <c r="L26" s="29"/>
      <c r="M26" s="38">
        <f>MAX(0,MIN(Inputs!$B$36,R25,N26+O26+P26+Inputs!$B$6-Q25))</f>
        <v>0</v>
      </c>
      <c r="N26" s="38">
        <f>Inputs!$B$27*(1+Inputs!$B$28)^($A26/12)*IF(Inputs!$B$70=1,$G26,1)*(1-Inputs!$C$70*$H26*(1-Inputs!$E$54*Inputs!$B$70))*(1+$I26)*IF(Inputs!$B$29=0,1,(MAX(Q25,0)/Inputs!$B$6)^Inputs!$B$29)</f>
        <v>16765.854873588079</v>
      </c>
      <c r="O26" s="38">
        <f>Inputs!$B$32*Q25/Inputs!$B$6</f>
        <v>7750.8175078299155</v>
      </c>
      <c r="P26" s="38">
        <f>Inputs!$B$33</f>
        <v>2500</v>
      </c>
      <c r="Q26" s="38">
        <f t="shared" si="1"/>
        <v>460997.7632967619</v>
      </c>
      <c r="R26" s="38">
        <f t="shared" si="2"/>
        <v>0</v>
      </c>
      <c r="S26" s="38">
        <f>Inputs!$B$19*(1-Inputs!$C$70*$H26)+Inputs!$B$21+Inputs!$B$70*$J26</f>
        <v>595000</v>
      </c>
      <c r="T26" s="38">
        <f t="shared" si="3"/>
        <v>-134002.2367032381</v>
      </c>
      <c r="U26" s="38">
        <f t="shared" si="4"/>
        <v>1</v>
      </c>
      <c r="V26" s="38">
        <f>MAX(0,MIN(Inputs!$C$36,AA25,W26+X26+Y26+Inputs!$C$6-Z25))</f>
        <v>21578.125</v>
      </c>
      <c r="W26" s="38">
        <f>Inputs!$C$27*(1+Inputs!$C$28)^($A26/12)*IF(Inputs!$B$70=1,$G26,1)*(1-Inputs!$C$70*$H26*(1-Inputs!$E$54*Inputs!$B$70))*(1+$I26)*IF(Inputs!$C$29=0,1,(MAX(Z25,0)/Inputs!$C$6)^Inputs!$C$29)</f>
        <v>12828.125000000002</v>
      </c>
      <c r="X26" s="38">
        <f>Inputs!$C$32*Z25/Inputs!$C$6</f>
        <v>6749.9999999999991</v>
      </c>
      <c r="Y26" s="38">
        <f>Inputs!$C$33</f>
        <v>2000</v>
      </c>
      <c r="Z26" s="38">
        <f t="shared" si="5"/>
        <v>800000</v>
      </c>
      <c r="AA26" s="38">
        <f t="shared" si="6"/>
        <v>144140.625</v>
      </c>
      <c r="AB26" s="38">
        <f>Inputs!$C$19*(1-Inputs!$C$70*$H26)+Inputs!$C$21+Inputs!$B$70*$J26</f>
        <v>495000</v>
      </c>
      <c r="AC26" s="38">
        <f t="shared" si="7"/>
        <v>305000</v>
      </c>
      <c r="AD26" s="38">
        <f t="shared" si="8"/>
        <v>0</v>
      </c>
      <c r="AE26" s="38">
        <f>MAX(0,MIN(Inputs!$D$36,AJ25,AF26+AG26+AH26+Inputs!$D$6-AI25))</f>
        <v>15081.4394393767</v>
      </c>
      <c r="AF26" s="38">
        <f>Inputs!$D$27*(1+Inputs!$D$28)^($A26/12)*IF(Inputs!$B$70=1,$G26,1)*(1-Inputs!$C$70*$H26*(1-Inputs!$E$54*Inputs!$B$70))*(1+$I26)*IF(Inputs!$D$29=0,1,(MAX(AI25,0)/Inputs!$D$6)^Inputs!$D$29)</f>
        <v>9381.4394393767361</v>
      </c>
      <c r="AG26" s="38">
        <f>Inputs!$D$32*AI25/Inputs!$D$6</f>
        <v>4200</v>
      </c>
      <c r="AH26" s="38">
        <f>Inputs!$D$33</f>
        <v>1500</v>
      </c>
      <c r="AI26" s="38">
        <f t="shared" si="9"/>
        <v>880000</v>
      </c>
      <c r="AJ26" s="38">
        <f t="shared" si="10"/>
        <v>587161.76666793774</v>
      </c>
      <c r="AK26" s="38">
        <f>Inputs!$D$19*(1-Inputs!$C$70*$H26)+Inputs!$D$21+Inputs!$B$70*$J26</f>
        <v>404800</v>
      </c>
      <c r="AL26" s="38">
        <f t="shared" si="11"/>
        <v>475200</v>
      </c>
      <c r="AM26" s="38">
        <f t="shared" si="12"/>
        <v>0</v>
      </c>
      <c r="AN26" s="38">
        <f>MAX(0,MIN(Inputs!$B$36,AS25,AO26+AP26+AQ26+Inputs!$B$6-AR25))</f>
        <v>0</v>
      </c>
      <c r="AO26" s="38">
        <f>Inputs!$B$27*(1+Inputs!$B$28)^($A26/12)*IF(Inputs!$B$71=1,$G26,1)*(1-Inputs!$C$71*$H26*(1-Inputs!$E$54*Inputs!$B$71))*(1+$I26)*IF(Inputs!$B$29=0,1,(MAX(AR25,0)/Inputs!$B$6)^Inputs!$B$29)</f>
        <v>14741.724891313565</v>
      </c>
      <c r="AP26" s="38">
        <f>Inputs!$B$32*AR25/Inputs!$B$6</f>
        <v>8031.6892593669736</v>
      </c>
      <c r="AQ26" s="38">
        <f>Inputs!$B$33</f>
        <v>2500</v>
      </c>
      <c r="AR26" s="38">
        <f t="shared" si="13"/>
        <v>480425.53921686969</v>
      </c>
      <c r="AS26" s="38">
        <f t="shared" si="14"/>
        <v>0</v>
      </c>
      <c r="AT26" s="38">
        <f>Inputs!$B$19*(1-Inputs!$C$71*$H26)+Inputs!$B$21+Inputs!$B$71*$J26</f>
        <v>600250</v>
      </c>
      <c r="AU26" s="38">
        <f t="shared" si="15"/>
        <v>-119824.46078313031</v>
      </c>
      <c r="AV26" s="38">
        <f t="shared" si="16"/>
        <v>1</v>
      </c>
      <c r="AW26" s="38">
        <f>MAX(0,MIN(Inputs!$C$36,BB25,AX26+AY26+AZ26+Inputs!$C$6-BA25))</f>
        <v>20029.394402923761</v>
      </c>
      <c r="AX26" s="38">
        <f>Inputs!$C$27*(1+Inputs!$C$28)^($A26/12)*IF(Inputs!$B$71=1,$G26,1)*(1-Inputs!$C$71*$H26*(1-Inputs!$E$54*Inputs!$B$71))*(1+$I26)*IF(Inputs!$C$29=0,1,(MAX(BA25,0)/Inputs!$C$6)^Inputs!$C$29)</f>
        <v>11279.394402923786</v>
      </c>
      <c r="AY26" s="38">
        <f>Inputs!$C$32*BA25/Inputs!$C$6</f>
        <v>6749.9999999999991</v>
      </c>
      <c r="AZ26" s="38">
        <f>Inputs!$C$33</f>
        <v>2000</v>
      </c>
      <c r="BA26" s="38">
        <f t="shared" si="17"/>
        <v>800000</v>
      </c>
      <c r="BB26" s="38">
        <f t="shared" si="18"/>
        <v>161038.32590752293</v>
      </c>
      <c r="BC26" s="38">
        <f>Inputs!$C$19*(1-Inputs!$C$71*$H26)+Inputs!$C$21+Inputs!$B$71*$J26</f>
        <v>500250</v>
      </c>
      <c r="BD26" s="38">
        <f t="shared" si="19"/>
        <v>299750</v>
      </c>
      <c r="BE26" s="38">
        <f t="shared" si="20"/>
        <v>0</v>
      </c>
      <c r="BF26" s="38">
        <f>MAX(0,MIN(Inputs!$D$36,BK25,BG26+BH26+BI26+Inputs!$D$6-BJ25))</f>
        <v>13948.824789583334</v>
      </c>
      <c r="BG26" s="38">
        <f>Inputs!$D$27*(1+Inputs!$D$28)^($A26/12)*IF(Inputs!$B$71=1,$G26,1)*(1-Inputs!$C$71*$H26*(1-Inputs!$E$54*Inputs!$B$71))*(1+$I26)*IF(Inputs!$D$29=0,1,(MAX(BJ25,0)/Inputs!$D$6)^Inputs!$D$29)</f>
        <v>8248.8247895833883</v>
      </c>
      <c r="BH26" s="38">
        <f>Inputs!$D$32*BJ25/Inputs!$D$6</f>
        <v>4200</v>
      </c>
      <c r="BI26" s="38">
        <f>Inputs!$D$33</f>
        <v>1500</v>
      </c>
      <c r="BJ26" s="38">
        <f t="shared" si="21"/>
        <v>880000</v>
      </c>
      <c r="BK26" s="38">
        <f t="shared" si="22"/>
        <v>599877.83571398631</v>
      </c>
      <c r="BL26" s="38">
        <f>Inputs!$D$19*(1-Inputs!$C$71*$H26)+Inputs!$D$21+Inputs!$B$71*$J26</f>
        <v>410050</v>
      </c>
      <c r="BM26" s="38">
        <f t="shared" si="23"/>
        <v>469950</v>
      </c>
      <c r="BN26" s="38">
        <f t="shared" si="24"/>
        <v>0</v>
      </c>
      <c r="BO26" s="38">
        <f>MAX(0,MIN(Inputs!$B$36,BT25,BP26+BQ26+BR26+Inputs!$B$6-BS25))</f>
        <v>0</v>
      </c>
      <c r="BP26" s="38">
        <f>Inputs!$B$27*(1+Inputs!$B$28)^($A26/12)*IF(Inputs!$B$72=1,$G26,1)*(1-Inputs!$C$72*$H26*(1-Inputs!$E$54*Inputs!$B$72))*(1+$I26)*IF(Inputs!$B$29=0,1,(MAX(BS25,0)/Inputs!$B$6)^Inputs!$B$29)</f>
        <v>16032.348722868601</v>
      </c>
      <c r="BQ26" s="38">
        <f>Inputs!$B$32*BS25/Inputs!$B$6</f>
        <v>7852.6000806488246</v>
      </c>
      <c r="BR26" s="38">
        <f>Inputs!$B$33</f>
        <v>2500</v>
      </c>
      <c r="BS26" s="38">
        <f t="shared" si="25"/>
        <v>468038.01923733449</v>
      </c>
      <c r="BT26" s="38">
        <f t="shared" si="26"/>
        <v>0</v>
      </c>
      <c r="BU26" s="38">
        <f>Inputs!$B$19*(1-Inputs!$C$72*$H26)+Inputs!$B$21+Inputs!$B$72*$J26</f>
        <v>587343.75</v>
      </c>
      <c r="BV26" s="38">
        <f t="shared" si="27"/>
        <v>-119305.73076266551</v>
      </c>
      <c r="BW26" s="38">
        <f t="shared" si="28"/>
        <v>1</v>
      </c>
      <c r="BX26" s="38">
        <f>MAX(0,MIN(Inputs!$C$36,CC25,BY26+BZ26+CA26+Inputs!$C$6-CB25))</f>
        <v>21016.89453125</v>
      </c>
      <c r="BY26" s="38">
        <f>Inputs!$C$27*(1+Inputs!$C$28)^($A26/12)*IF(Inputs!$B$72=1,$G26,1)*(1-Inputs!$C$72*$H26*(1-Inputs!$E$54*Inputs!$B$72))*(1+$I26)*IF(Inputs!$C$29=0,1,(MAX(CB25,0)/Inputs!$C$6)^Inputs!$C$29)</f>
        <v>12266.894531250002</v>
      </c>
      <c r="BZ26" s="38">
        <f>Inputs!$C$32*CB25/Inputs!$C$6</f>
        <v>6749.9999999999991</v>
      </c>
      <c r="CA26" s="38">
        <f>Inputs!$C$33</f>
        <v>2000</v>
      </c>
      <c r="CB26" s="38">
        <f t="shared" si="29"/>
        <v>800000</v>
      </c>
      <c r="CC26" s="38">
        <f t="shared" si="30"/>
        <v>150264.0299479164</v>
      </c>
      <c r="CD26" s="38">
        <f>Inputs!$C$19*(1-Inputs!$C$72*$H26)+Inputs!$C$21+Inputs!$B$72*$J26</f>
        <v>488437.5</v>
      </c>
      <c r="CE26" s="38">
        <f t="shared" si="31"/>
        <v>311562.5</v>
      </c>
      <c r="CF26" s="38">
        <f t="shared" si="32"/>
        <v>0</v>
      </c>
      <c r="CG26" s="38">
        <f>MAX(0,MIN(Inputs!$D$36,CL25,CH26+CI26+CJ26+Inputs!$D$6-CK25))</f>
        <v>14671.001463904046</v>
      </c>
      <c r="CH26" s="38">
        <f>Inputs!$D$27*(1+Inputs!$D$28)^($A26/12)*IF(Inputs!$B$72=1,$G26,1)*(1-Inputs!$C$72*$H26*(1-Inputs!$E$54*Inputs!$B$72))*(1+$I26)*IF(Inputs!$D$29=0,1,(MAX(CK25,0)/Inputs!$D$6)^Inputs!$D$29)</f>
        <v>8971.0014639040037</v>
      </c>
      <c r="CI26" s="38">
        <f>Inputs!$D$32*CK25/Inputs!$D$6</f>
        <v>4200</v>
      </c>
      <c r="CJ26" s="38">
        <f>Inputs!$D$33</f>
        <v>1500</v>
      </c>
      <c r="CK26" s="38">
        <f t="shared" si="33"/>
        <v>880000</v>
      </c>
      <c r="CL26" s="38">
        <f t="shared" si="34"/>
        <v>591769.82787938649</v>
      </c>
      <c r="CM26" s="38">
        <f>Inputs!$D$19*(1-Inputs!$C$72*$H26)+Inputs!$D$21+Inputs!$B$72*$J26</f>
        <v>399265.625</v>
      </c>
      <c r="CN26" s="38">
        <f t="shared" si="35"/>
        <v>480734.375</v>
      </c>
      <c r="CO26" s="38">
        <f t="shared" si="36"/>
        <v>0</v>
      </c>
      <c r="CP26" s="38">
        <f>MAX(0,MIN(Inputs!$B$36,CU25,CQ26+CR26+CS26+Inputs!$B$6-CT25))</f>
        <v>0</v>
      </c>
      <c r="CQ26" s="38">
        <f>Inputs!$B$27*(1+Inputs!$B$28)^($A26/12)*IF(Inputs!$B$73=1,$G26,1)*(1-Inputs!$C$73*$H26*(1-Inputs!$E$54*Inputs!$B$73))*(1+$I26)*IF(Inputs!$B$29=0,1,(MAX(CT25,0)/Inputs!$B$6)^Inputs!$B$29)</f>
        <v>14419.249659316081</v>
      </c>
      <c r="CR26" s="38">
        <f>Inputs!$B$32*CT25/Inputs!$B$6</f>
        <v>8078.4416178931478</v>
      </c>
      <c r="CS26" s="38">
        <f>Inputs!$B$33</f>
        <v>2500</v>
      </c>
      <c r="CT26" s="38">
        <f t="shared" si="37"/>
        <v>483644.92910865555</v>
      </c>
      <c r="CU26" s="38">
        <f t="shared" si="38"/>
        <v>0</v>
      </c>
      <c r="CV26" s="38">
        <f>Inputs!$B$19*(1-Inputs!$C$73*$H26)+Inputs!$B$21+Inputs!$B$73*$J26</f>
        <v>592593.75</v>
      </c>
      <c r="CW26" s="38">
        <f t="shared" si="39"/>
        <v>-108948.82089134445</v>
      </c>
      <c r="CX26" s="38">
        <f t="shared" si="40"/>
        <v>1</v>
      </c>
      <c r="CY26" s="38">
        <f>MAX(0,MIN(Inputs!$C$36,DD25,CZ26+DA26+DB26+Inputs!$C$6-DC25))</f>
        <v>19782.65765035979</v>
      </c>
      <c r="CZ26" s="38">
        <f>Inputs!$C$27*(1+Inputs!$C$28)^($A26/12)*IF(Inputs!$B$73=1,$G26,1)*(1-Inputs!$C$73*$H26*(1-Inputs!$E$54*Inputs!$B$73))*(1+$I26)*IF(Inputs!$C$29=0,1,(MAX(DC25,0)/Inputs!$C$6)^Inputs!$C$29)</f>
        <v>11032.657650359828</v>
      </c>
      <c r="DA26" s="38">
        <f>Inputs!$C$32*DC25/Inputs!$C$6</f>
        <v>6749.9999999999991</v>
      </c>
      <c r="DB26" s="38">
        <f>Inputs!$C$33</f>
        <v>2000</v>
      </c>
      <c r="DC26" s="38">
        <f t="shared" si="41"/>
        <v>800000</v>
      </c>
      <c r="DD26" s="38">
        <f t="shared" si="42"/>
        <v>163847.1839373433</v>
      </c>
      <c r="DE26" s="38">
        <f>Inputs!$C$19*(1-Inputs!$C$73*$H26)+Inputs!$C$21+Inputs!$B$73*$J26</f>
        <v>493687.5</v>
      </c>
      <c r="DF26" s="38">
        <f t="shared" si="43"/>
        <v>306312.5</v>
      </c>
      <c r="DG26" s="38">
        <f t="shared" si="44"/>
        <v>0</v>
      </c>
      <c r="DH26" s="38">
        <f>MAX(0,MIN(Inputs!$D$36,DM25,DI26+DJ26+DK26+Inputs!$D$6-DL25))</f>
        <v>13768.381747311214</v>
      </c>
      <c r="DI26" s="38">
        <f>Inputs!$D$27*(1+Inputs!$D$28)^($A26/12)*IF(Inputs!$B$73=1,$G26,1)*(1-Inputs!$C$73*$H26*(1-Inputs!$E$54*Inputs!$B$73))*(1+$I26)*IF(Inputs!$D$29=0,1,(MAX(DL25,0)/Inputs!$D$6)^Inputs!$D$29)</f>
        <v>8068.3817473112522</v>
      </c>
      <c r="DJ26" s="38">
        <f>Inputs!$D$32*DL25/Inputs!$D$6</f>
        <v>4200</v>
      </c>
      <c r="DK26" s="38">
        <f>Inputs!$D$33</f>
        <v>1500</v>
      </c>
      <c r="DL26" s="38">
        <f t="shared" si="45"/>
        <v>880000</v>
      </c>
      <c r="DM26" s="38">
        <f t="shared" si="46"/>
        <v>601993.04329027713</v>
      </c>
      <c r="DN26" s="38">
        <f>Inputs!$D$19*(1-Inputs!$C$73*$H26)+Inputs!$D$21+Inputs!$B$73*$J26</f>
        <v>404515.625</v>
      </c>
      <c r="DO26" s="38">
        <f t="shared" si="47"/>
        <v>475484.375</v>
      </c>
      <c r="DP26" s="38">
        <f t="shared" si="48"/>
        <v>0</v>
      </c>
    </row>
    <row r="27" spans="1:120" x14ac:dyDescent="0.35">
      <c r="A27" s="29">
        <v>22</v>
      </c>
      <c r="B27" s="34">
        <f>EDATE(Inputs!$B$67,$A27)</f>
        <v>46935</v>
      </c>
      <c r="C27" s="35">
        <f>IF(Inputs!$E$47&lt;=0,Inputs!$E$46,Inputs!$E$44+(Inputs!$E$46-Inputs!$E$44)*MIN($A27/Inputs!$E$47,1))</f>
        <v>0.65833333333333321</v>
      </c>
      <c r="D27" s="35">
        <f>MIN(Inputs!$E$57,Inputs!$E$55*(1+Inputs!$E$56)^($A27/12))*Inputs!$E$58*(1+Inputs!$E$59)^($A27/12)/Inputs!$E$45</f>
        <v>0.77830655677780225</v>
      </c>
      <c r="E27" s="35">
        <f>MAX(Inputs!$E$44,MIN(C27,D27))</f>
        <v>0.65833333333333321</v>
      </c>
      <c r="F27" s="35">
        <f>IF(Inputs!$E$50&lt;=0,Inputs!$E$49,Inputs!$E$48+(Inputs!$E$49-Inputs!$E$48)*MIN($A27/Inputs!$E$50,1))</f>
        <v>8.1111111111111106E-2</v>
      </c>
      <c r="G27" s="36">
        <f>(Inputs!$E$41*(1-E27*Inputs!$E$51)+Inputs!$E$42*(1-F27*Inputs!$E$51))/(Inputs!$E$41*(1-Inputs!$E$44*Inputs!$E$51)+Inputs!$E$42*(1-Inputs!$E$48*Inputs!$E$51))</f>
        <v>0.87352168199737179</v>
      </c>
      <c r="H27" s="35">
        <f>IF(Inputs!$E$53&lt;=0,Inputs!$E$52,Inputs!$E$52*MIN($A27/Inputs!$E$53,1))</f>
        <v>4.5833333333333337E-2</v>
      </c>
      <c r="I27" s="35">
        <f>IF(Inputs!$E$64&lt;=0,Inputs!$E$63,Inputs!$E$62+(Inputs!$E$63-Inputs!$E$62)*MIN($A27/Inputs!$E$64,1))</f>
        <v>2.7499999999999997E-2</v>
      </c>
      <c r="J27" s="37">
        <f>(E27-Inputs!$E$44)*Inputs!$E$45/Inputs!$E$60*Inputs!$E$61</f>
        <v>5499.9999999999982</v>
      </c>
      <c r="K27" s="29">
        <f t="shared" si="0"/>
        <v>0</v>
      </c>
      <c r="L27" s="29"/>
      <c r="M27" s="38">
        <f>MAX(0,MIN(Inputs!$B$36,R26,N27+O27+P27+Inputs!$B$6-Q26))</f>
        <v>0</v>
      </c>
      <c r="N27" s="38">
        <f>Inputs!$B$27*(1+Inputs!$B$28)^($A27/12)*IF(Inputs!$B$70=1,$G27,1)*(1-Inputs!$C$70*$H27*(1-Inputs!$E$54*Inputs!$B$70))*(1+$I27)*IF(Inputs!$B$29=0,1,(MAX(Q26,0)/Inputs!$B$6)^Inputs!$B$29)</f>
        <v>16854.665500928633</v>
      </c>
      <c r="O27" s="38">
        <f>Inputs!$B$32*Q26/Inputs!$B$6</f>
        <v>7321.7291817721007</v>
      </c>
      <c r="P27" s="38">
        <f>Inputs!$B$33</f>
        <v>2500</v>
      </c>
      <c r="Q27" s="38">
        <f t="shared" si="1"/>
        <v>434321.36861406115</v>
      </c>
      <c r="R27" s="38">
        <f t="shared" si="2"/>
        <v>0</v>
      </c>
      <c r="S27" s="38">
        <f>Inputs!$B$19*(1-Inputs!$C$70*$H27)+Inputs!$B$21+Inputs!$B$70*$J27</f>
        <v>595000</v>
      </c>
      <c r="T27" s="38">
        <f t="shared" si="3"/>
        <v>-160678.63138593885</v>
      </c>
      <c r="U27" s="38">
        <f t="shared" si="4"/>
        <v>1</v>
      </c>
      <c r="V27" s="38">
        <f>MAX(0,MIN(Inputs!$C$36,AA26,W27+X27+Y27+Inputs!$C$6-Z26))</f>
        <v>21593.75</v>
      </c>
      <c r="W27" s="38">
        <f>Inputs!$C$27*(1+Inputs!$C$28)^($A27/12)*IF(Inputs!$B$70=1,$G27,1)*(1-Inputs!$C$70*$H27*(1-Inputs!$E$54*Inputs!$B$70))*(1+$I27)*IF(Inputs!$C$29=0,1,(MAX(Z26,0)/Inputs!$C$6)^Inputs!$C$29)</f>
        <v>12843.750000000002</v>
      </c>
      <c r="X27" s="38">
        <f>Inputs!$C$32*Z26/Inputs!$C$6</f>
        <v>6749.9999999999991</v>
      </c>
      <c r="Y27" s="38">
        <f>Inputs!$C$33</f>
        <v>2000</v>
      </c>
      <c r="Z27" s="38">
        <f t="shared" si="5"/>
        <v>800000</v>
      </c>
      <c r="AA27" s="38">
        <f t="shared" si="6"/>
        <v>122546.875</v>
      </c>
      <c r="AB27" s="38">
        <f>Inputs!$C$19*(1-Inputs!$C$70*$H27)+Inputs!$C$21+Inputs!$B$70*$J27</f>
        <v>495000</v>
      </c>
      <c r="AC27" s="38">
        <f t="shared" si="7"/>
        <v>305000</v>
      </c>
      <c r="AD27" s="38">
        <f t="shared" si="8"/>
        <v>0</v>
      </c>
      <c r="AE27" s="38">
        <f>MAX(0,MIN(Inputs!$D$36,AJ26,AF27+AG27+AH27+Inputs!$D$6-AI26))</f>
        <v>15052.802715068217</v>
      </c>
      <c r="AF27" s="38">
        <f>Inputs!$D$27*(1+Inputs!$D$28)^($A27/12)*IF(Inputs!$B$70=1,$G27,1)*(1-Inputs!$C$70*$H27*(1-Inputs!$E$54*Inputs!$B$70))*(1+$I27)*IF(Inputs!$D$29=0,1,(MAX(AI26,0)/Inputs!$D$6)^Inputs!$D$29)</f>
        <v>9352.8027150681992</v>
      </c>
      <c r="AG27" s="38">
        <f>Inputs!$D$32*AI26/Inputs!$D$6</f>
        <v>4200</v>
      </c>
      <c r="AH27" s="38">
        <f>Inputs!$D$33</f>
        <v>1500</v>
      </c>
      <c r="AI27" s="38">
        <f t="shared" si="9"/>
        <v>880000</v>
      </c>
      <c r="AJ27" s="38">
        <f t="shared" si="10"/>
        <v>572108.96395286953</v>
      </c>
      <c r="AK27" s="38">
        <f>Inputs!$D$19*(1-Inputs!$C$70*$H27)+Inputs!$D$21+Inputs!$B$70*$J27</f>
        <v>404800</v>
      </c>
      <c r="AL27" s="38">
        <f t="shared" si="11"/>
        <v>475200</v>
      </c>
      <c r="AM27" s="38">
        <f t="shared" si="12"/>
        <v>0</v>
      </c>
      <c r="AN27" s="38">
        <f>MAX(0,MIN(Inputs!$B$36,AS26,AO27+AP27+AQ27+Inputs!$B$6-AR26))</f>
        <v>0</v>
      </c>
      <c r="AO27" s="38">
        <f>Inputs!$B$27*(1+Inputs!$B$28)^($A27/12)*IF(Inputs!$B$71=1,$G27,1)*(1-Inputs!$C$71*$H27*(1-Inputs!$E$54*Inputs!$B$71))*(1+$I27)*IF(Inputs!$B$29=0,1,(MAX(AR26,0)/Inputs!$B$6)^Inputs!$B$29)</f>
        <v>14722.915757874256</v>
      </c>
      <c r="AP27" s="38">
        <f>Inputs!$B$32*AR26/Inputs!$B$6</f>
        <v>7630.2879757973415</v>
      </c>
      <c r="AQ27" s="38">
        <f>Inputs!$B$33</f>
        <v>2500</v>
      </c>
      <c r="AR27" s="38">
        <f t="shared" si="13"/>
        <v>455572.33548319811</v>
      </c>
      <c r="AS27" s="38">
        <f t="shared" si="14"/>
        <v>0</v>
      </c>
      <c r="AT27" s="38">
        <f>Inputs!$B$19*(1-Inputs!$C$71*$H27)+Inputs!$B$21+Inputs!$B$71*$J27</f>
        <v>600500</v>
      </c>
      <c r="AU27" s="38">
        <f t="shared" si="15"/>
        <v>-144927.66451680189</v>
      </c>
      <c r="AV27" s="38">
        <f t="shared" si="16"/>
        <v>1</v>
      </c>
      <c r="AW27" s="38">
        <f>MAX(0,MIN(Inputs!$C$36,BB26,AX27+AY27+AZ27+Inputs!$C$6-BA26))</f>
        <v>19969.294103153748</v>
      </c>
      <c r="AX27" s="38">
        <f>Inputs!$C$27*(1+Inputs!$C$28)^($A27/12)*IF(Inputs!$B$71=1,$G27,1)*(1-Inputs!$C$71*$H27*(1-Inputs!$E$54*Inputs!$B$71))*(1+$I27)*IF(Inputs!$C$29=0,1,(MAX(BA26,0)/Inputs!$C$6)^Inputs!$C$29)</f>
        <v>11219.294103153745</v>
      </c>
      <c r="AY27" s="38">
        <f>Inputs!$C$32*BA26/Inputs!$C$6</f>
        <v>6749.9999999999991</v>
      </c>
      <c r="AZ27" s="38">
        <f>Inputs!$C$33</f>
        <v>2000</v>
      </c>
      <c r="BA27" s="38">
        <f t="shared" si="17"/>
        <v>800000</v>
      </c>
      <c r="BB27" s="38">
        <f t="shared" si="18"/>
        <v>141069.03180436918</v>
      </c>
      <c r="BC27" s="38">
        <f>Inputs!$C$19*(1-Inputs!$C$71*$H27)+Inputs!$C$21+Inputs!$B$71*$J27</f>
        <v>500500</v>
      </c>
      <c r="BD27" s="38">
        <f t="shared" si="19"/>
        <v>299500</v>
      </c>
      <c r="BE27" s="38">
        <f t="shared" si="20"/>
        <v>0</v>
      </c>
      <c r="BF27" s="38">
        <f>MAX(0,MIN(Inputs!$D$36,BK26,BG27+BH27+BI27+Inputs!$D$6-BJ26))</f>
        <v>13869.875959055964</v>
      </c>
      <c r="BG27" s="38">
        <f>Inputs!$D$27*(1+Inputs!$D$28)^($A27/12)*IF(Inputs!$B$71=1,$G27,1)*(1-Inputs!$C$71*$H27*(1-Inputs!$E$54*Inputs!$B$71))*(1+$I27)*IF(Inputs!$D$29=0,1,(MAX(BJ26,0)/Inputs!$D$6)^Inputs!$D$29)</f>
        <v>8169.8759590559584</v>
      </c>
      <c r="BH27" s="38">
        <f>Inputs!$D$32*BJ26/Inputs!$D$6</f>
        <v>4200</v>
      </c>
      <c r="BI27" s="38">
        <f>Inputs!$D$33</f>
        <v>1500</v>
      </c>
      <c r="BJ27" s="38">
        <f t="shared" si="21"/>
        <v>880000</v>
      </c>
      <c r="BK27" s="38">
        <f t="shared" si="22"/>
        <v>586007.95975493034</v>
      </c>
      <c r="BL27" s="38">
        <f>Inputs!$D$19*(1-Inputs!$C$71*$H27)+Inputs!$D$21+Inputs!$B$71*$J27</f>
        <v>410300</v>
      </c>
      <c r="BM27" s="38">
        <f t="shared" si="23"/>
        <v>469700</v>
      </c>
      <c r="BN27" s="38">
        <f t="shared" si="24"/>
        <v>0</v>
      </c>
      <c r="BO27" s="38">
        <f>MAX(0,MIN(Inputs!$B$36,BT26,BP27+BQ27+BR27+Inputs!$B$6-BS26))</f>
        <v>0</v>
      </c>
      <c r="BP27" s="38">
        <f>Inputs!$B$27*(1+Inputs!$B$28)^($A27/12)*IF(Inputs!$B$72=1,$G27,1)*(1-Inputs!$C$72*$H27*(1-Inputs!$E$54*Inputs!$B$72))*(1+$I27)*IF(Inputs!$B$29=0,1,(MAX(BS26,0)/Inputs!$B$6)^Inputs!$B$29)</f>
        <v>16082.159998802737</v>
      </c>
      <c r="BQ27" s="38">
        <f>Inputs!$B$32*BS26/Inputs!$B$6</f>
        <v>7433.5450114164887</v>
      </c>
      <c r="BR27" s="38">
        <f>Inputs!$B$33</f>
        <v>2500</v>
      </c>
      <c r="BS27" s="38">
        <f t="shared" si="25"/>
        <v>442022.31422711525</v>
      </c>
      <c r="BT27" s="38">
        <f t="shared" si="26"/>
        <v>0</v>
      </c>
      <c r="BU27" s="38">
        <f>Inputs!$B$19*(1-Inputs!$C$72*$H27)+Inputs!$B$21+Inputs!$B$72*$J27</f>
        <v>586979.16666666663</v>
      </c>
      <c r="BV27" s="38">
        <f t="shared" si="27"/>
        <v>-144956.85243955138</v>
      </c>
      <c r="BW27" s="38">
        <f t="shared" si="28"/>
        <v>1</v>
      </c>
      <c r="BX27" s="38">
        <f>MAX(0,MIN(Inputs!$C$36,CC26,BY27+BZ27+CA27+Inputs!$C$6-CB26))</f>
        <v>21005.078125</v>
      </c>
      <c r="BY27" s="38">
        <f>Inputs!$C$27*(1+Inputs!$C$28)^($A27/12)*IF(Inputs!$B$72=1,$G27,1)*(1-Inputs!$C$72*$H27*(1-Inputs!$E$54*Inputs!$B$72))*(1+$I27)*IF(Inputs!$C$29=0,1,(MAX(CB26,0)/Inputs!$C$6)^Inputs!$C$29)</f>
        <v>12255.078125</v>
      </c>
      <c r="BZ27" s="38">
        <f>Inputs!$C$32*CB26/Inputs!$C$6</f>
        <v>6749.9999999999991</v>
      </c>
      <c r="CA27" s="38">
        <f>Inputs!$C$33</f>
        <v>2000</v>
      </c>
      <c r="CB27" s="38">
        <f t="shared" si="29"/>
        <v>800000</v>
      </c>
      <c r="CC27" s="38">
        <f t="shared" si="30"/>
        <v>129258.9518229164</v>
      </c>
      <c r="CD27" s="38">
        <f>Inputs!$C$19*(1-Inputs!$C$72*$H27)+Inputs!$C$21+Inputs!$B$72*$J27</f>
        <v>488125</v>
      </c>
      <c r="CE27" s="38">
        <f t="shared" si="31"/>
        <v>311875</v>
      </c>
      <c r="CF27" s="38">
        <f t="shared" si="32"/>
        <v>0</v>
      </c>
      <c r="CG27" s="38">
        <f>MAX(0,MIN(Inputs!$D$36,CL26,CH27+CI27+CJ27+Inputs!$D$6-CK26))</f>
        <v>14624.132590627531</v>
      </c>
      <c r="CH27" s="38">
        <f>Inputs!$D$27*(1+Inputs!$D$28)^($A27/12)*IF(Inputs!$B$72=1,$G27,1)*(1-Inputs!$C$72*$H27*(1-Inputs!$E$54*Inputs!$B$72))*(1+$I27)*IF(Inputs!$D$29=0,1,(MAX(CK26,0)/Inputs!$D$6)^Inputs!$D$29)</f>
        <v>8924.1325906275706</v>
      </c>
      <c r="CI27" s="38">
        <f>Inputs!$D$32*CK26/Inputs!$D$6</f>
        <v>4200</v>
      </c>
      <c r="CJ27" s="38">
        <f>Inputs!$D$33</f>
        <v>1500</v>
      </c>
      <c r="CK27" s="38">
        <f t="shared" si="33"/>
        <v>880000</v>
      </c>
      <c r="CL27" s="38">
        <f t="shared" si="34"/>
        <v>577145.69528875896</v>
      </c>
      <c r="CM27" s="38">
        <f>Inputs!$D$19*(1-Inputs!$C$72*$H27)+Inputs!$D$21+Inputs!$B$72*$J27</f>
        <v>399002.08333333331</v>
      </c>
      <c r="CN27" s="38">
        <f t="shared" si="35"/>
        <v>480997.91666666669</v>
      </c>
      <c r="CO27" s="38">
        <f t="shared" si="36"/>
        <v>0</v>
      </c>
      <c r="CP27" s="38">
        <f>MAX(0,MIN(Inputs!$B$36,CU26,CQ27+CR27+CS27+Inputs!$B$6-CT26))</f>
        <v>0</v>
      </c>
      <c r="CQ27" s="38">
        <f>Inputs!$B$27*(1+Inputs!$B$28)^($A27/12)*IF(Inputs!$B$73=1,$G27,1)*(1-Inputs!$C$73*$H27*(1-Inputs!$E$54*Inputs!$B$73))*(1+$I27)*IF(Inputs!$B$29=0,1,(MAX(CT26,0)/Inputs!$B$6)^Inputs!$B$29)</f>
        <v>14385.515605089637</v>
      </c>
      <c r="CR27" s="38">
        <f>Inputs!$B$32*CT26/Inputs!$B$6</f>
        <v>7681.419462313941</v>
      </c>
      <c r="CS27" s="38">
        <f>Inputs!$B$33</f>
        <v>2500</v>
      </c>
      <c r="CT27" s="38">
        <f t="shared" si="37"/>
        <v>459077.99404125195</v>
      </c>
      <c r="CU27" s="38">
        <f t="shared" si="38"/>
        <v>0</v>
      </c>
      <c r="CV27" s="38">
        <f>Inputs!$B$19*(1-Inputs!$C$73*$H27)+Inputs!$B$21+Inputs!$B$73*$J27</f>
        <v>592479.16666666663</v>
      </c>
      <c r="CW27" s="38">
        <f t="shared" si="39"/>
        <v>-133401.17262541468</v>
      </c>
      <c r="CX27" s="38">
        <f t="shared" si="40"/>
        <v>1</v>
      </c>
      <c r="CY27" s="38">
        <f>MAX(0,MIN(Inputs!$C$36,DD26,CZ27+DA27+DB27+Inputs!$C$6-DC26))</f>
        <v>19712.185279956437</v>
      </c>
      <c r="CZ27" s="38">
        <f>Inputs!$C$27*(1+Inputs!$C$28)^($A27/12)*IF(Inputs!$B$73=1,$G27,1)*(1-Inputs!$C$73*$H27*(1-Inputs!$E$54*Inputs!$B$73))*(1+$I27)*IF(Inputs!$C$29=0,1,(MAX(DC26,0)/Inputs!$C$6)^Inputs!$C$29)</f>
        <v>10962.185279956471</v>
      </c>
      <c r="DA27" s="38">
        <f>Inputs!$C$32*DC26/Inputs!$C$6</f>
        <v>6749.9999999999991</v>
      </c>
      <c r="DB27" s="38">
        <f>Inputs!$C$33</f>
        <v>2000</v>
      </c>
      <c r="DC27" s="38">
        <f t="shared" si="41"/>
        <v>800000</v>
      </c>
      <c r="DD27" s="38">
        <f t="shared" si="42"/>
        <v>144134.99865738687</v>
      </c>
      <c r="DE27" s="38">
        <f>Inputs!$C$19*(1-Inputs!$C$73*$H27)+Inputs!$C$21+Inputs!$B$73*$J27</f>
        <v>493625</v>
      </c>
      <c r="DF27" s="38">
        <f t="shared" si="43"/>
        <v>306375</v>
      </c>
      <c r="DG27" s="38">
        <f t="shared" si="44"/>
        <v>0</v>
      </c>
      <c r="DH27" s="38">
        <f>MAX(0,MIN(Inputs!$D$36,DM26,DI27+DJ27+DK27+Inputs!$D$6-DL26))</f>
        <v>13682.649634994217</v>
      </c>
      <c r="DI27" s="38">
        <f>Inputs!$D$27*(1+Inputs!$D$28)^($A27/12)*IF(Inputs!$B$73=1,$G27,1)*(1-Inputs!$C$73*$H27*(1-Inputs!$E$54*Inputs!$B$73))*(1+$I27)*IF(Inputs!$D$29=0,1,(MAX(DL26,0)/Inputs!$D$6)^Inputs!$D$29)</f>
        <v>7982.649634994259</v>
      </c>
      <c r="DJ27" s="38">
        <f>Inputs!$D$32*DL26/Inputs!$D$6</f>
        <v>4200</v>
      </c>
      <c r="DK27" s="38">
        <f>Inputs!$D$33</f>
        <v>1500</v>
      </c>
      <c r="DL27" s="38">
        <f t="shared" si="45"/>
        <v>880000</v>
      </c>
      <c r="DM27" s="38">
        <f t="shared" si="46"/>
        <v>588310.39365528291</v>
      </c>
      <c r="DN27" s="38">
        <f>Inputs!$D$19*(1-Inputs!$C$73*$H27)+Inputs!$D$21+Inputs!$B$73*$J27</f>
        <v>404502.08333333331</v>
      </c>
      <c r="DO27" s="38">
        <f t="shared" si="47"/>
        <v>475497.91666666669</v>
      </c>
      <c r="DP27" s="38">
        <f t="shared" si="48"/>
        <v>0</v>
      </c>
    </row>
    <row r="28" spans="1:120" x14ac:dyDescent="0.35">
      <c r="A28" s="29">
        <v>23</v>
      </c>
      <c r="B28" s="34">
        <f>EDATE(Inputs!$B$67,$A28)</f>
        <v>46966</v>
      </c>
      <c r="C28" s="35">
        <f>IF(Inputs!$E$47&lt;=0,Inputs!$E$46,Inputs!$E$44+(Inputs!$E$46-Inputs!$E$44)*MIN($A28/Inputs!$E$47,1))</f>
        <v>0.6791666666666667</v>
      </c>
      <c r="D28" s="35">
        <f>MIN(Inputs!$E$57,Inputs!$E$55*(1+Inputs!$E$56)^($A28/12))*Inputs!$E$58*(1+Inputs!$E$59)^($A28/12)/Inputs!$E$45</f>
        <v>0.8004386032291837</v>
      </c>
      <c r="E28" s="35">
        <f>MAX(Inputs!$E$44,MIN(C28,D28))</f>
        <v>0.6791666666666667</v>
      </c>
      <c r="F28" s="35">
        <f>IF(Inputs!$E$50&lt;=0,Inputs!$E$49,Inputs!$E$48+(Inputs!$E$49-Inputs!$E$48)*MIN($A28/Inputs!$E$50,1))</f>
        <v>8.3888888888888888E-2</v>
      </c>
      <c r="G28" s="36">
        <f>(Inputs!$E$41*(1-E28*Inputs!$E$51)+Inputs!$E$42*(1-F28*Inputs!$E$51))/(Inputs!$E$41*(1-Inputs!$E$44*Inputs!$E$51)+Inputs!$E$42*(1-Inputs!$E$48*Inputs!$E$51))</f>
        <v>0.86777266754270699</v>
      </c>
      <c r="H28" s="35">
        <f>IF(Inputs!$E$53&lt;=0,Inputs!$E$52,Inputs!$E$52*MIN($A28/Inputs!$E$53,1))</f>
        <v>4.791666666666667E-2</v>
      </c>
      <c r="I28" s="35">
        <f>IF(Inputs!$E$64&lt;=0,Inputs!$E$63,Inputs!$E$62+(Inputs!$E$63-Inputs!$E$62)*MIN($A28/Inputs!$E$64,1))</f>
        <v>2.8750000000000001E-2</v>
      </c>
      <c r="J28" s="37">
        <f>(E28-Inputs!$E$44)*Inputs!$E$45/Inputs!$E$60*Inputs!$E$61</f>
        <v>5750</v>
      </c>
      <c r="K28" s="29">
        <f t="shared" si="0"/>
        <v>0</v>
      </c>
      <c r="L28" s="29"/>
      <c r="M28" s="38">
        <f>MAX(0,MIN(Inputs!$B$36,R27,N28+O28+P28+Inputs!$B$6-Q27))</f>
        <v>0</v>
      </c>
      <c r="N28" s="38">
        <f>Inputs!$B$27*(1+Inputs!$B$28)^($A28/12)*IF(Inputs!$B$70=1,$G28,1)*(1-Inputs!$C$70*$H28*(1-Inputs!$E$54*Inputs!$B$70))*(1+$I28)*IF(Inputs!$B$29=0,1,(MAX(Q27,0)/Inputs!$B$6)^Inputs!$B$29)</f>
        <v>16943.921491463363</v>
      </c>
      <c r="O28" s="38">
        <f>Inputs!$B$32*Q27/Inputs!$B$6</f>
        <v>6898.0452662233238</v>
      </c>
      <c r="P28" s="38">
        <f>Inputs!$B$33</f>
        <v>2500</v>
      </c>
      <c r="Q28" s="38">
        <f t="shared" si="1"/>
        <v>407979.40185637446</v>
      </c>
      <c r="R28" s="38">
        <f t="shared" si="2"/>
        <v>0</v>
      </c>
      <c r="S28" s="38">
        <f>Inputs!$B$19*(1-Inputs!$C$70*$H28)+Inputs!$B$21+Inputs!$B$70*$J28</f>
        <v>595000</v>
      </c>
      <c r="T28" s="38">
        <f t="shared" si="3"/>
        <v>-187020.59814362554</v>
      </c>
      <c r="U28" s="38">
        <f t="shared" si="4"/>
        <v>1</v>
      </c>
      <c r="V28" s="38">
        <f>MAX(0,MIN(Inputs!$C$36,AA27,W28+X28+Y28+Inputs!$C$6-Z27))</f>
        <v>21609.375</v>
      </c>
      <c r="W28" s="38">
        <f>Inputs!$C$27*(1+Inputs!$C$28)^($A28/12)*IF(Inputs!$B$70=1,$G28,1)*(1-Inputs!$C$70*$H28*(1-Inputs!$E$54*Inputs!$B$70))*(1+$I28)*IF(Inputs!$C$29=0,1,(MAX(Z27,0)/Inputs!$C$6)^Inputs!$C$29)</f>
        <v>12859.375</v>
      </c>
      <c r="X28" s="38">
        <f>Inputs!$C$32*Z27/Inputs!$C$6</f>
        <v>6749.9999999999991</v>
      </c>
      <c r="Y28" s="38">
        <f>Inputs!$C$33</f>
        <v>2000</v>
      </c>
      <c r="Z28" s="38">
        <f t="shared" si="5"/>
        <v>800000</v>
      </c>
      <c r="AA28" s="38">
        <f t="shared" si="6"/>
        <v>100937.5</v>
      </c>
      <c r="AB28" s="38">
        <f>Inputs!$C$19*(1-Inputs!$C$70*$H28)+Inputs!$C$21+Inputs!$B$70*$J28</f>
        <v>495000</v>
      </c>
      <c r="AC28" s="38">
        <f t="shared" si="7"/>
        <v>305000</v>
      </c>
      <c r="AD28" s="38">
        <f t="shared" si="8"/>
        <v>0</v>
      </c>
      <c r="AE28" s="38">
        <f>MAX(0,MIN(Inputs!$D$36,AJ27,AF28+AG28+AH28+Inputs!$D$6-AI27))</f>
        <v>15024.239604270551</v>
      </c>
      <c r="AF28" s="38">
        <f>Inputs!$D$27*(1+Inputs!$D$28)^($A28/12)*IF(Inputs!$B$70=1,$G28,1)*(1-Inputs!$C$70*$H28*(1-Inputs!$E$54*Inputs!$B$70))*(1+$I28)*IF(Inputs!$D$29=0,1,(MAX(AI27,0)/Inputs!$D$6)^Inputs!$D$29)</f>
        <v>9324.2396042705677</v>
      </c>
      <c r="AG28" s="38">
        <f>Inputs!$D$32*AI27/Inputs!$D$6</f>
        <v>4200</v>
      </c>
      <c r="AH28" s="38">
        <f>Inputs!$D$33</f>
        <v>1500</v>
      </c>
      <c r="AI28" s="38">
        <f t="shared" si="9"/>
        <v>880000</v>
      </c>
      <c r="AJ28" s="38">
        <f t="shared" si="10"/>
        <v>557084.72434859897</v>
      </c>
      <c r="AK28" s="38">
        <f>Inputs!$D$19*(1-Inputs!$C$70*$H28)+Inputs!$D$21+Inputs!$B$70*$J28</f>
        <v>404800</v>
      </c>
      <c r="AL28" s="38">
        <f t="shared" si="11"/>
        <v>475200</v>
      </c>
      <c r="AM28" s="38">
        <f t="shared" si="12"/>
        <v>0</v>
      </c>
      <c r="AN28" s="38">
        <f>MAX(0,MIN(Inputs!$B$36,AS27,AO28+AP28+AQ28+Inputs!$B$6-AR27))</f>
        <v>0</v>
      </c>
      <c r="AO28" s="38">
        <f>Inputs!$B$27*(1+Inputs!$B$28)^($A28/12)*IF(Inputs!$B$71=1,$G28,1)*(1-Inputs!$C$71*$H28*(1-Inputs!$E$54*Inputs!$B$71))*(1+$I28)*IF(Inputs!$B$29=0,1,(MAX(AR27,0)/Inputs!$B$6)^Inputs!$B$29)</f>
        <v>14703.471951281366</v>
      </c>
      <c r="AP28" s="38">
        <f>Inputs!$B$32*AR27/Inputs!$B$6</f>
        <v>7235.5606223802051</v>
      </c>
      <c r="AQ28" s="38">
        <f>Inputs!$B$33</f>
        <v>2500</v>
      </c>
      <c r="AR28" s="38">
        <f t="shared" si="13"/>
        <v>431133.30290953652</v>
      </c>
      <c r="AS28" s="38">
        <f t="shared" si="14"/>
        <v>0</v>
      </c>
      <c r="AT28" s="38">
        <f>Inputs!$B$19*(1-Inputs!$C$71*$H28)+Inputs!$B$21+Inputs!$B$71*$J28</f>
        <v>600750</v>
      </c>
      <c r="AU28" s="38">
        <f t="shared" si="15"/>
        <v>-169616.69709046348</v>
      </c>
      <c r="AV28" s="38">
        <f t="shared" si="16"/>
        <v>1</v>
      </c>
      <c r="AW28" s="38">
        <f>MAX(0,MIN(Inputs!$C$36,BB27,AX28+AY28+AZ28+Inputs!$C$6-BA27))</f>
        <v>19909.014146681991</v>
      </c>
      <c r="AX28" s="38">
        <f>Inputs!$C$27*(1+Inputs!$C$28)^($A28/12)*IF(Inputs!$B$71=1,$G28,1)*(1-Inputs!$C$71*$H28*(1-Inputs!$E$54*Inputs!$B$71))*(1+$I28)*IF(Inputs!$C$29=0,1,(MAX(BA27,0)/Inputs!$C$6)^Inputs!$C$29)</f>
        <v>11159.014146681999</v>
      </c>
      <c r="AY28" s="38">
        <f>Inputs!$C$32*BA27/Inputs!$C$6</f>
        <v>6749.9999999999991</v>
      </c>
      <c r="AZ28" s="38">
        <f>Inputs!$C$33</f>
        <v>2000</v>
      </c>
      <c r="BA28" s="38">
        <f t="shared" si="17"/>
        <v>800000</v>
      </c>
      <c r="BB28" s="38">
        <f t="shared" si="18"/>
        <v>121160.01765768719</v>
      </c>
      <c r="BC28" s="38">
        <f>Inputs!$C$19*(1-Inputs!$C$71*$H28)+Inputs!$C$21+Inputs!$B$71*$J28</f>
        <v>500750</v>
      </c>
      <c r="BD28" s="38">
        <f t="shared" si="19"/>
        <v>299250</v>
      </c>
      <c r="BE28" s="38">
        <f t="shared" si="20"/>
        <v>0</v>
      </c>
      <c r="BF28" s="38">
        <f>MAX(0,MIN(Inputs!$D$36,BK27,BG28+BH28+BI28+Inputs!$D$6-BJ27))</f>
        <v>13791.32027420518</v>
      </c>
      <c r="BG28" s="38">
        <f>Inputs!$D$27*(1+Inputs!$D$28)^($A28/12)*IF(Inputs!$B$71=1,$G28,1)*(1-Inputs!$C$71*$H28*(1-Inputs!$E$54*Inputs!$B$71))*(1+$I28)*IF(Inputs!$D$29=0,1,(MAX(BJ27,0)/Inputs!$D$6)^Inputs!$D$29)</f>
        <v>8091.3202742052254</v>
      </c>
      <c r="BH28" s="38">
        <f>Inputs!$D$32*BJ27/Inputs!$D$6</f>
        <v>4200</v>
      </c>
      <c r="BI28" s="38">
        <f>Inputs!$D$33</f>
        <v>1500</v>
      </c>
      <c r="BJ28" s="38">
        <f t="shared" si="21"/>
        <v>880000</v>
      </c>
      <c r="BK28" s="38">
        <f t="shared" si="22"/>
        <v>572216.63948072516</v>
      </c>
      <c r="BL28" s="38">
        <f>Inputs!$D$19*(1-Inputs!$C$71*$H28)+Inputs!$D$21+Inputs!$B$71*$J28</f>
        <v>410550</v>
      </c>
      <c r="BM28" s="38">
        <f t="shared" si="23"/>
        <v>469450</v>
      </c>
      <c r="BN28" s="38">
        <f t="shared" si="24"/>
        <v>0</v>
      </c>
      <c r="BO28" s="38">
        <f>MAX(0,MIN(Inputs!$B$36,BT27,BP28+BQ28+BR28+Inputs!$B$6-BS27))</f>
        <v>0</v>
      </c>
      <c r="BP28" s="38">
        <f>Inputs!$B$27*(1+Inputs!$B$28)^($A28/12)*IF(Inputs!$B$72=1,$G28,1)*(1-Inputs!$C$72*$H28*(1-Inputs!$E$54*Inputs!$B$72))*(1+$I28)*IF(Inputs!$B$29=0,1,(MAX(BS27,0)/Inputs!$B$6)^Inputs!$B$29)</f>
        <v>16132.025253330745</v>
      </c>
      <c r="BQ28" s="38">
        <f>Inputs!$B$32*BS27/Inputs!$B$6</f>
        <v>7020.3544024306539</v>
      </c>
      <c r="BR28" s="38">
        <f>Inputs!$B$33</f>
        <v>2500</v>
      </c>
      <c r="BS28" s="38">
        <f t="shared" si="25"/>
        <v>416369.93457135384</v>
      </c>
      <c r="BT28" s="38">
        <f t="shared" si="26"/>
        <v>0</v>
      </c>
      <c r="BU28" s="38">
        <f>Inputs!$B$19*(1-Inputs!$C$72*$H28)+Inputs!$B$21+Inputs!$B$72*$J28</f>
        <v>586614.58333333326</v>
      </c>
      <c r="BV28" s="38">
        <f t="shared" si="27"/>
        <v>-170244.64876197942</v>
      </c>
      <c r="BW28" s="38">
        <f t="shared" si="28"/>
        <v>1</v>
      </c>
      <c r="BX28" s="38">
        <f>MAX(0,MIN(Inputs!$C$36,CC27,BY28+BZ28+CA28+Inputs!$C$6-CB27))</f>
        <v>20993.196614583372</v>
      </c>
      <c r="BY28" s="38">
        <f>Inputs!$C$27*(1+Inputs!$C$28)^($A28/12)*IF(Inputs!$B$72=1,$G28,1)*(1-Inputs!$C$72*$H28*(1-Inputs!$E$54*Inputs!$B$72))*(1+$I28)*IF(Inputs!$C$29=0,1,(MAX(CB27,0)/Inputs!$C$6)^Inputs!$C$29)</f>
        <v>12243.196614583334</v>
      </c>
      <c r="BZ28" s="38">
        <f>Inputs!$C$32*CB27/Inputs!$C$6</f>
        <v>6749.9999999999991</v>
      </c>
      <c r="CA28" s="38">
        <f>Inputs!$C$33</f>
        <v>2000</v>
      </c>
      <c r="CB28" s="38">
        <f t="shared" si="29"/>
        <v>800000</v>
      </c>
      <c r="CC28" s="38">
        <f t="shared" si="30"/>
        <v>108265.75520833302</v>
      </c>
      <c r="CD28" s="38">
        <f>Inputs!$C$19*(1-Inputs!$C$72*$H28)+Inputs!$C$21+Inputs!$B$72*$J28</f>
        <v>487812.5</v>
      </c>
      <c r="CE28" s="38">
        <f t="shared" si="31"/>
        <v>312187.5</v>
      </c>
      <c r="CF28" s="38">
        <f t="shared" si="32"/>
        <v>0</v>
      </c>
      <c r="CG28" s="38">
        <f>MAX(0,MIN(Inputs!$D$36,CL27,CH28+CI28+CJ28+Inputs!$D$6-CK27))</f>
        <v>14577.453123232583</v>
      </c>
      <c r="CH28" s="38">
        <f>Inputs!$D$27*(1+Inputs!$D$28)^($A28/12)*IF(Inputs!$B$72=1,$G28,1)*(1-Inputs!$C$72*$H28*(1-Inputs!$E$54*Inputs!$B$72))*(1+$I28)*IF(Inputs!$D$29=0,1,(MAX(CK27,0)/Inputs!$D$6)^Inputs!$D$29)</f>
        <v>8877.4531232326026</v>
      </c>
      <c r="CI28" s="38">
        <f>Inputs!$D$32*CK27/Inputs!$D$6</f>
        <v>4200</v>
      </c>
      <c r="CJ28" s="38">
        <f>Inputs!$D$33</f>
        <v>1500</v>
      </c>
      <c r="CK28" s="38">
        <f t="shared" si="33"/>
        <v>880000</v>
      </c>
      <c r="CL28" s="38">
        <f t="shared" si="34"/>
        <v>562568.24216552638</v>
      </c>
      <c r="CM28" s="38">
        <f>Inputs!$D$19*(1-Inputs!$C$72*$H28)+Inputs!$D$21+Inputs!$B$72*$J28</f>
        <v>398738.54166666663</v>
      </c>
      <c r="CN28" s="38">
        <f t="shared" si="35"/>
        <v>481261.45833333337</v>
      </c>
      <c r="CO28" s="38">
        <f t="shared" si="36"/>
        <v>0</v>
      </c>
      <c r="CP28" s="38">
        <f>MAX(0,MIN(Inputs!$B$36,CU27,CQ28+CR28+CS28+Inputs!$B$6-CT27))</f>
        <v>0</v>
      </c>
      <c r="CQ28" s="38">
        <f>Inputs!$B$27*(1+Inputs!$B$28)^($A28/12)*IF(Inputs!$B$73=1,$G28,1)*(1-Inputs!$C$73*$H28*(1-Inputs!$E$54*Inputs!$B$73))*(1+$I28)*IF(Inputs!$B$29=0,1,(MAX(CT27,0)/Inputs!$B$6)^Inputs!$B$29)</f>
        <v>14351.20126911525</v>
      </c>
      <c r="CR28" s="38">
        <f>Inputs!$B$32*CT27/Inputs!$B$6</f>
        <v>7291.238728890472</v>
      </c>
      <c r="CS28" s="38">
        <f>Inputs!$B$33</f>
        <v>2500</v>
      </c>
      <c r="CT28" s="38">
        <f t="shared" si="37"/>
        <v>434935.5540432462</v>
      </c>
      <c r="CU28" s="38">
        <f t="shared" si="38"/>
        <v>0</v>
      </c>
      <c r="CV28" s="38">
        <f>Inputs!$B$19*(1-Inputs!$C$73*$H28)+Inputs!$B$21+Inputs!$B$73*$J28</f>
        <v>592364.58333333326</v>
      </c>
      <c r="CW28" s="38">
        <f t="shared" si="39"/>
        <v>-157429.02929008706</v>
      </c>
      <c r="CX28" s="38">
        <f t="shared" si="40"/>
        <v>1</v>
      </c>
      <c r="CY28" s="38">
        <f>MAX(0,MIN(Inputs!$C$36,DD27,CZ28+DA28+DB28+Inputs!$C$6-DC27))</f>
        <v>19641.662766084424</v>
      </c>
      <c r="CZ28" s="38">
        <f>Inputs!$C$27*(1+Inputs!$C$28)^($A28/12)*IF(Inputs!$B$73=1,$G28,1)*(1-Inputs!$C$73*$H28*(1-Inputs!$E$54*Inputs!$B$73))*(1+$I28)*IF(Inputs!$C$29=0,1,(MAX(DC27,0)/Inputs!$C$6)^Inputs!$C$29)</f>
        <v>10891.66276608441</v>
      </c>
      <c r="DA28" s="38">
        <f>Inputs!$C$32*DC27/Inputs!$C$6</f>
        <v>6749.9999999999991</v>
      </c>
      <c r="DB28" s="38">
        <f>Inputs!$C$33</f>
        <v>2000</v>
      </c>
      <c r="DC28" s="38">
        <f t="shared" si="41"/>
        <v>800000</v>
      </c>
      <c r="DD28" s="38">
        <f t="shared" si="42"/>
        <v>124493.33589130244</v>
      </c>
      <c r="DE28" s="38">
        <f>Inputs!$C$19*(1-Inputs!$C$73*$H28)+Inputs!$C$21+Inputs!$B$73*$J28</f>
        <v>493562.5</v>
      </c>
      <c r="DF28" s="38">
        <f t="shared" si="43"/>
        <v>306437.5</v>
      </c>
      <c r="DG28" s="38">
        <f t="shared" si="44"/>
        <v>0</v>
      </c>
      <c r="DH28" s="38">
        <f>MAX(0,MIN(Inputs!$D$36,DM27,DI28+DJ28+DK28+Inputs!$D$6-DL27))</f>
        <v>13597.465725969058</v>
      </c>
      <c r="DI28" s="38">
        <f>Inputs!$D$27*(1+Inputs!$D$28)^($A28/12)*IF(Inputs!$B$73=1,$G28,1)*(1-Inputs!$C$73*$H28*(1-Inputs!$E$54*Inputs!$B$73))*(1+$I28)*IF(Inputs!$D$29=0,1,(MAX(DL27,0)/Inputs!$D$6)^Inputs!$D$29)</f>
        <v>7897.4657259690584</v>
      </c>
      <c r="DJ28" s="38">
        <f>Inputs!$D$32*DL27/Inputs!$D$6</f>
        <v>4200</v>
      </c>
      <c r="DK28" s="38">
        <f>Inputs!$D$33</f>
        <v>1500</v>
      </c>
      <c r="DL28" s="38">
        <f t="shared" si="45"/>
        <v>880000</v>
      </c>
      <c r="DM28" s="38">
        <f t="shared" si="46"/>
        <v>574712.92792931385</v>
      </c>
      <c r="DN28" s="38">
        <f>Inputs!$D$19*(1-Inputs!$C$73*$H28)+Inputs!$D$21+Inputs!$B$73*$J28</f>
        <v>404488.54166666663</v>
      </c>
      <c r="DO28" s="38">
        <f t="shared" si="47"/>
        <v>475511.45833333337</v>
      </c>
      <c r="DP28" s="38">
        <f t="shared" si="48"/>
        <v>0</v>
      </c>
    </row>
    <row r="29" spans="1:120" x14ac:dyDescent="0.35">
      <c r="A29" s="29">
        <v>24</v>
      </c>
      <c r="B29" s="34">
        <f>EDATE(Inputs!$B$67,$A29)</f>
        <v>46997</v>
      </c>
      <c r="C29" s="35">
        <f>IF(Inputs!$E$47&lt;=0,Inputs!$E$46,Inputs!$E$44+(Inputs!$E$46-Inputs!$E$44)*MIN($A29/Inputs!$E$47,1))</f>
        <v>0.7</v>
      </c>
      <c r="D29" s="35">
        <f>MIN(Inputs!$E$57,Inputs!$E$55*(1+Inputs!$E$56)^($A29/12))*Inputs!$E$58*(1+Inputs!$E$59)^($A29/12)/Inputs!$E$45</f>
        <v>0.82319999999999971</v>
      </c>
      <c r="E29" s="35">
        <f>MAX(Inputs!$E$44,MIN(C29,D29))</f>
        <v>0.7</v>
      </c>
      <c r="F29" s="35">
        <f>IF(Inputs!$E$50&lt;=0,Inputs!$E$49,Inputs!$E$48+(Inputs!$E$49-Inputs!$E$48)*MIN($A29/Inputs!$E$50,1))</f>
        <v>8.6666666666666656E-2</v>
      </c>
      <c r="G29" s="36">
        <f>(Inputs!$E$41*(1-E29*Inputs!$E$51)+Inputs!$E$42*(1-F29*Inputs!$E$51))/(Inputs!$E$41*(1-Inputs!$E$44*Inputs!$E$51)+Inputs!$E$42*(1-Inputs!$E$48*Inputs!$E$51))</f>
        <v>0.86202365308804207</v>
      </c>
      <c r="H29" s="35">
        <f>IF(Inputs!$E$53&lt;=0,Inputs!$E$52,Inputs!$E$52*MIN($A29/Inputs!$E$53,1))</f>
        <v>0.05</v>
      </c>
      <c r="I29" s="35">
        <f>IF(Inputs!$E$64&lt;=0,Inputs!$E$63,Inputs!$E$62+(Inputs!$E$63-Inputs!$E$62)*MIN($A29/Inputs!$E$64,1))</f>
        <v>0.03</v>
      </c>
      <c r="J29" s="37">
        <f>(E29-Inputs!$E$44)*Inputs!$E$45/Inputs!$E$60*Inputs!$E$61</f>
        <v>5999.9999999999991</v>
      </c>
      <c r="K29" s="29">
        <f t="shared" si="0"/>
        <v>0</v>
      </c>
      <c r="L29" s="29"/>
      <c r="M29" s="38">
        <f>MAX(0,MIN(Inputs!$B$36,R28,N29+O29+P29+Inputs!$B$6-Q28))</f>
        <v>0</v>
      </c>
      <c r="N29" s="38">
        <f>Inputs!$B$27*(1+Inputs!$B$28)^($A29/12)*IF(Inputs!$B$70=1,$G29,1)*(1-Inputs!$C$70*$H29*(1-Inputs!$E$54*Inputs!$B$70))*(1+$I29)*IF(Inputs!$B$29=0,1,(MAX(Q28,0)/Inputs!$B$6)^Inputs!$B$29)</f>
        <v>17033.625</v>
      </c>
      <c r="O29" s="38">
        <f>Inputs!$B$32*Q28/Inputs!$B$6</f>
        <v>6479.6728530130067</v>
      </c>
      <c r="P29" s="38">
        <f>Inputs!$B$33</f>
        <v>2500</v>
      </c>
      <c r="Q29" s="38">
        <f t="shared" si="1"/>
        <v>381966.10400336143</v>
      </c>
      <c r="R29" s="38">
        <f t="shared" si="2"/>
        <v>0</v>
      </c>
      <c r="S29" s="38">
        <f>Inputs!$B$19*(1-Inputs!$C$70*$H29)+Inputs!$B$21+Inputs!$B$70*$J29</f>
        <v>595000</v>
      </c>
      <c r="T29" s="38">
        <f t="shared" si="3"/>
        <v>-213033.89599663857</v>
      </c>
      <c r="U29" s="38">
        <f t="shared" si="4"/>
        <v>1</v>
      </c>
      <c r="V29" s="38">
        <f>MAX(0,MIN(Inputs!$C$36,AA28,W29+X29+Y29+Inputs!$C$6-Z28))</f>
        <v>21625</v>
      </c>
      <c r="W29" s="38">
        <f>Inputs!$C$27*(1+Inputs!$C$28)^($A29/12)*IF(Inputs!$B$70=1,$G29,1)*(1-Inputs!$C$70*$H29*(1-Inputs!$E$54*Inputs!$B$70))*(1+$I29)*IF(Inputs!$C$29=0,1,(MAX(Z28,0)/Inputs!$C$6)^Inputs!$C$29)</f>
        <v>12875</v>
      </c>
      <c r="X29" s="38">
        <f>Inputs!$C$32*Z28/Inputs!$C$6</f>
        <v>6749.9999999999991</v>
      </c>
      <c r="Y29" s="38">
        <f>Inputs!$C$33</f>
        <v>2000</v>
      </c>
      <c r="Z29" s="38">
        <f t="shared" si="5"/>
        <v>800000</v>
      </c>
      <c r="AA29" s="38">
        <f t="shared" si="6"/>
        <v>79312.5</v>
      </c>
      <c r="AB29" s="38">
        <f>Inputs!$C$19*(1-Inputs!$C$70*$H29)+Inputs!$C$21+Inputs!$B$70*$J29</f>
        <v>495000</v>
      </c>
      <c r="AC29" s="38">
        <f t="shared" si="7"/>
        <v>305000</v>
      </c>
      <c r="AD29" s="38">
        <f t="shared" si="8"/>
        <v>0</v>
      </c>
      <c r="AE29" s="38">
        <f>MAX(0,MIN(Inputs!$D$36,AJ28,AF29+AG29+AH29+Inputs!$D$6-AI28))</f>
        <v>14995.75</v>
      </c>
      <c r="AF29" s="38">
        <f>Inputs!$D$27*(1+Inputs!$D$28)^($A29/12)*IF(Inputs!$B$70=1,$G29,1)*(1-Inputs!$C$70*$H29*(1-Inputs!$E$54*Inputs!$B$70))*(1+$I29)*IF(Inputs!$D$29=0,1,(MAX(AI28,0)/Inputs!$D$6)^Inputs!$D$29)</f>
        <v>9295.75</v>
      </c>
      <c r="AG29" s="38">
        <f>Inputs!$D$32*AI28/Inputs!$D$6</f>
        <v>4200</v>
      </c>
      <c r="AH29" s="38">
        <f>Inputs!$D$33</f>
        <v>1500</v>
      </c>
      <c r="AI29" s="38">
        <f t="shared" si="9"/>
        <v>880000</v>
      </c>
      <c r="AJ29" s="38">
        <f t="shared" si="10"/>
        <v>542088.97434859897</v>
      </c>
      <c r="AK29" s="38">
        <f>Inputs!$D$19*(1-Inputs!$C$70*$H29)+Inputs!$D$21+Inputs!$B$70*$J29</f>
        <v>404800</v>
      </c>
      <c r="AL29" s="38">
        <f t="shared" si="11"/>
        <v>475200</v>
      </c>
      <c r="AM29" s="38">
        <f t="shared" si="12"/>
        <v>0</v>
      </c>
      <c r="AN29" s="38">
        <f>MAX(0,MIN(Inputs!$B$36,AS28,AO29+AP29+AQ29+Inputs!$B$6-AR28))</f>
        <v>0</v>
      </c>
      <c r="AO29" s="38">
        <f>Inputs!$B$27*(1+Inputs!$B$28)^($A29/12)*IF(Inputs!$B$71=1,$G29,1)*(1-Inputs!$C$71*$H29*(1-Inputs!$E$54*Inputs!$B$71))*(1+$I29)*IF(Inputs!$B$29=0,1,(MAX(AR28,0)/Inputs!$B$6)^Inputs!$B$29)</f>
        <v>14683.387647831802</v>
      </c>
      <c r="AP29" s="38">
        <f>Inputs!$B$32*AR28/Inputs!$B$6</f>
        <v>6847.4112815044036</v>
      </c>
      <c r="AQ29" s="38">
        <f>Inputs!$B$33</f>
        <v>2500</v>
      </c>
      <c r="AR29" s="38">
        <f t="shared" si="13"/>
        <v>407102.50398020033</v>
      </c>
      <c r="AS29" s="38">
        <f t="shared" si="14"/>
        <v>0</v>
      </c>
      <c r="AT29" s="38">
        <f>Inputs!$B$19*(1-Inputs!$C$71*$H29)+Inputs!$B$21+Inputs!$B$71*$J29</f>
        <v>601000</v>
      </c>
      <c r="AU29" s="38">
        <f t="shared" si="15"/>
        <v>-193897.49601979967</v>
      </c>
      <c r="AV29" s="38">
        <f t="shared" si="16"/>
        <v>1</v>
      </c>
      <c r="AW29" s="38">
        <f>MAX(0,MIN(Inputs!$C$36,BB28,AX29+AY29+AZ29+Inputs!$C$6-BA28))</f>
        <v>19848.55453350849</v>
      </c>
      <c r="AX29" s="38">
        <f>Inputs!$C$27*(1+Inputs!$C$28)^($A29/12)*IF(Inputs!$B$71=1,$G29,1)*(1-Inputs!$C$71*$H29*(1-Inputs!$E$54*Inputs!$B$71))*(1+$I29)*IF(Inputs!$C$29=0,1,(MAX(BA28,0)/Inputs!$C$6)^Inputs!$C$29)</f>
        <v>11098.554533508541</v>
      </c>
      <c r="AY29" s="38">
        <f>Inputs!$C$32*BA28/Inputs!$C$6</f>
        <v>6749.9999999999991</v>
      </c>
      <c r="AZ29" s="38">
        <f>Inputs!$C$33</f>
        <v>2000</v>
      </c>
      <c r="BA29" s="38">
        <f t="shared" si="17"/>
        <v>800000</v>
      </c>
      <c r="BB29" s="38">
        <f t="shared" si="18"/>
        <v>101311.4631241787</v>
      </c>
      <c r="BC29" s="38">
        <f>Inputs!$C$19*(1-Inputs!$C$71*$H29)+Inputs!$C$21+Inputs!$B$71*$J29</f>
        <v>501000</v>
      </c>
      <c r="BD29" s="38">
        <f t="shared" si="19"/>
        <v>299000</v>
      </c>
      <c r="BE29" s="38">
        <f t="shared" si="20"/>
        <v>0</v>
      </c>
      <c r="BF29" s="38">
        <f>MAX(0,MIN(Inputs!$D$36,BK28,BG29+BH29+BI29+Inputs!$D$6-BJ28))</f>
        <v>13713.156373193138</v>
      </c>
      <c r="BG29" s="38">
        <f>Inputs!$D$27*(1+Inputs!$D$28)^($A29/12)*IF(Inputs!$B$71=1,$G29,1)*(1-Inputs!$C$71*$H29*(1-Inputs!$E$54*Inputs!$B$71))*(1+$I29)*IF(Inputs!$D$29=0,1,(MAX(BJ28,0)/Inputs!$D$6)^Inputs!$D$29)</f>
        <v>8013.1563731931674</v>
      </c>
      <c r="BH29" s="38">
        <f>Inputs!$D$32*BJ28/Inputs!$D$6</f>
        <v>4200</v>
      </c>
      <c r="BI29" s="38">
        <f>Inputs!$D$33</f>
        <v>1500</v>
      </c>
      <c r="BJ29" s="38">
        <f t="shared" si="21"/>
        <v>880000</v>
      </c>
      <c r="BK29" s="38">
        <f t="shared" si="22"/>
        <v>558503.48310753203</v>
      </c>
      <c r="BL29" s="38">
        <f>Inputs!$D$19*(1-Inputs!$C$71*$H29)+Inputs!$D$21+Inputs!$B$71*$J29</f>
        <v>410800</v>
      </c>
      <c r="BM29" s="38">
        <f t="shared" si="23"/>
        <v>469200</v>
      </c>
      <c r="BN29" s="38">
        <f t="shared" si="24"/>
        <v>0</v>
      </c>
      <c r="BO29" s="38">
        <f>MAX(0,MIN(Inputs!$B$36,BT28,BP29+BQ29+BR29+Inputs!$B$6-BS28))</f>
        <v>0</v>
      </c>
      <c r="BP29" s="38">
        <f>Inputs!$B$27*(1+Inputs!$B$28)^($A29/12)*IF(Inputs!$B$72=1,$G29,1)*(1-Inputs!$C$72*$H29*(1-Inputs!$E$54*Inputs!$B$72))*(1+$I29)*IF(Inputs!$B$29=0,1,(MAX(BS28,0)/Inputs!$B$6)^Inputs!$B$29)</f>
        <v>16181.94375</v>
      </c>
      <c r="BQ29" s="38">
        <f>Inputs!$B$32*BS28/Inputs!$B$6</f>
        <v>6612.9342549567964</v>
      </c>
      <c r="BR29" s="38">
        <f>Inputs!$B$33</f>
        <v>2500</v>
      </c>
      <c r="BS29" s="38">
        <f t="shared" si="25"/>
        <v>391075.05656639708</v>
      </c>
      <c r="BT29" s="38">
        <f t="shared" si="26"/>
        <v>0</v>
      </c>
      <c r="BU29" s="38">
        <f>Inputs!$B$19*(1-Inputs!$C$72*$H29)+Inputs!$B$21+Inputs!$B$72*$J29</f>
        <v>586250</v>
      </c>
      <c r="BV29" s="38">
        <f t="shared" si="27"/>
        <v>-195174.94343360292</v>
      </c>
      <c r="BW29" s="38">
        <f t="shared" si="28"/>
        <v>1</v>
      </c>
      <c r="BX29" s="38">
        <f>MAX(0,MIN(Inputs!$C$36,CC28,BY29+BZ29+CA29+Inputs!$C$6-CB28))</f>
        <v>20981.25</v>
      </c>
      <c r="BY29" s="38">
        <f>Inputs!$C$27*(1+Inputs!$C$28)^($A29/12)*IF(Inputs!$B$72=1,$G29,1)*(1-Inputs!$C$72*$H29*(1-Inputs!$E$54*Inputs!$B$72))*(1+$I29)*IF(Inputs!$C$29=0,1,(MAX(CB28,0)/Inputs!$C$6)^Inputs!$C$29)</f>
        <v>12231.25</v>
      </c>
      <c r="BZ29" s="38">
        <f>Inputs!$C$32*CB28/Inputs!$C$6</f>
        <v>6749.9999999999991</v>
      </c>
      <c r="CA29" s="38">
        <f>Inputs!$C$33</f>
        <v>2000</v>
      </c>
      <c r="CB29" s="38">
        <f t="shared" si="29"/>
        <v>800000</v>
      </c>
      <c r="CC29" s="38">
        <f t="shared" si="30"/>
        <v>87284.505208333023</v>
      </c>
      <c r="CD29" s="38">
        <f>Inputs!$C$19*(1-Inputs!$C$72*$H29)+Inputs!$C$21+Inputs!$B$72*$J29</f>
        <v>487500</v>
      </c>
      <c r="CE29" s="38">
        <f t="shared" si="31"/>
        <v>312500</v>
      </c>
      <c r="CF29" s="38">
        <f t="shared" si="32"/>
        <v>0</v>
      </c>
      <c r="CG29" s="38">
        <f>MAX(0,MIN(Inputs!$D$36,CL28,CH29+CI29+CJ29+Inputs!$D$6-CK28))</f>
        <v>14530.962500000023</v>
      </c>
      <c r="CH29" s="38">
        <f>Inputs!$D$27*(1+Inputs!$D$28)^($A29/12)*IF(Inputs!$B$72=1,$G29,1)*(1-Inputs!$C$72*$H29*(1-Inputs!$E$54*Inputs!$B$72))*(1+$I29)*IF(Inputs!$D$29=0,1,(MAX(CK28,0)/Inputs!$D$6)^Inputs!$D$29)</f>
        <v>8830.9624999999996</v>
      </c>
      <c r="CI29" s="38">
        <f>Inputs!$D$32*CK28/Inputs!$D$6</f>
        <v>4200</v>
      </c>
      <c r="CJ29" s="38">
        <f>Inputs!$D$33</f>
        <v>1500</v>
      </c>
      <c r="CK29" s="38">
        <f t="shared" si="33"/>
        <v>880000</v>
      </c>
      <c r="CL29" s="38">
        <f t="shared" si="34"/>
        <v>548037.27966552635</v>
      </c>
      <c r="CM29" s="38">
        <f>Inputs!$D$19*(1-Inputs!$C$72*$H29)+Inputs!$D$21+Inputs!$B$72*$J29</f>
        <v>398475</v>
      </c>
      <c r="CN29" s="38">
        <f t="shared" si="35"/>
        <v>481525</v>
      </c>
      <c r="CO29" s="38">
        <f t="shared" si="36"/>
        <v>0</v>
      </c>
      <c r="CP29" s="38">
        <f>MAX(0,MIN(Inputs!$B$36,CU28,CQ29+CR29+CS29+Inputs!$B$6-CT28))</f>
        <v>0</v>
      </c>
      <c r="CQ29" s="38">
        <f>Inputs!$B$27*(1+Inputs!$B$28)^($A29/12)*IF(Inputs!$B$73=1,$G29,1)*(1-Inputs!$C$73*$H29*(1-Inputs!$E$54*Inputs!$B$73))*(1+$I29)*IF(Inputs!$B$29=0,1,(MAX(CT28,0)/Inputs!$B$6)^Inputs!$B$29)</f>
        <v>14316.302956636006</v>
      </c>
      <c r="CR29" s="38">
        <f>Inputs!$B$32*CT28/Inputs!$B$6</f>
        <v>6907.7999759809691</v>
      </c>
      <c r="CS29" s="38">
        <f>Inputs!$B$33</f>
        <v>2500</v>
      </c>
      <c r="CT29" s="38">
        <f t="shared" si="37"/>
        <v>411211.45111062925</v>
      </c>
      <c r="CU29" s="38">
        <f t="shared" si="38"/>
        <v>0</v>
      </c>
      <c r="CV29" s="38">
        <f>Inputs!$B$19*(1-Inputs!$C$73*$H29)+Inputs!$B$21+Inputs!$B$73*$J29</f>
        <v>592250</v>
      </c>
      <c r="CW29" s="38">
        <f t="shared" si="39"/>
        <v>-181038.54888937075</v>
      </c>
      <c r="CX29" s="38">
        <f t="shared" si="40"/>
        <v>1</v>
      </c>
      <c r="CY29" s="38">
        <f>MAX(0,MIN(Inputs!$C$36,DD28,CZ29+DA29+DB29+Inputs!$C$6-DC28))</f>
        <v>19571.090670170845</v>
      </c>
      <c r="CZ29" s="38">
        <f>Inputs!$C$27*(1+Inputs!$C$28)^($A29/12)*IF(Inputs!$B$73=1,$G29,1)*(1-Inputs!$C$73*$H29*(1-Inputs!$E$54*Inputs!$B$73))*(1+$I29)*IF(Inputs!$C$29=0,1,(MAX(DC28,0)/Inputs!$C$6)^Inputs!$C$29)</f>
        <v>10821.090670170828</v>
      </c>
      <c r="DA29" s="38">
        <f>Inputs!$C$32*DC28/Inputs!$C$6</f>
        <v>6749.9999999999991</v>
      </c>
      <c r="DB29" s="38">
        <f>Inputs!$C$33</f>
        <v>2000</v>
      </c>
      <c r="DC29" s="38">
        <f t="shared" si="41"/>
        <v>800000</v>
      </c>
      <c r="DD29" s="38">
        <f t="shared" si="42"/>
        <v>104922.2452211316</v>
      </c>
      <c r="DE29" s="38">
        <f>Inputs!$C$19*(1-Inputs!$C$73*$H29)+Inputs!$C$21+Inputs!$B$73*$J29</f>
        <v>493500</v>
      </c>
      <c r="DF29" s="38">
        <f t="shared" si="43"/>
        <v>306500</v>
      </c>
      <c r="DG29" s="38">
        <f t="shared" si="44"/>
        <v>0</v>
      </c>
      <c r="DH29" s="38">
        <f>MAX(0,MIN(Inputs!$D$36,DM28,DI29+DJ29+DK29+Inputs!$D$6-DL28))</f>
        <v>13512.827463863301</v>
      </c>
      <c r="DI29" s="38">
        <f>Inputs!$D$27*(1+Inputs!$D$28)^($A29/12)*IF(Inputs!$B$73=1,$G29,1)*(1-Inputs!$C$73*$H29*(1-Inputs!$E$54*Inputs!$B$73))*(1+$I29)*IF(Inputs!$D$29=0,1,(MAX(DL28,0)/Inputs!$D$6)^Inputs!$D$29)</f>
        <v>7812.8274638633384</v>
      </c>
      <c r="DJ29" s="38">
        <f>Inputs!$D$32*DL28/Inputs!$D$6</f>
        <v>4200</v>
      </c>
      <c r="DK29" s="38">
        <f>Inputs!$D$33</f>
        <v>1500</v>
      </c>
      <c r="DL29" s="38">
        <f t="shared" si="45"/>
        <v>880000</v>
      </c>
      <c r="DM29" s="38">
        <f t="shared" si="46"/>
        <v>561200.10046545055</v>
      </c>
      <c r="DN29" s="38">
        <f>Inputs!$D$19*(1-Inputs!$C$73*$H29)+Inputs!$D$21+Inputs!$B$73*$J29</f>
        <v>404475</v>
      </c>
      <c r="DO29" s="38">
        <f t="shared" si="47"/>
        <v>475525</v>
      </c>
      <c r="DP29" s="38">
        <f t="shared" si="48"/>
        <v>0</v>
      </c>
    </row>
    <row r="30" spans="1:120" x14ac:dyDescent="0.35">
      <c r="A30" s="29">
        <v>25</v>
      </c>
      <c r="B30" s="34">
        <f>EDATE(Inputs!$B$67,$A30)</f>
        <v>47027</v>
      </c>
      <c r="C30" s="35">
        <f>IF(Inputs!$E$47&lt;=0,Inputs!$E$46,Inputs!$E$44+(Inputs!$E$46-Inputs!$E$44)*MIN($A30/Inputs!$E$47,1))</f>
        <v>0.7</v>
      </c>
      <c r="D30" s="35">
        <f>MIN(Inputs!$E$57,Inputs!$E$55*(1+Inputs!$E$56)^($A30/12))*Inputs!$E$58*(1+Inputs!$E$59)^($A30/12)/Inputs!$E$45</f>
        <v>0.84660864339394049</v>
      </c>
      <c r="E30" s="35">
        <f>MAX(Inputs!$E$44,MIN(C30,D30))</f>
        <v>0.7</v>
      </c>
      <c r="F30" s="35">
        <f>IF(Inputs!$E$50&lt;=0,Inputs!$E$49,Inputs!$E$48+(Inputs!$E$49-Inputs!$E$48)*MIN($A30/Inputs!$E$50,1))</f>
        <v>8.9444444444444438E-2</v>
      </c>
      <c r="G30" s="36">
        <f>(Inputs!$E$41*(1-E30*Inputs!$E$51)+Inputs!$E$42*(1-F30*Inputs!$E$51))/(Inputs!$E$41*(1-Inputs!$E$44*Inputs!$E$51)+Inputs!$E$42*(1-Inputs!$E$48*Inputs!$E$51))</f>
        <v>0.86038107752956638</v>
      </c>
      <c r="H30" s="35">
        <f>IF(Inputs!$E$53&lt;=0,Inputs!$E$52,Inputs!$E$52*MIN($A30/Inputs!$E$53,1))</f>
        <v>5.2083333333333343E-2</v>
      </c>
      <c r="I30" s="35">
        <f>IF(Inputs!$E$64&lt;=0,Inputs!$E$63,Inputs!$E$62+(Inputs!$E$63-Inputs!$E$62)*MIN($A30/Inputs!$E$64,1))</f>
        <v>0.03</v>
      </c>
      <c r="J30" s="37">
        <f>(E30-Inputs!$E$44)*Inputs!$E$45/Inputs!$E$60*Inputs!$E$61</f>
        <v>5999.9999999999991</v>
      </c>
      <c r="K30" s="29">
        <f t="shared" si="0"/>
        <v>0</v>
      </c>
      <c r="L30" s="29"/>
      <c r="M30" s="38">
        <f>MAX(0,MIN(Inputs!$B$36,R29,N30+O30+P30+Inputs!$B$6-Q29))</f>
        <v>0</v>
      </c>
      <c r="N30" s="38">
        <f>Inputs!$B$27*(1+Inputs!$B$28)^($A30/12)*IF(Inputs!$B$70=1,$G30,1)*(1-Inputs!$C$70*$H30*(1-Inputs!$E$54*Inputs!$B$70))*(1+$I30)*IF(Inputs!$B$29=0,1,(MAX(Q29,0)/Inputs!$B$6)^Inputs!$B$29)</f>
        <v>17103.022096734247</v>
      </c>
      <c r="O30" s="38">
        <f>Inputs!$B$32*Q29/Inputs!$B$6</f>
        <v>6066.5204753475045</v>
      </c>
      <c r="P30" s="38">
        <f>Inputs!$B$33</f>
        <v>2500</v>
      </c>
      <c r="Q30" s="38">
        <f t="shared" si="1"/>
        <v>356296.56143127964</v>
      </c>
      <c r="R30" s="38">
        <f t="shared" si="2"/>
        <v>0</v>
      </c>
      <c r="S30" s="38">
        <f>Inputs!$B$19*(1-Inputs!$C$70*$H30)+Inputs!$B$21+Inputs!$B$70*$J30</f>
        <v>595000</v>
      </c>
      <c r="T30" s="38">
        <f t="shared" si="3"/>
        <v>-238703.43856872036</v>
      </c>
      <c r="U30" s="38">
        <f t="shared" si="4"/>
        <v>1</v>
      </c>
      <c r="V30" s="38">
        <f>MAX(0,MIN(Inputs!$C$36,AA29,W30+X30+Y30+Inputs!$C$6-Z29))</f>
        <v>21625</v>
      </c>
      <c r="W30" s="38">
        <f>Inputs!$C$27*(1+Inputs!$C$28)^($A30/12)*IF(Inputs!$B$70=1,$G30,1)*(1-Inputs!$C$70*$H30*(1-Inputs!$E$54*Inputs!$B$70))*(1+$I30)*IF(Inputs!$C$29=0,1,(MAX(Z29,0)/Inputs!$C$6)^Inputs!$C$29)</f>
        <v>12875</v>
      </c>
      <c r="X30" s="38">
        <f>Inputs!$C$32*Z29/Inputs!$C$6</f>
        <v>6749.9999999999991</v>
      </c>
      <c r="Y30" s="38">
        <f>Inputs!$C$33</f>
        <v>2000</v>
      </c>
      <c r="Z30" s="38">
        <f t="shared" si="5"/>
        <v>800000</v>
      </c>
      <c r="AA30" s="38">
        <f t="shared" si="6"/>
        <v>57687.5</v>
      </c>
      <c r="AB30" s="38">
        <f>Inputs!$C$19*(1-Inputs!$C$70*$H30)+Inputs!$C$21+Inputs!$B$70*$J30</f>
        <v>495000</v>
      </c>
      <c r="AC30" s="38">
        <f t="shared" si="7"/>
        <v>305000</v>
      </c>
      <c r="AD30" s="38">
        <f t="shared" si="8"/>
        <v>0</v>
      </c>
      <c r="AE30" s="38">
        <f>MAX(0,MIN(Inputs!$D$36,AJ29,AF30+AG30+AH30+Inputs!$D$6-AI29))</f>
        <v>14956.100662973477</v>
      </c>
      <c r="AF30" s="38">
        <f>Inputs!$D$27*(1+Inputs!$D$28)^($A30/12)*IF(Inputs!$B$70=1,$G30,1)*(1-Inputs!$C$70*$H30*(1-Inputs!$E$54*Inputs!$B$70))*(1+$I30)*IF(Inputs!$D$29=0,1,(MAX(AI29,0)/Inputs!$D$6)^Inputs!$D$29)</f>
        <v>9256.1006629734911</v>
      </c>
      <c r="AG30" s="38">
        <f>Inputs!$D$32*AI29/Inputs!$D$6</f>
        <v>4200</v>
      </c>
      <c r="AH30" s="38">
        <f>Inputs!$D$33</f>
        <v>1500</v>
      </c>
      <c r="AI30" s="38">
        <f t="shared" si="9"/>
        <v>880000</v>
      </c>
      <c r="AJ30" s="38">
        <f t="shared" si="10"/>
        <v>527132.8736856255</v>
      </c>
      <c r="AK30" s="38">
        <f>Inputs!$D$19*(1-Inputs!$C$70*$H30)+Inputs!$D$21+Inputs!$B$70*$J30</f>
        <v>404800</v>
      </c>
      <c r="AL30" s="38">
        <f t="shared" si="11"/>
        <v>475200</v>
      </c>
      <c r="AM30" s="38">
        <f t="shared" si="12"/>
        <v>0</v>
      </c>
      <c r="AN30" s="38">
        <f>MAX(0,MIN(Inputs!$B$36,AS29,AO30+AP30+AQ30+Inputs!$B$6-AR29))</f>
        <v>0</v>
      </c>
      <c r="AO30" s="38">
        <f>Inputs!$B$27*(1+Inputs!$B$28)^($A30/12)*IF(Inputs!$B$71=1,$G30,1)*(1-Inputs!$C$71*$H30*(1-Inputs!$E$54*Inputs!$B$71))*(1+$I30)*IF(Inputs!$B$29=0,1,(MAX(AR29,0)/Inputs!$B$6)^Inputs!$B$29)</f>
        <v>14715.116580600197</v>
      </c>
      <c r="AP30" s="38">
        <f>Inputs!$B$32*AR29/Inputs!$B$6</f>
        <v>6465.7456514502401</v>
      </c>
      <c r="AQ30" s="38">
        <f>Inputs!$B$33</f>
        <v>2500</v>
      </c>
      <c r="AR30" s="38">
        <f t="shared" si="13"/>
        <v>383421.64174814988</v>
      </c>
      <c r="AS30" s="38">
        <f t="shared" si="14"/>
        <v>0</v>
      </c>
      <c r="AT30" s="38">
        <f>Inputs!$B$19*(1-Inputs!$C$71*$H30)+Inputs!$B$21+Inputs!$B$71*$J30</f>
        <v>601000</v>
      </c>
      <c r="AU30" s="38">
        <f t="shared" si="15"/>
        <v>-217578.35825185012</v>
      </c>
      <c r="AV30" s="38">
        <f t="shared" si="16"/>
        <v>1</v>
      </c>
      <c r="AW30" s="38">
        <f>MAX(0,MIN(Inputs!$C$36,BB29,AX30+AY30+AZ30+Inputs!$C$6-BA29))</f>
        <v>19827.406373193138</v>
      </c>
      <c r="AX30" s="38">
        <f>Inputs!$C$27*(1+Inputs!$C$28)^($A30/12)*IF(Inputs!$B$71=1,$G30,1)*(1-Inputs!$C$71*$H30*(1-Inputs!$E$54*Inputs!$B$71))*(1+$I30)*IF(Inputs!$C$29=0,1,(MAX(BA29,0)/Inputs!$C$6)^Inputs!$C$29)</f>
        <v>11077.406373193167</v>
      </c>
      <c r="AY30" s="38">
        <f>Inputs!$C$32*BA29/Inputs!$C$6</f>
        <v>6749.9999999999991</v>
      </c>
      <c r="AZ30" s="38">
        <f>Inputs!$C$33</f>
        <v>2000</v>
      </c>
      <c r="BA30" s="38">
        <f t="shared" si="17"/>
        <v>800000</v>
      </c>
      <c r="BB30" s="38">
        <f t="shared" si="18"/>
        <v>81484.056750985561</v>
      </c>
      <c r="BC30" s="38">
        <f>Inputs!$C$19*(1-Inputs!$C$71*$H30)+Inputs!$C$21+Inputs!$B$71*$J30</f>
        <v>501000</v>
      </c>
      <c r="BD30" s="38">
        <f t="shared" si="19"/>
        <v>299000</v>
      </c>
      <c r="BE30" s="38">
        <f t="shared" si="20"/>
        <v>0</v>
      </c>
      <c r="BF30" s="38">
        <f>MAX(0,MIN(Inputs!$D$36,BK29,BG30+BH30+BI30+Inputs!$D$6-BJ29))</f>
        <v>13663.773862131289</v>
      </c>
      <c r="BG30" s="38">
        <f>Inputs!$D$27*(1+Inputs!$D$28)^($A30/12)*IF(Inputs!$B$71=1,$G30,1)*(1-Inputs!$C$71*$H30*(1-Inputs!$E$54*Inputs!$B$71))*(1+$I30)*IF(Inputs!$D$29=0,1,(MAX(BJ29,0)/Inputs!$D$6)^Inputs!$D$29)</f>
        <v>7963.7738621312656</v>
      </c>
      <c r="BH30" s="38">
        <f>Inputs!$D$32*BJ29/Inputs!$D$6</f>
        <v>4200</v>
      </c>
      <c r="BI30" s="38">
        <f>Inputs!$D$33</f>
        <v>1500</v>
      </c>
      <c r="BJ30" s="38">
        <f t="shared" si="21"/>
        <v>880000</v>
      </c>
      <c r="BK30" s="38">
        <f t="shared" si="22"/>
        <v>544839.70924540074</v>
      </c>
      <c r="BL30" s="38">
        <f>Inputs!$D$19*(1-Inputs!$C$71*$H30)+Inputs!$D$21+Inputs!$B$71*$J30</f>
        <v>410800</v>
      </c>
      <c r="BM30" s="38">
        <f t="shared" si="23"/>
        <v>469200</v>
      </c>
      <c r="BN30" s="38">
        <f t="shared" si="24"/>
        <v>0</v>
      </c>
      <c r="BO30" s="38">
        <f>MAX(0,MIN(Inputs!$B$36,BT29,BP30+BQ30+BR30+Inputs!$B$6-BS29))</f>
        <v>0</v>
      </c>
      <c r="BP30" s="38">
        <f>Inputs!$B$27*(1+Inputs!$B$28)^($A30/12)*IF(Inputs!$B$72=1,$G30,1)*(1-Inputs!$C$72*$H30*(1-Inputs!$E$54*Inputs!$B$72))*(1+$I30)*IF(Inputs!$B$29=0,1,(MAX(BS29,0)/Inputs!$B$6)^Inputs!$B$29)</f>
        <v>16212.23969586267</v>
      </c>
      <c r="BQ30" s="38">
        <f>Inputs!$B$32*BS29/Inputs!$B$6</f>
        <v>6211.1920748780713</v>
      </c>
      <c r="BR30" s="38">
        <f>Inputs!$B$33</f>
        <v>2500</v>
      </c>
      <c r="BS30" s="38">
        <f t="shared" si="25"/>
        <v>366151.6247956563</v>
      </c>
      <c r="BT30" s="38">
        <f t="shared" si="26"/>
        <v>0</v>
      </c>
      <c r="BU30" s="38">
        <f>Inputs!$B$19*(1-Inputs!$C$72*$H30)+Inputs!$B$21+Inputs!$B$72*$J30</f>
        <v>585885.41666666663</v>
      </c>
      <c r="BV30" s="38">
        <f t="shared" si="27"/>
        <v>-219733.79187101033</v>
      </c>
      <c r="BW30" s="38">
        <f t="shared" si="28"/>
        <v>1</v>
      </c>
      <c r="BX30" s="38">
        <f>MAX(0,MIN(Inputs!$C$36,CC29,BY30+BZ30+CA30+Inputs!$C$6-CB29))</f>
        <v>20954.427083333372</v>
      </c>
      <c r="BY30" s="38">
        <f>Inputs!$C$27*(1+Inputs!$C$28)^($A30/12)*IF(Inputs!$B$72=1,$G30,1)*(1-Inputs!$C$72*$H30*(1-Inputs!$E$54*Inputs!$B$72))*(1+$I30)*IF(Inputs!$C$29=0,1,(MAX(CB29,0)/Inputs!$C$6)^Inputs!$C$29)</f>
        <v>12204.427083333332</v>
      </c>
      <c r="BZ30" s="38">
        <f>Inputs!$C$32*CB29/Inputs!$C$6</f>
        <v>6749.9999999999991</v>
      </c>
      <c r="CA30" s="38">
        <f>Inputs!$C$33</f>
        <v>2000</v>
      </c>
      <c r="CB30" s="38">
        <f t="shared" si="29"/>
        <v>800000</v>
      </c>
      <c r="CC30" s="38">
        <f t="shared" si="30"/>
        <v>66330.078124999651</v>
      </c>
      <c r="CD30" s="38">
        <f>Inputs!$C$19*(1-Inputs!$C$72*$H30)+Inputs!$C$21+Inputs!$B$72*$J30</f>
        <v>487187.5</v>
      </c>
      <c r="CE30" s="38">
        <f t="shared" si="31"/>
        <v>312812.5</v>
      </c>
      <c r="CF30" s="38">
        <f t="shared" si="32"/>
        <v>0</v>
      </c>
      <c r="CG30" s="38">
        <f>MAX(0,MIN(Inputs!$D$36,CL29,CH30+CI30+CJ30+Inputs!$D$6-CK29))</f>
        <v>14474.0120867769</v>
      </c>
      <c r="CH30" s="38">
        <f>Inputs!$D$27*(1+Inputs!$D$28)^($A30/12)*IF(Inputs!$B$72=1,$G30,1)*(1-Inputs!$C$72*$H30*(1-Inputs!$E$54*Inputs!$B$72))*(1+$I30)*IF(Inputs!$D$29=0,1,(MAX(CK29,0)/Inputs!$D$6)^Inputs!$D$29)</f>
        <v>8774.0120867769547</v>
      </c>
      <c r="CI30" s="38">
        <f>Inputs!$D$32*CK29/Inputs!$D$6</f>
        <v>4200</v>
      </c>
      <c r="CJ30" s="38">
        <f>Inputs!$D$33</f>
        <v>1500</v>
      </c>
      <c r="CK30" s="38">
        <f t="shared" si="33"/>
        <v>880000</v>
      </c>
      <c r="CL30" s="38">
        <f t="shared" si="34"/>
        <v>533563.26757874945</v>
      </c>
      <c r="CM30" s="38">
        <f>Inputs!$D$19*(1-Inputs!$C$72*$H30)+Inputs!$D$21+Inputs!$B$72*$J30</f>
        <v>398211.45833333331</v>
      </c>
      <c r="CN30" s="38">
        <f t="shared" si="35"/>
        <v>481788.54166666669</v>
      </c>
      <c r="CO30" s="38">
        <f t="shared" si="36"/>
        <v>0</v>
      </c>
      <c r="CP30" s="38">
        <f>MAX(0,MIN(Inputs!$B$36,CU29,CQ30+CR30+CS30+Inputs!$B$6-CT29))</f>
        <v>0</v>
      </c>
      <c r="CQ30" s="38">
        <f>Inputs!$B$27*(1+Inputs!$B$28)^($A30/12)*IF(Inputs!$B$73=1,$G30,1)*(1-Inputs!$C$73*$H30*(1-Inputs!$E$54*Inputs!$B$73))*(1+$I30)*IF(Inputs!$B$29=0,1,(MAX(CT29,0)/Inputs!$B$6)^Inputs!$B$29)</f>
        <v>14331.910419647067</v>
      </c>
      <c r="CR30" s="38">
        <f>Inputs!$B$32*CT29/Inputs!$B$6</f>
        <v>6531.0053999923466</v>
      </c>
      <c r="CS30" s="38">
        <f>Inputs!$B$33</f>
        <v>2500</v>
      </c>
      <c r="CT30" s="38">
        <f t="shared" si="37"/>
        <v>387848.53529098985</v>
      </c>
      <c r="CU30" s="38">
        <f t="shared" si="38"/>
        <v>0</v>
      </c>
      <c r="CV30" s="38">
        <f>Inputs!$B$19*(1-Inputs!$C$73*$H30)+Inputs!$B$21+Inputs!$B$73*$J30</f>
        <v>591885.41666666663</v>
      </c>
      <c r="CW30" s="38">
        <f t="shared" si="39"/>
        <v>-204036.88137567678</v>
      </c>
      <c r="CX30" s="38">
        <f t="shared" si="40"/>
        <v>1</v>
      </c>
      <c r="CY30" s="38">
        <f>MAX(0,MIN(Inputs!$C$36,DD29,CZ30+DA30+DB30+Inputs!$C$6-DC29))</f>
        <v>19538.932248891215</v>
      </c>
      <c r="CZ30" s="38">
        <f>Inputs!$C$27*(1+Inputs!$C$28)^($A30/12)*IF(Inputs!$B$73=1,$G30,1)*(1-Inputs!$C$73*$H30*(1-Inputs!$E$54*Inputs!$B$73))*(1+$I30)*IF(Inputs!$C$29=0,1,(MAX(DC29,0)/Inputs!$C$6)^Inputs!$C$29)</f>
        <v>10788.932248891264</v>
      </c>
      <c r="DA30" s="38">
        <f>Inputs!$C$32*DC29/Inputs!$C$6</f>
        <v>6749.9999999999991</v>
      </c>
      <c r="DB30" s="38">
        <f>Inputs!$C$33</f>
        <v>2000</v>
      </c>
      <c r="DC30" s="38">
        <f t="shared" si="41"/>
        <v>800000</v>
      </c>
      <c r="DD30" s="38">
        <f t="shared" si="42"/>
        <v>85383.312972240383</v>
      </c>
      <c r="DE30" s="38">
        <f>Inputs!$C$19*(1-Inputs!$C$73*$H30)+Inputs!$C$21+Inputs!$B$73*$J30</f>
        <v>493187.5</v>
      </c>
      <c r="DF30" s="38">
        <f t="shared" si="43"/>
        <v>306812.5</v>
      </c>
      <c r="DG30" s="38">
        <f t="shared" si="44"/>
        <v>0</v>
      </c>
      <c r="DH30" s="38">
        <f>MAX(0,MIN(Inputs!$D$36,DM29,DI30+DJ30+DK30+Inputs!$D$6-DL29))</f>
        <v>13456.383917804924</v>
      </c>
      <c r="DI30" s="38">
        <f>Inputs!$D$27*(1+Inputs!$D$28)^($A30/12)*IF(Inputs!$B$73=1,$G30,1)*(1-Inputs!$C$73*$H30*(1-Inputs!$E$54*Inputs!$B$73))*(1+$I30)*IF(Inputs!$D$29=0,1,(MAX(DL29,0)/Inputs!$D$6)^Inputs!$D$29)</f>
        <v>7756.3839178049311</v>
      </c>
      <c r="DJ30" s="38">
        <f>Inputs!$D$32*DL29/Inputs!$D$6</f>
        <v>4200</v>
      </c>
      <c r="DK30" s="38">
        <f>Inputs!$D$33</f>
        <v>1500</v>
      </c>
      <c r="DL30" s="38">
        <f t="shared" si="45"/>
        <v>880000</v>
      </c>
      <c r="DM30" s="38">
        <f t="shared" si="46"/>
        <v>547743.71654764563</v>
      </c>
      <c r="DN30" s="38">
        <f>Inputs!$D$19*(1-Inputs!$C$73*$H30)+Inputs!$D$21+Inputs!$B$73*$J30</f>
        <v>404211.45833333331</v>
      </c>
      <c r="DO30" s="38">
        <f t="shared" si="47"/>
        <v>475788.54166666669</v>
      </c>
      <c r="DP30" s="38">
        <f t="shared" si="48"/>
        <v>0</v>
      </c>
    </row>
    <row r="31" spans="1:120" x14ac:dyDescent="0.35">
      <c r="A31" s="29">
        <v>26</v>
      </c>
      <c r="B31" s="34">
        <f>EDATE(Inputs!$B$67,$A31)</f>
        <v>47058</v>
      </c>
      <c r="C31" s="35">
        <f>IF(Inputs!$E$47&lt;=0,Inputs!$E$46,Inputs!$E$44+(Inputs!$E$46-Inputs!$E$44)*MIN($A31/Inputs!$E$47,1))</f>
        <v>0.7</v>
      </c>
      <c r="D31" s="35">
        <f>MIN(Inputs!$E$57,Inputs!$E$55*(1+Inputs!$E$56)^($A31/12))*Inputs!$E$58*(1+Inputs!$E$59)^($A31/12)/Inputs!$E$45</f>
        <v>0.87068293861677404</v>
      </c>
      <c r="E31" s="35">
        <f>MAX(Inputs!$E$44,MIN(C31,D31))</f>
        <v>0.7</v>
      </c>
      <c r="F31" s="35">
        <f>IF(Inputs!$E$50&lt;=0,Inputs!$E$49,Inputs!$E$48+(Inputs!$E$49-Inputs!$E$48)*MIN($A31/Inputs!$E$50,1))</f>
        <v>9.2222222222222219E-2</v>
      </c>
      <c r="G31" s="36">
        <f>(Inputs!$E$41*(1-E31*Inputs!$E$51)+Inputs!$E$42*(1-F31*Inputs!$E$51))/(Inputs!$E$41*(1-Inputs!$E$44*Inputs!$E$51)+Inputs!$E$42*(1-Inputs!$E$48*Inputs!$E$51))</f>
        <v>0.8587385019710907</v>
      </c>
      <c r="H31" s="35">
        <f>IF(Inputs!$E$53&lt;=0,Inputs!$E$52,Inputs!$E$52*MIN($A31/Inputs!$E$53,1))</f>
        <v>5.4166666666666669E-2</v>
      </c>
      <c r="I31" s="35">
        <f>IF(Inputs!$E$64&lt;=0,Inputs!$E$63,Inputs!$E$62+(Inputs!$E$63-Inputs!$E$62)*MIN($A31/Inputs!$E$64,1))</f>
        <v>0.03</v>
      </c>
      <c r="J31" s="37">
        <f>(E31-Inputs!$E$44)*Inputs!$E$45/Inputs!$E$60*Inputs!$E$61</f>
        <v>5999.9999999999991</v>
      </c>
      <c r="K31" s="29">
        <f t="shared" si="0"/>
        <v>0</v>
      </c>
      <c r="L31" s="29"/>
      <c r="M31" s="38">
        <f>MAX(0,MIN(Inputs!$B$36,R30,N31+O31+P31+Inputs!$B$6-Q30))</f>
        <v>0</v>
      </c>
      <c r="N31" s="38">
        <f>Inputs!$B$27*(1+Inputs!$B$28)^($A31/12)*IF(Inputs!$B$70=1,$G31,1)*(1-Inputs!$C$70*$H31*(1-Inputs!$E$54*Inputs!$B$70))*(1+$I31)*IF(Inputs!$B$29=0,1,(MAX(Q30,0)/Inputs!$B$6)^Inputs!$B$29)</f>
        <v>17172.701925830817</v>
      </c>
      <c r="O31" s="38">
        <f>Inputs!$B$32*Q30/Inputs!$B$6</f>
        <v>5658.8277403791471</v>
      </c>
      <c r="P31" s="38">
        <f>Inputs!$B$33</f>
        <v>2500</v>
      </c>
      <c r="Q31" s="38">
        <f t="shared" si="1"/>
        <v>330965.0317650697</v>
      </c>
      <c r="R31" s="38">
        <f t="shared" si="2"/>
        <v>0</v>
      </c>
      <c r="S31" s="38">
        <f>Inputs!$B$19*(1-Inputs!$C$70*$H31)+Inputs!$B$21+Inputs!$B$70*$J31</f>
        <v>595000</v>
      </c>
      <c r="T31" s="38">
        <f t="shared" si="3"/>
        <v>-264034.9682349303</v>
      </c>
      <c r="U31" s="38">
        <f t="shared" si="4"/>
        <v>1</v>
      </c>
      <c r="V31" s="38">
        <f>MAX(0,MIN(Inputs!$C$36,AA30,W31+X31+Y31+Inputs!$C$6-Z30))</f>
        <v>21625</v>
      </c>
      <c r="W31" s="38">
        <f>Inputs!$C$27*(1+Inputs!$C$28)^($A31/12)*IF(Inputs!$B$70=1,$G31,1)*(1-Inputs!$C$70*$H31*(1-Inputs!$E$54*Inputs!$B$70))*(1+$I31)*IF(Inputs!$C$29=0,1,(MAX(Z30,0)/Inputs!$C$6)^Inputs!$C$29)</f>
        <v>12875</v>
      </c>
      <c r="X31" s="38">
        <f>Inputs!$C$32*Z30/Inputs!$C$6</f>
        <v>6749.9999999999991</v>
      </c>
      <c r="Y31" s="38">
        <f>Inputs!$C$33</f>
        <v>2000</v>
      </c>
      <c r="Z31" s="38">
        <f t="shared" si="5"/>
        <v>800000</v>
      </c>
      <c r="AA31" s="38">
        <f t="shared" si="6"/>
        <v>36062.5</v>
      </c>
      <c r="AB31" s="38">
        <f>Inputs!$C$19*(1-Inputs!$C$70*$H31)+Inputs!$C$21+Inputs!$B$70*$J31</f>
        <v>495000</v>
      </c>
      <c r="AC31" s="38">
        <f t="shared" si="7"/>
        <v>305000</v>
      </c>
      <c r="AD31" s="38">
        <f t="shared" si="8"/>
        <v>0</v>
      </c>
      <c r="AE31" s="38">
        <f>MAX(0,MIN(Inputs!$D$36,AJ30,AF31+AG31+AH31+Inputs!$D$6-AI30))</f>
        <v>14916.620443008724</v>
      </c>
      <c r="AF31" s="38">
        <f>Inputs!$D$27*(1+Inputs!$D$28)^($A31/12)*IF(Inputs!$B$70=1,$G31,1)*(1-Inputs!$C$70*$H31*(1-Inputs!$E$54*Inputs!$B$70))*(1+$I31)*IF(Inputs!$D$29=0,1,(MAX(AI30,0)/Inputs!$D$6)^Inputs!$D$29)</f>
        <v>9216.6204430087164</v>
      </c>
      <c r="AG31" s="38">
        <f>Inputs!$D$32*AI30/Inputs!$D$6</f>
        <v>4200</v>
      </c>
      <c r="AH31" s="38">
        <f>Inputs!$D$33</f>
        <v>1500</v>
      </c>
      <c r="AI31" s="38">
        <f t="shared" si="9"/>
        <v>880000</v>
      </c>
      <c r="AJ31" s="38">
        <f t="shared" si="10"/>
        <v>512216.25324261677</v>
      </c>
      <c r="AK31" s="38">
        <f>Inputs!$D$19*(1-Inputs!$C$70*$H31)+Inputs!$D$21+Inputs!$B$70*$J31</f>
        <v>404800</v>
      </c>
      <c r="AL31" s="38">
        <f t="shared" si="11"/>
        <v>475200</v>
      </c>
      <c r="AM31" s="38">
        <f t="shared" si="12"/>
        <v>0</v>
      </c>
      <c r="AN31" s="38">
        <f>MAX(0,MIN(Inputs!$B$36,AS30,AO31+AP31+AQ31+Inputs!$B$6-AR30))</f>
        <v>0</v>
      </c>
      <c r="AO31" s="38">
        <f>Inputs!$B$27*(1+Inputs!$B$28)^($A31/12)*IF(Inputs!$B$71=1,$G31,1)*(1-Inputs!$C$71*$H31*(1-Inputs!$E$54*Inputs!$B$71))*(1+$I31)*IF(Inputs!$B$29=0,1,(MAX(AR30,0)/Inputs!$B$6)^Inputs!$B$29)</f>
        <v>14746.860326584019</v>
      </c>
      <c r="AP31" s="38">
        <f>Inputs!$B$32*AR30/Inputs!$B$6</f>
        <v>6089.6378395294396</v>
      </c>
      <c r="AQ31" s="38">
        <f>Inputs!$B$33</f>
        <v>2500</v>
      </c>
      <c r="AR31" s="38">
        <f t="shared" si="13"/>
        <v>360085.14358203643</v>
      </c>
      <c r="AS31" s="38">
        <f t="shared" si="14"/>
        <v>0</v>
      </c>
      <c r="AT31" s="38">
        <f>Inputs!$B$19*(1-Inputs!$C$71*$H31)+Inputs!$B$21+Inputs!$B$71*$J31</f>
        <v>601000</v>
      </c>
      <c r="AU31" s="38">
        <f t="shared" si="15"/>
        <v>-240914.85641796357</v>
      </c>
      <c r="AV31" s="38">
        <f t="shared" si="16"/>
        <v>1</v>
      </c>
      <c r="AW31" s="38">
        <f>MAX(0,MIN(Inputs!$C$36,BB30,AX31+AY31+AZ31+Inputs!$C$6-BA30))</f>
        <v>19806.258212877787</v>
      </c>
      <c r="AX31" s="38">
        <f>Inputs!$C$27*(1+Inputs!$C$28)^($A31/12)*IF(Inputs!$B$71=1,$G31,1)*(1-Inputs!$C$71*$H31*(1-Inputs!$E$54*Inputs!$B$71))*(1+$I31)*IF(Inputs!$C$29=0,1,(MAX(BA30,0)/Inputs!$C$6)^Inputs!$C$29)</f>
        <v>11056.258212877794</v>
      </c>
      <c r="AY31" s="38">
        <f>Inputs!$C$32*BA30/Inputs!$C$6</f>
        <v>6749.9999999999991</v>
      </c>
      <c r="AZ31" s="38">
        <f>Inputs!$C$33</f>
        <v>2000</v>
      </c>
      <c r="BA31" s="38">
        <f t="shared" si="17"/>
        <v>800000</v>
      </c>
      <c r="BB31" s="38">
        <f t="shared" si="18"/>
        <v>61677.798538107774</v>
      </c>
      <c r="BC31" s="38">
        <f>Inputs!$C$19*(1-Inputs!$C$71*$H31)+Inputs!$C$21+Inputs!$B$71*$J31</f>
        <v>501000</v>
      </c>
      <c r="BD31" s="38">
        <f t="shared" si="19"/>
        <v>299000</v>
      </c>
      <c r="BE31" s="38">
        <f t="shared" si="20"/>
        <v>0</v>
      </c>
      <c r="BF31" s="38">
        <f>MAX(0,MIN(Inputs!$D$36,BK30,BG31+BH31+BI31+Inputs!$D$6-BJ30))</f>
        <v>13614.666832465446</v>
      </c>
      <c r="BG31" s="38">
        <f>Inputs!$D$27*(1+Inputs!$D$28)^($A31/12)*IF(Inputs!$B$71=1,$G31,1)*(1-Inputs!$C$71*$H31*(1-Inputs!$E$54*Inputs!$B$71))*(1+$I31)*IF(Inputs!$D$29=0,1,(MAX(BJ30,0)/Inputs!$D$6)^Inputs!$D$29)</f>
        <v>7914.6668324654365</v>
      </c>
      <c r="BH31" s="38">
        <f>Inputs!$D$32*BJ30/Inputs!$D$6</f>
        <v>4200</v>
      </c>
      <c r="BI31" s="38">
        <f>Inputs!$D$33</f>
        <v>1500</v>
      </c>
      <c r="BJ31" s="38">
        <f t="shared" si="21"/>
        <v>880000</v>
      </c>
      <c r="BK31" s="38">
        <f t="shared" si="22"/>
        <v>531225.04241293529</v>
      </c>
      <c r="BL31" s="38">
        <f>Inputs!$D$19*(1-Inputs!$C$71*$H31)+Inputs!$D$21+Inputs!$B$71*$J31</f>
        <v>410800</v>
      </c>
      <c r="BM31" s="38">
        <f t="shared" si="23"/>
        <v>469200</v>
      </c>
      <c r="BN31" s="38">
        <f t="shared" si="24"/>
        <v>0</v>
      </c>
      <c r="BO31" s="38">
        <f>MAX(0,MIN(Inputs!$B$36,BT30,BP31+BQ31+BR31+Inputs!$B$6-BS30))</f>
        <v>0</v>
      </c>
      <c r="BP31" s="38">
        <f>Inputs!$B$27*(1+Inputs!$B$28)^($A31/12)*IF(Inputs!$B$72=1,$G31,1)*(1-Inputs!$C$72*$H31*(1-Inputs!$E$54*Inputs!$B$72))*(1+$I31)*IF(Inputs!$B$29=0,1,(MAX(BS30,0)/Inputs!$B$6)^Inputs!$B$29)</f>
        <v>16242.513904848312</v>
      </c>
      <c r="BQ31" s="38">
        <f>Inputs!$B$32*BS30/Inputs!$B$6</f>
        <v>5815.3493349898354</v>
      </c>
      <c r="BR31" s="38">
        <f>Inputs!$B$33</f>
        <v>2500</v>
      </c>
      <c r="BS31" s="38">
        <f t="shared" si="25"/>
        <v>341593.76155581814</v>
      </c>
      <c r="BT31" s="38">
        <f t="shared" si="26"/>
        <v>0</v>
      </c>
      <c r="BU31" s="38">
        <f>Inputs!$B$19*(1-Inputs!$C$72*$H31)+Inputs!$B$21+Inputs!$B$72*$J31</f>
        <v>585520.83333333326</v>
      </c>
      <c r="BV31" s="38">
        <f t="shared" si="27"/>
        <v>-243927.07177751511</v>
      </c>
      <c r="BW31" s="38">
        <f t="shared" si="28"/>
        <v>1</v>
      </c>
      <c r="BX31" s="38">
        <f>MAX(0,MIN(Inputs!$C$36,CC30,BY31+BZ31+CA31+Inputs!$C$6-CB30))</f>
        <v>20927.604166666628</v>
      </c>
      <c r="BY31" s="38">
        <f>Inputs!$C$27*(1+Inputs!$C$28)^($A31/12)*IF(Inputs!$B$72=1,$G31,1)*(1-Inputs!$C$72*$H31*(1-Inputs!$E$54*Inputs!$B$72))*(1+$I31)*IF(Inputs!$C$29=0,1,(MAX(CB30,0)/Inputs!$C$6)^Inputs!$C$29)</f>
        <v>12177.604166666666</v>
      </c>
      <c r="BZ31" s="38">
        <f>Inputs!$C$32*CB30/Inputs!$C$6</f>
        <v>6749.9999999999991</v>
      </c>
      <c r="CA31" s="38">
        <f>Inputs!$C$33</f>
        <v>2000</v>
      </c>
      <c r="CB31" s="38">
        <f t="shared" si="29"/>
        <v>800000</v>
      </c>
      <c r="CC31" s="38">
        <f t="shared" si="30"/>
        <v>45402.473958333023</v>
      </c>
      <c r="CD31" s="38">
        <f>Inputs!$C$19*(1-Inputs!$C$72*$H31)+Inputs!$C$21+Inputs!$B$72*$J31</f>
        <v>486875</v>
      </c>
      <c r="CE31" s="38">
        <f t="shared" si="31"/>
        <v>313125</v>
      </c>
      <c r="CF31" s="38">
        <f t="shared" si="32"/>
        <v>0</v>
      </c>
      <c r="CG31" s="38">
        <f>MAX(0,MIN(Inputs!$D$36,CL30,CH31+CI31+CJ31+Inputs!$D$6-CK30))</f>
        <v>14417.386835679063</v>
      </c>
      <c r="CH31" s="38">
        <f>Inputs!$D$27*(1+Inputs!$D$28)^($A31/12)*IF(Inputs!$B$72=1,$G31,1)*(1-Inputs!$C$72*$H31*(1-Inputs!$E$54*Inputs!$B$72))*(1+$I31)*IF(Inputs!$D$29=0,1,(MAX(CK30,0)/Inputs!$D$6)^Inputs!$D$29)</f>
        <v>8717.3868356790772</v>
      </c>
      <c r="CI31" s="38">
        <f>Inputs!$D$32*CK30/Inputs!$D$6</f>
        <v>4200</v>
      </c>
      <c r="CJ31" s="38">
        <f>Inputs!$D$33</f>
        <v>1500</v>
      </c>
      <c r="CK31" s="38">
        <f t="shared" si="33"/>
        <v>880000</v>
      </c>
      <c r="CL31" s="38">
        <f t="shared" si="34"/>
        <v>519145.88074307039</v>
      </c>
      <c r="CM31" s="38">
        <f>Inputs!$D$19*(1-Inputs!$C$72*$H31)+Inputs!$D$21+Inputs!$B$72*$J31</f>
        <v>397947.91666666663</v>
      </c>
      <c r="CN31" s="38">
        <f t="shared" si="35"/>
        <v>482052.08333333337</v>
      </c>
      <c r="CO31" s="38">
        <f t="shared" si="36"/>
        <v>0</v>
      </c>
      <c r="CP31" s="38">
        <f>MAX(0,MIN(Inputs!$B$36,CU30,CQ31+CR31+CS31+Inputs!$B$6-CT30))</f>
        <v>0</v>
      </c>
      <c r="CQ31" s="38">
        <f>Inputs!$B$27*(1+Inputs!$B$28)^($A31/12)*IF(Inputs!$B$73=1,$G31,1)*(1-Inputs!$C$73*$H31*(1-Inputs!$E$54*Inputs!$B$73))*(1+$I31)*IF(Inputs!$B$29=0,1,(MAX(CT30,0)/Inputs!$B$6)^Inputs!$B$29)</f>
        <v>14347.466192739033</v>
      </c>
      <c r="CR31" s="38">
        <f>Inputs!$B$32*CT30/Inputs!$B$6</f>
        <v>6159.9473252098387</v>
      </c>
      <c r="CS31" s="38">
        <f>Inputs!$B$33</f>
        <v>2500</v>
      </c>
      <c r="CT31" s="38">
        <f t="shared" si="37"/>
        <v>364841.12177304097</v>
      </c>
      <c r="CU31" s="38">
        <f t="shared" si="38"/>
        <v>0</v>
      </c>
      <c r="CV31" s="38">
        <f>Inputs!$B$19*(1-Inputs!$C$73*$H31)+Inputs!$B$21+Inputs!$B$73*$J31</f>
        <v>591520.83333333326</v>
      </c>
      <c r="CW31" s="38">
        <f t="shared" si="39"/>
        <v>-226679.71156029229</v>
      </c>
      <c r="CX31" s="38">
        <f t="shared" si="40"/>
        <v>1</v>
      </c>
      <c r="CY31" s="38">
        <f>MAX(0,MIN(Inputs!$C$36,DD30,CZ31+DA31+DB31+Inputs!$C$6-DC30))</f>
        <v>19506.817886278965</v>
      </c>
      <c r="CZ31" s="38">
        <f>Inputs!$C$27*(1+Inputs!$C$28)^($A31/12)*IF(Inputs!$B$73=1,$G31,1)*(1-Inputs!$C$73*$H31*(1-Inputs!$E$54*Inputs!$B$73))*(1+$I31)*IF(Inputs!$C$29=0,1,(MAX(DC30,0)/Inputs!$C$6)^Inputs!$C$29)</f>
        <v>10756.817886279019</v>
      </c>
      <c r="DA31" s="38">
        <f>Inputs!$C$32*DC30/Inputs!$C$6</f>
        <v>6749.9999999999991</v>
      </c>
      <c r="DB31" s="38">
        <f>Inputs!$C$33</f>
        <v>2000</v>
      </c>
      <c r="DC31" s="38">
        <f t="shared" si="41"/>
        <v>800000</v>
      </c>
      <c r="DD31" s="38">
        <f t="shared" si="42"/>
        <v>65876.495085961418</v>
      </c>
      <c r="DE31" s="38">
        <f>Inputs!$C$19*(1-Inputs!$C$73*$H31)+Inputs!$C$21+Inputs!$B$73*$J31</f>
        <v>492875</v>
      </c>
      <c r="DF31" s="38">
        <f t="shared" si="43"/>
        <v>307125</v>
      </c>
      <c r="DG31" s="38">
        <f t="shared" si="44"/>
        <v>0</v>
      </c>
      <c r="DH31" s="38">
        <f>MAX(0,MIN(Inputs!$D$36,DM30,DI31+DJ31+DK31+Inputs!$D$6-DL30))</f>
        <v>13400.311272419523</v>
      </c>
      <c r="DI31" s="38">
        <f>Inputs!$D$27*(1+Inputs!$D$28)^($A31/12)*IF(Inputs!$B$73=1,$G31,1)*(1-Inputs!$C$73*$H31*(1-Inputs!$E$54*Inputs!$B$73))*(1+$I31)*IF(Inputs!$D$29=0,1,(MAX(DL30,0)/Inputs!$D$6)^Inputs!$D$29)</f>
        <v>7700.3112724194971</v>
      </c>
      <c r="DJ31" s="38">
        <f>Inputs!$D$32*DL30/Inputs!$D$6</f>
        <v>4200</v>
      </c>
      <c r="DK31" s="38">
        <f>Inputs!$D$33</f>
        <v>1500</v>
      </c>
      <c r="DL31" s="38">
        <f t="shared" si="45"/>
        <v>880000</v>
      </c>
      <c r="DM31" s="38">
        <f t="shared" si="46"/>
        <v>534343.40527522611</v>
      </c>
      <c r="DN31" s="38">
        <f>Inputs!$D$19*(1-Inputs!$C$73*$H31)+Inputs!$D$21+Inputs!$B$73*$J31</f>
        <v>403947.91666666663</v>
      </c>
      <c r="DO31" s="38">
        <f t="shared" si="47"/>
        <v>476052.08333333337</v>
      </c>
      <c r="DP31" s="38">
        <f t="shared" si="48"/>
        <v>0</v>
      </c>
    </row>
    <row r="32" spans="1:120" x14ac:dyDescent="0.35">
      <c r="A32" s="29">
        <v>27</v>
      </c>
      <c r="B32" s="34">
        <f>EDATE(Inputs!$B$67,$A32)</f>
        <v>47088</v>
      </c>
      <c r="C32" s="35">
        <f>IF(Inputs!$E$47&lt;=0,Inputs!$E$46,Inputs!$E$44+(Inputs!$E$46-Inputs!$E$44)*MIN($A32/Inputs!$E$47,1))</f>
        <v>0.7</v>
      </c>
      <c r="D32" s="35">
        <f>MIN(Inputs!$E$57,Inputs!$E$55*(1+Inputs!$E$56)^($A32/12))*Inputs!$E$58*(1+Inputs!$E$59)^($A32/12)/Inputs!$E$45</f>
        <v>0.89544181424756653</v>
      </c>
      <c r="E32" s="35">
        <f>MAX(Inputs!$E$44,MIN(C32,D32))</f>
        <v>0.7</v>
      </c>
      <c r="F32" s="35">
        <f>IF(Inputs!$E$50&lt;=0,Inputs!$E$49,Inputs!$E$48+(Inputs!$E$49-Inputs!$E$48)*MIN($A32/Inputs!$E$50,1))</f>
        <v>9.5000000000000001E-2</v>
      </c>
      <c r="G32" s="36">
        <f>(Inputs!$E$41*(1-E32*Inputs!$E$51)+Inputs!$E$42*(1-F32*Inputs!$E$51))/(Inputs!$E$41*(1-Inputs!$E$44*Inputs!$E$51)+Inputs!$E$42*(1-Inputs!$E$48*Inputs!$E$51))</f>
        <v>0.85709592641261489</v>
      </c>
      <c r="H32" s="35">
        <f>IF(Inputs!$E$53&lt;=0,Inputs!$E$52,Inputs!$E$52*MIN($A32/Inputs!$E$53,1))</f>
        <v>5.6250000000000001E-2</v>
      </c>
      <c r="I32" s="35">
        <f>IF(Inputs!$E$64&lt;=0,Inputs!$E$63,Inputs!$E$62+(Inputs!$E$63-Inputs!$E$62)*MIN($A32/Inputs!$E$64,1))</f>
        <v>0.03</v>
      </c>
      <c r="J32" s="37">
        <f>(E32-Inputs!$E$44)*Inputs!$E$45/Inputs!$E$60*Inputs!$E$61</f>
        <v>5999.9999999999991</v>
      </c>
      <c r="K32" s="29">
        <f t="shared" si="0"/>
        <v>0</v>
      </c>
      <c r="L32" s="29"/>
      <c r="M32" s="38">
        <f>MAX(0,MIN(Inputs!$B$36,R31,N32+O32+P32+Inputs!$B$6-Q31))</f>
        <v>0</v>
      </c>
      <c r="N32" s="38">
        <f>Inputs!$B$27*(1+Inputs!$B$28)^($A32/12)*IF(Inputs!$B$70=1,$G32,1)*(1-Inputs!$C$70*$H32*(1-Inputs!$E$54*Inputs!$B$70))*(1+$I32)*IF(Inputs!$B$29=0,1,(MAX(Q31,0)/Inputs!$B$6)^Inputs!$B$29)</f>
        <v>17242.665639176346</v>
      </c>
      <c r="O32" s="38">
        <f>Inputs!$B$32*Q31/Inputs!$B$6</f>
        <v>5256.5034456805188</v>
      </c>
      <c r="P32" s="38">
        <f>Inputs!$B$33</f>
        <v>2500</v>
      </c>
      <c r="Q32" s="38">
        <f t="shared" si="1"/>
        <v>305965.86268021283</v>
      </c>
      <c r="R32" s="38">
        <f t="shared" si="2"/>
        <v>0</v>
      </c>
      <c r="S32" s="38">
        <f>Inputs!$B$19*(1-Inputs!$C$70*$H32)+Inputs!$B$21+Inputs!$B$70*$J32</f>
        <v>595000</v>
      </c>
      <c r="T32" s="38">
        <f t="shared" si="3"/>
        <v>-289034.13731978717</v>
      </c>
      <c r="U32" s="38">
        <f t="shared" si="4"/>
        <v>1</v>
      </c>
      <c r="V32" s="38">
        <f>MAX(0,MIN(Inputs!$C$36,AA31,W32+X32+Y32+Inputs!$C$6-Z31))</f>
        <v>21625</v>
      </c>
      <c r="W32" s="38">
        <f>Inputs!$C$27*(1+Inputs!$C$28)^($A32/12)*IF(Inputs!$B$70=1,$G32,1)*(1-Inputs!$C$70*$H32*(1-Inputs!$E$54*Inputs!$B$70))*(1+$I32)*IF(Inputs!$C$29=0,1,(MAX(Z31,0)/Inputs!$C$6)^Inputs!$C$29)</f>
        <v>12875</v>
      </c>
      <c r="X32" s="38">
        <f>Inputs!$C$32*Z31/Inputs!$C$6</f>
        <v>6749.9999999999991</v>
      </c>
      <c r="Y32" s="38">
        <f>Inputs!$C$33</f>
        <v>2000</v>
      </c>
      <c r="Z32" s="38">
        <f t="shared" si="5"/>
        <v>800000</v>
      </c>
      <c r="AA32" s="38">
        <f t="shared" si="6"/>
        <v>14437.5</v>
      </c>
      <c r="AB32" s="38">
        <f>Inputs!$C$19*(1-Inputs!$C$70*$H32)+Inputs!$C$21+Inputs!$B$70*$J32</f>
        <v>495000</v>
      </c>
      <c r="AC32" s="38">
        <f t="shared" si="7"/>
        <v>305000</v>
      </c>
      <c r="AD32" s="38">
        <f t="shared" si="8"/>
        <v>0</v>
      </c>
      <c r="AE32" s="38">
        <f>MAX(0,MIN(Inputs!$D$36,AJ31,AF32+AG32+AH32+Inputs!$D$6-AI31))</f>
        <v>14877.308618767536</v>
      </c>
      <c r="AF32" s="38">
        <f>Inputs!$D$27*(1+Inputs!$D$28)^($A32/12)*IF(Inputs!$B$70=1,$G32,1)*(1-Inputs!$C$70*$H32*(1-Inputs!$E$54*Inputs!$B$70))*(1+$I32)*IF(Inputs!$D$29=0,1,(MAX(AI31,0)/Inputs!$D$6)^Inputs!$D$29)</f>
        <v>9177.3086187675035</v>
      </c>
      <c r="AG32" s="38">
        <f>Inputs!$D$32*AI31/Inputs!$D$6</f>
        <v>4200</v>
      </c>
      <c r="AH32" s="38">
        <f>Inputs!$D$33</f>
        <v>1500</v>
      </c>
      <c r="AI32" s="38">
        <f t="shared" si="9"/>
        <v>880000</v>
      </c>
      <c r="AJ32" s="38">
        <f t="shared" si="10"/>
        <v>497338.94462384924</v>
      </c>
      <c r="AK32" s="38">
        <f>Inputs!$D$19*(1-Inputs!$C$70*$H32)+Inputs!$D$21+Inputs!$B$70*$J32</f>
        <v>404800</v>
      </c>
      <c r="AL32" s="38">
        <f t="shared" si="11"/>
        <v>475200</v>
      </c>
      <c r="AM32" s="38">
        <f t="shared" si="12"/>
        <v>0</v>
      </c>
      <c r="AN32" s="38">
        <f>MAX(0,MIN(Inputs!$B$36,AS31,AO32+AP32+AQ32+Inputs!$B$6-AR31))</f>
        <v>0</v>
      </c>
      <c r="AO32" s="38">
        <f>Inputs!$B$27*(1+Inputs!$B$28)^($A32/12)*IF(Inputs!$B$71=1,$G32,1)*(1-Inputs!$C$71*$H32*(1-Inputs!$E$54*Inputs!$B$71))*(1+$I32)*IF(Inputs!$B$29=0,1,(MAX(AR31,0)/Inputs!$B$6)^Inputs!$B$29)</f>
        <v>14778.618479832812</v>
      </c>
      <c r="AP32" s="38">
        <f>Inputs!$B$32*AR31/Inputs!$B$6</f>
        <v>5718.9993392441074</v>
      </c>
      <c r="AQ32" s="38">
        <f>Inputs!$B$33</f>
        <v>2500</v>
      </c>
      <c r="AR32" s="38">
        <f t="shared" si="13"/>
        <v>337087.5257629595</v>
      </c>
      <c r="AS32" s="38">
        <f t="shared" si="14"/>
        <v>0</v>
      </c>
      <c r="AT32" s="38">
        <f>Inputs!$B$19*(1-Inputs!$C$71*$H32)+Inputs!$B$21+Inputs!$B$71*$J32</f>
        <v>601000</v>
      </c>
      <c r="AU32" s="38">
        <f t="shared" si="15"/>
        <v>-263912.4742370405</v>
      </c>
      <c r="AV32" s="38">
        <f t="shared" si="16"/>
        <v>1</v>
      </c>
      <c r="AW32" s="38">
        <f>MAX(0,MIN(Inputs!$C$36,BB31,AX32+AY32+AZ32+Inputs!$C$6-BA31))</f>
        <v>19785.110052562435</v>
      </c>
      <c r="AX32" s="38">
        <f>Inputs!$C$27*(1+Inputs!$C$28)^($A32/12)*IF(Inputs!$B$71=1,$G32,1)*(1-Inputs!$C$71*$H32*(1-Inputs!$E$54*Inputs!$B$71))*(1+$I32)*IF(Inputs!$C$29=0,1,(MAX(BA31,0)/Inputs!$C$6)^Inputs!$C$29)</f>
        <v>11035.110052562417</v>
      </c>
      <c r="AY32" s="38">
        <f>Inputs!$C$32*BA31/Inputs!$C$6</f>
        <v>6749.9999999999991</v>
      </c>
      <c r="AZ32" s="38">
        <f>Inputs!$C$33</f>
        <v>2000</v>
      </c>
      <c r="BA32" s="38">
        <f t="shared" si="17"/>
        <v>800000</v>
      </c>
      <c r="BB32" s="38">
        <f t="shared" si="18"/>
        <v>41892.688485545339</v>
      </c>
      <c r="BC32" s="38">
        <f>Inputs!$C$19*(1-Inputs!$C$71*$H32)+Inputs!$C$21+Inputs!$B$71*$J32</f>
        <v>501000</v>
      </c>
      <c r="BD32" s="38">
        <f t="shared" si="19"/>
        <v>299000</v>
      </c>
      <c r="BE32" s="38">
        <f t="shared" si="20"/>
        <v>0</v>
      </c>
      <c r="BF32" s="38">
        <f>MAX(0,MIN(Inputs!$D$36,BK31,BG32+BH32+BI32+Inputs!$D$6-BJ31))</f>
        <v>13565.833832576987</v>
      </c>
      <c r="BG32" s="38">
        <f>Inputs!$D$27*(1+Inputs!$D$28)^($A32/12)*IF(Inputs!$B$71=1,$G32,1)*(1-Inputs!$C$71*$H32*(1-Inputs!$E$54*Inputs!$B$71))*(1+$I32)*IF(Inputs!$D$29=0,1,(MAX(BJ31,0)/Inputs!$D$6)^Inputs!$D$29)</f>
        <v>7865.8338325770083</v>
      </c>
      <c r="BH32" s="38">
        <f>Inputs!$D$32*BJ31/Inputs!$D$6</f>
        <v>4200</v>
      </c>
      <c r="BI32" s="38">
        <f>Inputs!$D$33</f>
        <v>1500</v>
      </c>
      <c r="BJ32" s="38">
        <f t="shared" si="21"/>
        <v>880000</v>
      </c>
      <c r="BK32" s="38">
        <f t="shared" si="22"/>
        <v>517659.2085803583</v>
      </c>
      <c r="BL32" s="38">
        <f>Inputs!$D$19*(1-Inputs!$C$71*$H32)+Inputs!$D$21+Inputs!$B$71*$J32</f>
        <v>410800</v>
      </c>
      <c r="BM32" s="38">
        <f t="shared" si="23"/>
        <v>469200</v>
      </c>
      <c r="BN32" s="38">
        <f t="shared" si="24"/>
        <v>0</v>
      </c>
      <c r="BO32" s="38">
        <f>MAX(0,MIN(Inputs!$B$36,BT31,BP32+BQ32+BR32+Inputs!$B$6-BS31))</f>
        <v>0</v>
      </c>
      <c r="BP32" s="38">
        <f>Inputs!$B$27*(1+Inputs!$B$28)^($A32/12)*IF(Inputs!$B$72=1,$G32,1)*(1-Inputs!$C$72*$H32*(1-Inputs!$E$54*Inputs!$B$72))*(1+$I32)*IF(Inputs!$B$29=0,1,(MAX(BS31,0)/Inputs!$B$6)^Inputs!$B$29)</f>
        <v>16272.765696972678</v>
      </c>
      <c r="BQ32" s="38">
        <f>Inputs!$B$32*BS31/Inputs!$B$6</f>
        <v>5425.3126835335825</v>
      </c>
      <c r="BR32" s="38">
        <f>Inputs!$B$33</f>
        <v>2500</v>
      </c>
      <c r="BS32" s="38">
        <f t="shared" si="25"/>
        <v>317395.68317531189</v>
      </c>
      <c r="BT32" s="38">
        <f t="shared" si="26"/>
        <v>0</v>
      </c>
      <c r="BU32" s="38">
        <f>Inputs!$B$19*(1-Inputs!$C$72*$H32)+Inputs!$B$21+Inputs!$B$72*$J32</f>
        <v>585156.25</v>
      </c>
      <c r="BV32" s="38">
        <f t="shared" si="27"/>
        <v>-267760.56682468811</v>
      </c>
      <c r="BW32" s="38">
        <f t="shared" si="28"/>
        <v>1</v>
      </c>
      <c r="BX32" s="38">
        <f>MAX(0,MIN(Inputs!$C$36,CC31,BY32+BZ32+CA32+Inputs!$C$6-CB31))</f>
        <v>20900.78125</v>
      </c>
      <c r="BY32" s="38">
        <f>Inputs!$C$27*(1+Inputs!$C$28)^($A32/12)*IF(Inputs!$B$72=1,$G32,1)*(1-Inputs!$C$72*$H32*(1-Inputs!$E$54*Inputs!$B$72))*(1+$I32)*IF(Inputs!$C$29=0,1,(MAX(CB31,0)/Inputs!$C$6)^Inputs!$C$29)</f>
        <v>12150.78125</v>
      </c>
      <c r="BZ32" s="38">
        <f>Inputs!$C$32*CB31/Inputs!$C$6</f>
        <v>6749.9999999999991</v>
      </c>
      <c r="CA32" s="38">
        <f>Inputs!$C$33</f>
        <v>2000</v>
      </c>
      <c r="CB32" s="38">
        <f t="shared" si="29"/>
        <v>800000</v>
      </c>
      <c r="CC32" s="38">
        <f t="shared" si="30"/>
        <v>24501.692708333023</v>
      </c>
      <c r="CD32" s="38">
        <f>Inputs!$C$19*(1-Inputs!$C$72*$H32)+Inputs!$C$21+Inputs!$B$72*$J32</f>
        <v>486562.5</v>
      </c>
      <c r="CE32" s="38">
        <f t="shared" si="31"/>
        <v>313437.5</v>
      </c>
      <c r="CF32" s="38">
        <f t="shared" si="32"/>
        <v>0</v>
      </c>
      <c r="CG32" s="38">
        <f>MAX(0,MIN(Inputs!$D$36,CL31,CH32+CI32+CJ32+Inputs!$D$6-CK31))</f>
        <v>14361.085008961847</v>
      </c>
      <c r="CH32" s="38">
        <f>Inputs!$D$27*(1+Inputs!$D$28)^($A32/12)*IF(Inputs!$B$72=1,$G32,1)*(1-Inputs!$C$72*$H32*(1-Inputs!$E$54*Inputs!$B$72))*(1+$I32)*IF(Inputs!$D$29=0,1,(MAX(CK31,0)/Inputs!$D$6)^Inputs!$D$29)</f>
        <v>8661.0850089618307</v>
      </c>
      <c r="CI32" s="38">
        <f>Inputs!$D$32*CK31/Inputs!$D$6</f>
        <v>4200</v>
      </c>
      <c r="CJ32" s="38">
        <f>Inputs!$D$33</f>
        <v>1500</v>
      </c>
      <c r="CK32" s="38">
        <f t="shared" si="33"/>
        <v>880000</v>
      </c>
      <c r="CL32" s="38">
        <f t="shared" si="34"/>
        <v>504784.79573410854</v>
      </c>
      <c r="CM32" s="38">
        <f>Inputs!$D$19*(1-Inputs!$C$72*$H32)+Inputs!$D$21+Inputs!$B$72*$J32</f>
        <v>397684.375</v>
      </c>
      <c r="CN32" s="38">
        <f t="shared" si="35"/>
        <v>482315.625</v>
      </c>
      <c r="CO32" s="38">
        <f t="shared" si="36"/>
        <v>0</v>
      </c>
      <c r="CP32" s="38">
        <f>MAX(0,MIN(Inputs!$B$36,CU31,CQ32+CR32+CS32+Inputs!$B$6-CT31))</f>
        <v>0</v>
      </c>
      <c r="CQ32" s="38">
        <f>Inputs!$B$27*(1+Inputs!$B$28)^($A32/12)*IF(Inputs!$B$73=1,$G32,1)*(1-Inputs!$C$73*$H32*(1-Inputs!$E$54*Inputs!$B$73))*(1+$I32)*IF(Inputs!$B$29=0,1,(MAX(CT31,0)/Inputs!$B$6)^Inputs!$B$29)</f>
        <v>14362.969835087517</v>
      </c>
      <c r="CR32" s="38">
        <f>Inputs!$B$32*CT31/Inputs!$B$6</f>
        <v>5794.53546345418</v>
      </c>
      <c r="CS32" s="38">
        <f>Inputs!$B$33</f>
        <v>2500</v>
      </c>
      <c r="CT32" s="38">
        <f t="shared" si="37"/>
        <v>342183.61647449923</v>
      </c>
      <c r="CU32" s="38">
        <f t="shared" si="38"/>
        <v>0</v>
      </c>
      <c r="CV32" s="38">
        <f>Inputs!$B$19*(1-Inputs!$C$73*$H32)+Inputs!$B$21+Inputs!$B$73*$J32</f>
        <v>591156.25</v>
      </c>
      <c r="CW32" s="38">
        <f t="shared" si="39"/>
        <v>-248972.63352550077</v>
      </c>
      <c r="CX32" s="38">
        <f t="shared" si="40"/>
        <v>1</v>
      </c>
      <c r="CY32" s="38">
        <f>MAX(0,MIN(Inputs!$C$36,DD31,CZ32+DA32+DB32+Inputs!$C$6-DC31))</f>
        <v>19474.747582334094</v>
      </c>
      <c r="CZ32" s="38">
        <f>Inputs!$C$27*(1+Inputs!$C$28)^($A32/12)*IF(Inputs!$B$73=1,$G32,1)*(1-Inputs!$C$73*$H32*(1-Inputs!$E$54*Inputs!$B$73))*(1+$I32)*IF(Inputs!$C$29=0,1,(MAX(DC31,0)/Inputs!$C$6)^Inputs!$C$29)</f>
        <v>10724.747582334099</v>
      </c>
      <c r="DA32" s="38">
        <f>Inputs!$C$32*DC31/Inputs!$C$6</f>
        <v>6749.9999999999991</v>
      </c>
      <c r="DB32" s="38">
        <f>Inputs!$C$33</f>
        <v>2000</v>
      </c>
      <c r="DC32" s="38">
        <f t="shared" si="41"/>
        <v>800000</v>
      </c>
      <c r="DD32" s="38">
        <f t="shared" si="42"/>
        <v>46401.747503627324</v>
      </c>
      <c r="DE32" s="38">
        <f>Inputs!$C$19*(1-Inputs!$C$73*$H32)+Inputs!$C$21+Inputs!$B$73*$J32</f>
        <v>492562.5</v>
      </c>
      <c r="DF32" s="38">
        <f t="shared" si="43"/>
        <v>307437.5</v>
      </c>
      <c r="DG32" s="38">
        <f t="shared" si="44"/>
        <v>0</v>
      </c>
      <c r="DH32" s="38">
        <f>MAX(0,MIN(Inputs!$D$36,DM31,DI32+DJ32+DK32+Inputs!$D$6-DL31))</f>
        <v>13344.607256035786</v>
      </c>
      <c r="DI32" s="38">
        <f>Inputs!$D$27*(1+Inputs!$D$28)^($A32/12)*IF(Inputs!$B$73=1,$G32,1)*(1-Inputs!$C$73*$H32*(1-Inputs!$E$54*Inputs!$B$73))*(1+$I32)*IF(Inputs!$D$29=0,1,(MAX(DL31,0)/Inputs!$D$6)^Inputs!$D$29)</f>
        <v>7644.6072560357798</v>
      </c>
      <c r="DJ32" s="38">
        <f>Inputs!$D$32*DL31/Inputs!$D$6</f>
        <v>4200</v>
      </c>
      <c r="DK32" s="38">
        <f>Inputs!$D$33</f>
        <v>1500</v>
      </c>
      <c r="DL32" s="38">
        <f t="shared" si="45"/>
        <v>880000</v>
      </c>
      <c r="DM32" s="38">
        <f t="shared" si="46"/>
        <v>520998.79801919032</v>
      </c>
      <c r="DN32" s="38">
        <f>Inputs!$D$19*(1-Inputs!$C$73*$H32)+Inputs!$D$21+Inputs!$B$73*$J32</f>
        <v>403684.375</v>
      </c>
      <c r="DO32" s="38">
        <f t="shared" si="47"/>
        <v>476315.625</v>
      </c>
      <c r="DP32" s="38">
        <f t="shared" si="48"/>
        <v>0</v>
      </c>
    </row>
    <row r="33" spans="1:120" x14ac:dyDescent="0.35">
      <c r="A33" s="29">
        <v>28</v>
      </c>
      <c r="B33" s="34">
        <f>EDATE(Inputs!$B$67,$A33)</f>
        <v>47119</v>
      </c>
      <c r="C33" s="35">
        <f>IF(Inputs!$E$47&lt;=0,Inputs!$E$46,Inputs!$E$44+(Inputs!$E$46-Inputs!$E$44)*MIN($A33/Inputs!$E$47,1))</f>
        <v>0.7</v>
      </c>
      <c r="D33" s="35">
        <f>MIN(Inputs!$E$57,Inputs!$E$55*(1+Inputs!$E$56)^($A33/12))*Inputs!$E$58*(1+Inputs!$E$59)^($A33/12)/Inputs!$E$45</f>
        <v>0.92090473712140564</v>
      </c>
      <c r="E33" s="35">
        <f>MAX(Inputs!$E$44,MIN(C33,D33))</f>
        <v>0.7</v>
      </c>
      <c r="F33" s="35">
        <f>IF(Inputs!$E$50&lt;=0,Inputs!$E$49,Inputs!$E$48+(Inputs!$E$49-Inputs!$E$48)*MIN($A33/Inputs!$E$50,1))</f>
        <v>9.7777777777777783E-2</v>
      </c>
      <c r="G33" s="36">
        <f>(Inputs!$E$41*(1-E33*Inputs!$E$51)+Inputs!$E$42*(1-F33*Inputs!$E$51))/(Inputs!$E$41*(1-Inputs!$E$44*Inputs!$E$51)+Inputs!$E$42*(1-Inputs!$E$48*Inputs!$E$51))</f>
        <v>0.85545335085413921</v>
      </c>
      <c r="H33" s="35">
        <f>IF(Inputs!$E$53&lt;=0,Inputs!$E$52,Inputs!$E$52*MIN($A33/Inputs!$E$53,1))</f>
        <v>5.8333333333333341E-2</v>
      </c>
      <c r="I33" s="35">
        <f>IF(Inputs!$E$64&lt;=0,Inputs!$E$63,Inputs!$E$62+(Inputs!$E$63-Inputs!$E$62)*MIN($A33/Inputs!$E$64,1))</f>
        <v>0.03</v>
      </c>
      <c r="J33" s="37">
        <f>(E33-Inputs!$E$44)*Inputs!$E$45/Inputs!$E$60*Inputs!$E$61</f>
        <v>5999.9999999999991</v>
      </c>
      <c r="K33" s="29">
        <f t="shared" si="0"/>
        <v>0</v>
      </c>
      <c r="L33" s="29"/>
      <c r="M33" s="38">
        <f>MAX(0,MIN(Inputs!$B$36,R32,N33+O33+P33+Inputs!$B$6-Q32))</f>
        <v>0</v>
      </c>
      <c r="N33" s="38">
        <f>Inputs!$B$27*(1+Inputs!$B$28)^($A33/12)*IF(Inputs!$B$70=1,$G33,1)*(1-Inputs!$C$70*$H33*(1-Inputs!$E$54*Inputs!$B$70))*(1+$I33)*IF(Inputs!$B$29=0,1,(MAX(Q32,0)/Inputs!$B$6)^Inputs!$B$29)</f>
        <v>17312.914393350409</v>
      </c>
      <c r="O33" s="38">
        <f>Inputs!$B$32*Q32/Inputs!$B$6</f>
        <v>4859.4578190386746</v>
      </c>
      <c r="P33" s="38">
        <f>Inputs!$B$33</f>
        <v>2500</v>
      </c>
      <c r="Q33" s="38">
        <f t="shared" si="1"/>
        <v>281293.49046782375</v>
      </c>
      <c r="R33" s="38">
        <f t="shared" si="2"/>
        <v>0</v>
      </c>
      <c r="S33" s="38">
        <f>Inputs!$B$19*(1-Inputs!$C$70*$H33)+Inputs!$B$21+Inputs!$B$70*$J33</f>
        <v>595000</v>
      </c>
      <c r="T33" s="38">
        <f t="shared" si="3"/>
        <v>-313706.50953217625</v>
      </c>
      <c r="U33" s="38">
        <f t="shared" si="4"/>
        <v>1</v>
      </c>
      <c r="V33" s="38">
        <f>MAX(0,MIN(Inputs!$C$36,AA32,W33+X33+Y33+Inputs!$C$6-Z32))</f>
        <v>14437.5</v>
      </c>
      <c r="W33" s="38">
        <f>Inputs!$C$27*(1+Inputs!$C$28)^($A33/12)*IF(Inputs!$B$70=1,$G33,1)*(1-Inputs!$C$70*$H33*(1-Inputs!$E$54*Inputs!$B$70))*(1+$I33)*IF(Inputs!$C$29=0,1,(MAX(Z32,0)/Inputs!$C$6)^Inputs!$C$29)</f>
        <v>12875</v>
      </c>
      <c r="X33" s="38">
        <f>Inputs!$C$32*Z32/Inputs!$C$6</f>
        <v>6749.9999999999991</v>
      </c>
      <c r="Y33" s="38">
        <f>Inputs!$C$33</f>
        <v>2000</v>
      </c>
      <c r="Z33" s="38">
        <f t="shared" si="5"/>
        <v>792812.5</v>
      </c>
      <c r="AA33" s="38">
        <f t="shared" si="6"/>
        <v>0</v>
      </c>
      <c r="AB33" s="38">
        <f>Inputs!$C$19*(1-Inputs!$C$70*$H33)+Inputs!$C$21+Inputs!$B$70*$J33</f>
        <v>495000</v>
      </c>
      <c r="AC33" s="38">
        <f t="shared" si="7"/>
        <v>297812.5</v>
      </c>
      <c r="AD33" s="38">
        <f t="shared" si="8"/>
        <v>0</v>
      </c>
      <c r="AE33" s="38">
        <f>MAX(0,MIN(Inputs!$D$36,AJ32,AF33+AG33+AH33+Inputs!$D$6-AI32))</f>
        <v>14838.16447198845</v>
      </c>
      <c r="AF33" s="38">
        <f>Inputs!$D$27*(1+Inputs!$D$28)^($A33/12)*IF(Inputs!$B$70=1,$G33,1)*(1-Inputs!$C$70*$H33*(1-Inputs!$E$54*Inputs!$B$70))*(1+$I33)*IF(Inputs!$D$29=0,1,(MAX(AI32,0)/Inputs!$D$6)^Inputs!$D$29)</f>
        <v>9138.1644719884043</v>
      </c>
      <c r="AG33" s="38">
        <f>Inputs!$D$32*AI32/Inputs!$D$6</f>
        <v>4200</v>
      </c>
      <c r="AH33" s="38">
        <f>Inputs!$D$33</f>
        <v>1500</v>
      </c>
      <c r="AI33" s="38">
        <f t="shared" si="9"/>
        <v>880000</v>
      </c>
      <c r="AJ33" s="38">
        <f t="shared" si="10"/>
        <v>482500.78015186079</v>
      </c>
      <c r="AK33" s="38">
        <f>Inputs!$D$19*(1-Inputs!$C$70*$H33)+Inputs!$D$21+Inputs!$B$70*$J33</f>
        <v>404800</v>
      </c>
      <c r="AL33" s="38">
        <f t="shared" si="11"/>
        <v>475200</v>
      </c>
      <c r="AM33" s="38">
        <f t="shared" si="12"/>
        <v>0</v>
      </c>
      <c r="AN33" s="38">
        <f>MAX(0,MIN(Inputs!$B$36,AS32,AO33+AP33+AQ33+Inputs!$B$6-AR32))</f>
        <v>0</v>
      </c>
      <c r="AO33" s="38">
        <f>Inputs!$B$27*(1+Inputs!$B$28)^($A33/12)*IF(Inputs!$B$71=1,$G33,1)*(1-Inputs!$C$71*$H33*(1-Inputs!$E$54*Inputs!$B$71))*(1+$I33)*IF(Inputs!$B$29=0,1,(MAX(AR32,0)/Inputs!$B$6)^Inputs!$B$29)</f>
        <v>14810.390630842465</v>
      </c>
      <c r="AP33" s="38">
        <f>Inputs!$B$32*AR32/Inputs!$B$6</f>
        <v>5353.7430562352392</v>
      </c>
      <c r="AQ33" s="38">
        <f>Inputs!$B$33</f>
        <v>2500</v>
      </c>
      <c r="AR33" s="38">
        <f t="shared" si="13"/>
        <v>314423.39207588177</v>
      </c>
      <c r="AS33" s="38">
        <f t="shared" si="14"/>
        <v>0</v>
      </c>
      <c r="AT33" s="38">
        <f>Inputs!$B$19*(1-Inputs!$C$71*$H33)+Inputs!$B$21+Inputs!$B$71*$J33</f>
        <v>601000</v>
      </c>
      <c r="AU33" s="38">
        <f t="shared" si="15"/>
        <v>-286576.60792411823</v>
      </c>
      <c r="AV33" s="38">
        <f t="shared" si="16"/>
        <v>1</v>
      </c>
      <c r="AW33" s="38">
        <f>MAX(0,MIN(Inputs!$C$36,BB32,AX33+AY33+AZ33+Inputs!$C$6-BA32))</f>
        <v>19763.961892247084</v>
      </c>
      <c r="AX33" s="38">
        <f>Inputs!$C$27*(1+Inputs!$C$28)^($A33/12)*IF(Inputs!$B$71=1,$G33,1)*(1-Inputs!$C$71*$H33*(1-Inputs!$E$54*Inputs!$B$71))*(1+$I33)*IF(Inputs!$C$29=0,1,(MAX(BA32,0)/Inputs!$C$6)^Inputs!$C$29)</f>
        <v>11013.961892247042</v>
      </c>
      <c r="AY33" s="38">
        <f>Inputs!$C$32*BA32/Inputs!$C$6</f>
        <v>6749.9999999999991</v>
      </c>
      <c r="AZ33" s="38">
        <f>Inputs!$C$33</f>
        <v>2000</v>
      </c>
      <c r="BA33" s="38">
        <f t="shared" si="17"/>
        <v>800000</v>
      </c>
      <c r="BB33" s="38">
        <f t="shared" si="18"/>
        <v>22128.726593298255</v>
      </c>
      <c r="BC33" s="38">
        <f>Inputs!$C$19*(1-Inputs!$C$71*$H33)+Inputs!$C$21+Inputs!$B$71*$J33</f>
        <v>501000</v>
      </c>
      <c r="BD33" s="38">
        <f t="shared" si="19"/>
        <v>299000</v>
      </c>
      <c r="BE33" s="38">
        <f t="shared" si="20"/>
        <v>0</v>
      </c>
      <c r="BF33" s="38">
        <f>MAX(0,MIN(Inputs!$D$36,BK32,BG33+BH33+BI33+Inputs!$D$6-BJ32))</f>
        <v>13517.273418218712</v>
      </c>
      <c r="BG33" s="38">
        <f>Inputs!$D$27*(1+Inputs!$D$28)^($A33/12)*IF(Inputs!$B$71=1,$G33,1)*(1-Inputs!$C$71*$H33*(1-Inputs!$E$54*Inputs!$B$71))*(1+$I33)*IF(Inputs!$D$29=0,1,(MAX(BJ32,0)/Inputs!$D$6)^Inputs!$D$29)</f>
        <v>7817.2734182187251</v>
      </c>
      <c r="BH33" s="38">
        <f>Inputs!$D$32*BJ32/Inputs!$D$6</f>
        <v>4200</v>
      </c>
      <c r="BI33" s="38">
        <f>Inputs!$D$33</f>
        <v>1500</v>
      </c>
      <c r="BJ33" s="38">
        <f t="shared" si="21"/>
        <v>880000</v>
      </c>
      <c r="BK33" s="38">
        <f t="shared" si="22"/>
        <v>504141.93516213959</v>
      </c>
      <c r="BL33" s="38">
        <f>Inputs!$D$19*(1-Inputs!$C$71*$H33)+Inputs!$D$21+Inputs!$B$71*$J33</f>
        <v>410800</v>
      </c>
      <c r="BM33" s="38">
        <f t="shared" si="23"/>
        <v>469200</v>
      </c>
      <c r="BN33" s="38">
        <f t="shared" si="24"/>
        <v>0</v>
      </c>
      <c r="BO33" s="38">
        <f>MAX(0,MIN(Inputs!$B$36,BT32,BP33+BQ33+BR33+Inputs!$B$6-BS32))</f>
        <v>0</v>
      </c>
      <c r="BP33" s="38">
        <f>Inputs!$B$27*(1+Inputs!$B$28)^($A33/12)*IF(Inputs!$B$72=1,$G33,1)*(1-Inputs!$C$72*$H33*(1-Inputs!$E$54*Inputs!$B$72))*(1+$I33)*IF(Inputs!$B$29=0,1,(MAX(BS32,0)/Inputs!$B$6)^Inputs!$B$29)</f>
        <v>16302.994387071636</v>
      </c>
      <c r="BQ33" s="38">
        <f>Inputs!$B$32*BS32/Inputs!$B$6</f>
        <v>5040.9902621961301</v>
      </c>
      <c r="BR33" s="38">
        <f>Inputs!$B$33</f>
        <v>2500</v>
      </c>
      <c r="BS33" s="38">
        <f t="shared" si="25"/>
        <v>293551.69852604414</v>
      </c>
      <c r="BT33" s="38">
        <f t="shared" si="26"/>
        <v>0</v>
      </c>
      <c r="BU33" s="38">
        <f>Inputs!$B$19*(1-Inputs!$C$72*$H33)+Inputs!$B$21+Inputs!$B$72*$J33</f>
        <v>584791.66666666663</v>
      </c>
      <c r="BV33" s="38">
        <f t="shared" si="27"/>
        <v>-291239.96814062248</v>
      </c>
      <c r="BW33" s="38">
        <f t="shared" si="28"/>
        <v>1</v>
      </c>
      <c r="BX33" s="38">
        <f>MAX(0,MIN(Inputs!$C$36,CC32,BY33+BZ33+CA33+Inputs!$C$6-CB32))</f>
        <v>20873.958333333372</v>
      </c>
      <c r="BY33" s="38">
        <f>Inputs!$C$27*(1+Inputs!$C$28)^($A33/12)*IF(Inputs!$B$72=1,$G33,1)*(1-Inputs!$C$72*$H33*(1-Inputs!$E$54*Inputs!$B$72))*(1+$I33)*IF(Inputs!$C$29=0,1,(MAX(CB32,0)/Inputs!$C$6)^Inputs!$C$29)</f>
        <v>12123.958333333334</v>
      </c>
      <c r="BZ33" s="38">
        <f>Inputs!$C$32*CB32/Inputs!$C$6</f>
        <v>6749.9999999999991</v>
      </c>
      <c r="CA33" s="38">
        <f>Inputs!$C$33</f>
        <v>2000</v>
      </c>
      <c r="CB33" s="38">
        <f t="shared" si="29"/>
        <v>800000</v>
      </c>
      <c r="CC33" s="38">
        <f t="shared" si="30"/>
        <v>3627.7343749996508</v>
      </c>
      <c r="CD33" s="38">
        <f>Inputs!$C$19*(1-Inputs!$C$72*$H33)+Inputs!$C$21+Inputs!$B$72*$J33</f>
        <v>486250</v>
      </c>
      <c r="CE33" s="38">
        <f t="shared" si="31"/>
        <v>313750</v>
      </c>
      <c r="CF33" s="38">
        <f t="shared" si="32"/>
        <v>0</v>
      </c>
      <c r="CG33" s="38">
        <f>MAX(0,MIN(Inputs!$D$36,CL32,CH33+CI33+CJ33+Inputs!$D$6-CK32))</f>
        <v>14305.104877789039</v>
      </c>
      <c r="CH33" s="38">
        <f>Inputs!$D$27*(1+Inputs!$D$28)^($A33/12)*IF(Inputs!$B$72=1,$G33,1)*(1-Inputs!$C$72*$H33*(1-Inputs!$E$54*Inputs!$B$72))*(1+$I33)*IF(Inputs!$D$29=0,1,(MAX(CK32,0)/Inputs!$D$6)^Inputs!$D$29)</f>
        <v>8605.104877789081</v>
      </c>
      <c r="CI33" s="38">
        <f>Inputs!$D$32*CK32/Inputs!$D$6</f>
        <v>4200</v>
      </c>
      <c r="CJ33" s="38">
        <f>Inputs!$D$33</f>
        <v>1500</v>
      </c>
      <c r="CK33" s="38">
        <f t="shared" si="33"/>
        <v>880000</v>
      </c>
      <c r="CL33" s="38">
        <f t="shared" si="34"/>
        <v>490479.6908563195</v>
      </c>
      <c r="CM33" s="38">
        <f>Inputs!$D$19*(1-Inputs!$C$72*$H33)+Inputs!$D$21+Inputs!$B$72*$J33</f>
        <v>397420.83333333331</v>
      </c>
      <c r="CN33" s="38">
        <f t="shared" si="35"/>
        <v>482579.16666666669</v>
      </c>
      <c r="CO33" s="38">
        <f t="shared" si="36"/>
        <v>0</v>
      </c>
      <c r="CP33" s="38">
        <f>MAX(0,MIN(Inputs!$B$36,CU32,CQ33+CR33+CS33+Inputs!$B$6-CT32))</f>
        <v>0</v>
      </c>
      <c r="CQ33" s="38">
        <f>Inputs!$B$27*(1+Inputs!$B$28)^($A33/12)*IF(Inputs!$B$73=1,$G33,1)*(1-Inputs!$C$73*$H33*(1-Inputs!$E$54*Inputs!$B$73))*(1+$I33)*IF(Inputs!$B$29=0,1,(MAX(CT32,0)/Inputs!$B$6)^Inputs!$B$29)</f>
        <v>14378.420904109558</v>
      </c>
      <c r="CR33" s="38">
        <f>Inputs!$B$32*CT32/Inputs!$B$6</f>
        <v>5434.6809675361637</v>
      </c>
      <c r="CS33" s="38">
        <f>Inputs!$B$33</f>
        <v>2500</v>
      </c>
      <c r="CT33" s="38">
        <f t="shared" si="37"/>
        <v>319870.51460285351</v>
      </c>
      <c r="CU33" s="38">
        <f t="shared" si="38"/>
        <v>0</v>
      </c>
      <c r="CV33" s="38">
        <f>Inputs!$B$19*(1-Inputs!$C$73*$H33)+Inputs!$B$21+Inputs!$B$73*$J33</f>
        <v>590791.66666666663</v>
      </c>
      <c r="CW33" s="38">
        <f t="shared" si="39"/>
        <v>-270921.15206381312</v>
      </c>
      <c r="CX33" s="38">
        <f t="shared" si="40"/>
        <v>1</v>
      </c>
      <c r="CY33" s="38">
        <f>MAX(0,MIN(Inputs!$C$36,DD32,CZ33+DA33+DB33+Inputs!$C$6-DC32))</f>
        <v>19442.721337056486</v>
      </c>
      <c r="CZ33" s="38">
        <f>Inputs!$C$27*(1+Inputs!$C$28)^($A33/12)*IF(Inputs!$B$73=1,$G33,1)*(1-Inputs!$C$73*$H33*(1-Inputs!$E$54*Inputs!$B$73))*(1+$I33)*IF(Inputs!$C$29=0,1,(MAX(DC32,0)/Inputs!$C$6)^Inputs!$C$29)</f>
        <v>10692.721337056502</v>
      </c>
      <c r="DA33" s="38">
        <f>Inputs!$C$32*DC32/Inputs!$C$6</f>
        <v>6749.9999999999991</v>
      </c>
      <c r="DB33" s="38">
        <f>Inputs!$C$33</f>
        <v>2000</v>
      </c>
      <c r="DC33" s="38">
        <f t="shared" si="41"/>
        <v>800000</v>
      </c>
      <c r="DD33" s="38">
        <f t="shared" si="42"/>
        <v>26959.026166570839</v>
      </c>
      <c r="DE33" s="38">
        <f>Inputs!$C$19*(1-Inputs!$C$73*$H33)+Inputs!$C$21+Inputs!$B$73*$J33</f>
        <v>492250</v>
      </c>
      <c r="DF33" s="38">
        <f t="shared" si="43"/>
        <v>307750</v>
      </c>
      <c r="DG33" s="38">
        <f t="shared" si="44"/>
        <v>0</v>
      </c>
      <c r="DH33" s="38">
        <f>MAX(0,MIN(Inputs!$D$36,DM32,DI33+DJ33+DK33+Inputs!$D$6-DL32))</f>
        <v>13289.269610187388</v>
      </c>
      <c r="DI33" s="38">
        <f>Inputs!$D$27*(1+Inputs!$D$28)^($A33/12)*IF(Inputs!$B$73=1,$G33,1)*(1-Inputs!$C$73*$H33*(1-Inputs!$E$54*Inputs!$B$73))*(1+$I33)*IF(Inputs!$D$29=0,1,(MAX(DL32,0)/Inputs!$D$6)^Inputs!$D$29)</f>
        <v>7589.2696101873453</v>
      </c>
      <c r="DJ33" s="38">
        <f>Inputs!$D$32*DL32/Inputs!$D$6</f>
        <v>4200</v>
      </c>
      <c r="DK33" s="38">
        <f>Inputs!$D$33</f>
        <v>1500</v>
      </c>
      <c r="DL33" s="38">
        <f t="shared" si="45"/>
        <v>880000</v>
      </c>
      <c r="DM33" s="38">
        <f t="shared" si="46"/>
        <v>507709.52840900293</v>
      </c>
      <c r="DN33" s="38">
        <f>Inputs!$D$19*(1-Inputs!$C$73*$H33)+Inputs!$D$21+Inputs!$B$73*$J33</f>
        <v>403420.83333333331</v>
      </c>
      <c r="DO33" s="38">
        <f t="shared" si="47"/>
        <v>476579.16666666669</v>
      </c>
      <c r="DP33" s="38">
        <f t="shared" si="48"/>
        <v>0</v>
      </c>
    </row>
    <row r="34" spans="1:120" x14ac:dyDescent="0.35">
      <c r="A34" s="29">
        <v>29</v>
      </c>
      <c r="B34" s="34">
        <f>EDATE(Inputs!$B$67,$A34)</f>
        <v>47150</v>
      </c>
      <c r="C34" s="35">
        <f>IF(Inputs!$E$47&lt;=0,Inputs!$E$46,Inputs!$E$44+(Inputs!$E$46-Inputs!$E$44)*MIN($A34/Inputs!$E$47,1))</f>
        <v>0.7</v>
      </c>
      <c r="D34" s="35">
        <f>MIN(Inputs!$E$57,Inputs!$E$55*(1+Inputs!$E$56)^($A34/12))*Inputs!$E$58*(1+Inputs!$E$59)^($A34/12)/Inputs!$E$45</f>
        <v>0.94709172763533378</v>
      </c>
      <c r="E34" s="35">
        <f>MAX(Inputs!$E$44,MIN(C34,D34))</f>
        <v>0.7</v>
      </c>
      <c r="F34" s="35">
        <f>IF(Inputs!$E$50&lt;=0,Inputs!$E$49,Inputs!$E$48+(Inputs!$E$49-Inputs!$E$48)*MIN($A34/Inputs!$E$50,1))</f>
        <v>0.10055555555555555</v>
      </c>
      <c r="G34" s="36">
        <f>(Inputs!$E$41*(1-E34*Inputs!$E$51)+Inputs!$E$42*(1-F34*Inputs!$E$51))/(Inputs!$E$41*(1-Inputs!$E$44*Inputs!$E$51)+Inputs!$E$42*(1-Inputs!$E$48*Inputs!$E$51))</f>
        <v>0.85381077529566352</v>
      </c>
      <c r="H34" s="35">
        <f>IF(Inputs!$E$53&lt;=0,Inputs!$E$52,Inputs!$E$52*MIN($A34/Inputs!$E$53,1))</f>
        <v>6.0416666666666667E-2</v>
      </c>
      <c r="I34" s="35">
        <f>IF(Inputs!$E$64&lt;=0,Inputs!$E$63,Inputs!$E$62+(Inputs!$E$63-Inputs!$E$62)*MIN($A34/Inputs!$E$64,1))</f>
        <v>0.03</v>
      </c>
      <c r="J34" s="37">
        <f>(E34-Inputs!$E$44)*Inputs!$E$45/Inputs!$E$60*Inputs!$E$61</f>
        <v>5999.9999999999991</v>
      </c>
      <c r="K34" s="29">
        <f t="shared" si="0"/>
        <v>0</v>
      </c>
      <c r="L34" s="29"/>
      <c r="M34" s="38">
        <f>MAX(0,MIN(Inputs!$B$36,R33,N34+O34+P34+Inputs!$B$6-Q33))</f>
        <v>0</v>
      </c>
      <c r="N34" s="38">
        <f>Inputs!$B$27*(1+Inputs!$B$28)^($A34/12)*IF(Inputs!$B$70=1,$G34,1)*(1-Inputs!$C$70*$H34*(1-Inputs!$E$54*Inputs!$B$70))*(1+$I34)*IF(Inputs!$B$29=0,1,(MAX(Q33,0)/Inputs!$B$6)^Inputs!$B$29)</f>
        <v>17383.449349644623</v>
      </c>
      <c r="O34" s="38">
        <f>Inputs!$B$32*Q33/Inputs!$B$6</f>
        <v>4467.6024956654355</v>
      </c>
      <c r="P34" s="38">
        <f>Inputs!$B$33</f>
        <v>2500</v>
      </c>
      <c r="Q34" s="38">
        <f t="shared" si="1"/>
        <v>256942.43862251367</v>
      </c>
      <c r="R34" s="38">
        <f t="shared" si="2"/>
        <v>0</v>
      </c>
      <c r="S34" s="38">
        <f>Inputs!$B$19*(1-Inputs!$C$70*$H34)+Inputs!$B$21+Inputs!$B$70*$J34</f>
        <v>595000</v>
      </c>
      <c r="T34" s="38">
        <f t="shared" si="3"/>
        <v>-338057.56137748633</v>
      </c>
      <c r="U34" s="38">
        <f t="shared" si="4"/>
        <v>1</v>
      </c>
      <c r="V34" s="38">
        <f>MAX(0,MIN(Inputs!$C$36,AA33,W34+X34+Y34+Inputs!$C$6-Z33))</f>
        <v>0</v>
      </c>
      <c r="W34" s="38">
        <f>Inputs!$C$27*(1+Inputs!$C$28)^($A34/12)*IF(Inputs!$B$70=1,$G34,1)*(1-Inputs!$C$70*$H34*(1-Inputs!$E$54*Inputs!$B$70))*(1+$I34)*IF(Inputs!$C$29=0,1,(MAX(Z33,0)/Inputs!$C$6)^Inputs!$C$29)</f>
        <v>12845.983598823674</v>
      </c>
      <c r="X34" s="38">
        <f>Inputs!$C$32*Z33/Inputs!$C$6</f>
        <v>6689.3554687499991</v>
      </c>
      <c r="Y34" s="38">
        <f>Inputs!$C$33</f>
        <v>2000</v>
      </c>
      <c r="Z34" s="38">
        <f t="shared" si="5"/>
        <v>771277.16093242634</v>
      </c>
      <c r="AA34" s="38">
        <f t="shared" si="6"/>
        <v>0</v>
      </c>
      <c r="AB34" s="38">
        <f>Inputs!$C$19*(1-Inputs!$C$70*$H34)+Inputs!$C$21+Inputs!$B$70*$J34</f>
        <v>495000</v>
      </c>
      <c r="AC34" s="38">
        <f t="shared" si="7"/>
        <v>276277.16093242634</v>
      </c>
      <c r="AD34" s="38">
        <f t="shared" si="8"/>
        <v>0</v>
      </c>
      <c r="AE34" s="38">
        <f>MAX(0,MIN(Inputs!$D$36,AJ33,AF34+AG34+AH34+Inputs!$D$6-AI33))</f>
        <v>14799.187287473585</v>
      </c>
      <c r="AF34" s="38">
        <f>Inputs!$D$27*(1+Inputs!$D$28)^($A34/12)*IF(Inputs!$B$70=1,$G34,1)*(1-Inputs!$C$70*$H34*(1-Inputs!$E$54*Inputs!$B$70))*(1+$I34)*IF(Inputs!$D$29=0,1,(MAX(AI33,0)/Inputs!$D$6)^Inputs!$D$29)</f>
        <v>9099.1872874735946</v>
      </c>
      <c r="AG34" s="38">
        <f>Inputs!$D$32*AI33/Inputs!$D$6</f>
        <v>4200</v>
      </c>
      <c r="AH34" s="38">
        <f>Inputs!$D$33</f>
        <v>1500</v>
      </c>
      <c r="AI34" s="38">
        <f t="shared" si="9"/>
        <v>880000</v>
      </c>
      <c r="AJ34" s="38">
        <f t="shared" si="10"/>
        <v>467701.5928643872</v>
      </c>
      <c r="AK34" s="38">
        <f>Inputs!$D$19*(1-Inputs!$C$70*$H34)+Inputs!$D$21+Inputs!$B$70*$J34</f>
        <v>404800</v>
      </c>
      <c r="AL34" s="38">
        <f t="shared" si="11"/>
        <v>475200</v>
      </c>
      <c r="AM34" s="38">
        <f t="shared" si="12"/>
        <v>0</v>
      </c>
      <c r="AN34" s="38">
        <f>MAX(0,MIN(Inputs!$B$36,AS33,AO34+AP34+AQ34+Inputs!$B$6-AR33))</f>
        <v>0</v>
      </c>
      <c r="AO34" s="38">
        <f>Inputs!$B$27*(1+Inputs!$B$28)^($A34/12)*IF(Inputs!$B$71=1,$G34,1)*(1-Inputs!$C$71*$H34*(1-Inputs!$E$54*Inputs!$B$71))*(1+$I34)*IF(Inputs!$B$29=0,1,(MAX(AR33,0)/Inputs!$B$6)^Inputs!$B$29)</f>
        <v>14842.176366532974</v>
      </c>
      <c r="AP34" s="38">
        <f>Inputs!$B$32*AR33/Inputs!$B$6</f>
        <v>4993.783285911064</v>
      </c>
      <c r="AQ34" s="38">
        <f>Inputs!$B$33</f>
        <v>2500</v>
      </c>
      <c r="AR34" s="38">
        <f t="shared" si="13"/>
        <v>292087.43242343771</v>
      </c>
      <c r="AS34" s="38">
        <f t="shared" si="14"/>
        <v>0</v>
      </c>
      <c r="AT34" s="38">
        <f>Inputs!$B$19*(1-Inputs!$C$71*$H34)+Inputs!$B$21+Inputs!$B$71*$J34</f>
        <v>601000</v>
      </c>
      <c r="AU34" s="38">
        <f t="shared" si="15"/>
        <v>-308912.56757656229</v>
      </c>
      <c r="AV34" s="38">
        <f t="shared" si="16"/>
        <v>1</v>
      </c>
      <c r="AW34" s="38">
        <f>MAX(0,MIN(Inputs!$C$36,BB33,AX34+AY34+AZ34+Inputs!$C$6-BA33))</f>
        <v>19742.813731931616</v>
      </c>
      <c r="AX34" s="38">
        <f>Inputs!$C$27*(1+Inputs!$C$28)^($A34/12)*IF(Inputs!$B$71=1,$G34,1)*(1-Inputs!$C$71*$H34*(1-Inputs!$E$54*Inputs!$B$71))*(1+$I34)*IF(Inputs!$C$29=0,1,(MAX(BA33,0)/Inputs!$C$6)^Inputs!$C$29)</f>
        <v>10992.813731931668</v>
      </c>
      <c r="AY34" s="38">
        <f>Inputs!$C$32*BA33/Inputs!$C$6</f>
        <v>6749.9999999999991</v>
      </c>
      <c r="AZ34" s="38">
        <f>Inputs!$C$33</f>
        <v>2000</v>
      </c>
      <c r="BA34" s="38">
        <f t="shared" si="17"/>
        <v>800000</v>
      </c>
      <c r="BB34" s="38">
        <f t="shared" si="18"/>
        <v>2385.9128613666398</v>
      </c>
      <c r="BC34" s="38">
        <f>Inputs!$C$19*(1-Inputs!$C$71*$H34)+Inputs!$C$21+Inputs!$B$71*$J34</f>
        <v>501000</v>
      </c>
      <c r="BD34" s="38">
        <f t="shared" si="19"/>
        <v>299000</v>
      </c>
      <c r="BE34" s="38">
        <f t="shared" si="20"/>
        <v>0</v>
      </c>
      <c r="BF34" s="38">
        <f>MAX(0,MIN(Inputs!$D$36,BK33,BG34+BH34+BI34+Inputs!$D$6-BJ33))</f>
        <v>13468.984152478282</v>
      </c>
      <c r="BG34" s="38">
        <f>Inputs!$D$27*(1+Inputs!$D$28)^($A34/12)*IF(Inputs!$B$71=1,$G34,1)*(1-Inputs!$C$71*$H34*(1-Inputs!$E$54*Inputs!$B$71))*(1+$I34)*IF(Inputs!$D$29=0,1,(MAX(BJ33,0)/Inputs!$D$6)^Inputs!$D$29)</f>
        <v>7768.9841524782751</v>
      </c>
      <c r="BH34" s="38">
        <f>Inputs!$D$32*BJ33/Inputs!$D$6</f>
        <v>4200</v>
      </c>
      <c r="BI34" s="38">
        <f>Inputs!$D$33</f>
        <v>1500</v>
      </c>
      <c r="BJ34" s="38">
        <f t="shared" si="21"/>
        <v>880000</v>
      </c>
      <c r="BK34" s="38">
        <f t="shared" si="22"/>
        <v>490672.95100966131</v>
      </c>
      <c r="BL34" s="38">
        <f>Inputs!$D$19*(1-Inputs!$C$71*$H34)+Inputs!$D$21+Inputs!$B$71*$J34</f>
        <v>410800</v>
      </c>
      <c r="BM34" s="38">
        <f t="shared" si="23"/>
        <v>469200</v>
      </c>
      <c r="BN34" s="38">
        <f t="shared" si="24"/>
        <v>0</v>
      </c>
      <c r="BO34" s="38">
        <f>MAX(0,MIN(Inputs!$B$36,BT33,BP34+BQ34+BR34+Inputs!$B$6-BS33))</f>
        <v>0</v>
      </c>
      <c r="BP34" s="38">
        <f>Inputs!$B$27*(1+Inputs!$B$28)^($A34/12)*IF(Inputs!$B$72=1,$G34,1)*(1-Inputs!$C$72*$H34*(1-Inputs!$E$54*Inputs!$B$72))*(1+$I34)*IF(Inputs!$B$29=0,1,(MAX(BS33,0)/Inputs!$B$6)^Inputs!$B$29)</f>
        <v>16333.199284770262</v>
      </c>
      <c r="BQ34" s="38">
        <f>Inputs!$B$32*BS33/Inputs!$B$6</f>
        <v>4662.2916824724662</v>
      </c>
      <c r="BR34" s="38">
        <f>Inputs!$B$33</f>
        <v>2500</v>
      </c>
      <c r="BS34" s="38">
        <f t="shared" si="25"/>
        <v>270056.20755880146</v>
      </c>
      <c r="BT34" s="38">
        <f t="shared" si="26"/>
        <v>0</v>
      </c>
      <c r="BU34" s="38">
        <f>Inputs!$B$19*(1-Inputs!$C$72*$H34)+Inputs!$B$21+Inputs!$B$72*$J34</f>
        <v>584427.08333333337</v>
      </c>
      <c r="BV34" s="38">
        <f t="shared" si="27"/>
        <v>-314370.87577453192</v>
      </c>
      <c r="BW34" s="38">
        <f t="shared" si="28"/>
        <v>1</v>
      </c>
      <c r="BX34" s="38">
        <f>MAX(0,MIN(Inputs!$C$36,CC33,BY34+BZ34+CA34+Inputs!$C$6-CB33))</f>
        <v>3627.7343749996508</v>
      </c>
      <c r="BY34" s="38">
        <f>Inputs!$C$27*(1+Inputs!$C$28)^($A34/12)*IF(Inputs!$B$72=1,$G34,1)*(1-Inputs!$C$72*$H34*(1-Inputs!$E$54*Inputs!$B$72))*(1+$I34)*IF(Inputs!$C$29=0,1,(MAX(CB33,0)/Inputs!$C$6)^Inputs!$C$29)</f>
        <v>12097.135416666666</v>
      </c>
      <c r="BZ34" s="38">
        <f>Inputs!$C$32*CB33/Inputs!$C$6</f>
        <v>6749.9999999999991</v>
      </c>
      <c r="CA34" s="38">
        <f>Inputs!$C$33</f>
        <v>2000</v>
      </c>
      <c r="CB34" s="38">
        <f t="shared" si="29"/>
        <v>782780.59895833302</v>
      </c>
      <c r="CC34" s="38">
        <f t="shared" si="30"/>
        <v>0</v>
      </c>
      <c r="CD34" s="38">
        <f>Inputs!$C$19*(1-Inputs!$C$72*$H34)+Inputs!$C$21+Inputs!$B$72*$J34</f>
        <v>485937.5</v>
      </c>
      <c r="CE34" s="38">
        <f t="shared" si="31"/>
        <v>296843.09895833302</v>
      </c>
      <c r="CF34" s="38">
        <f t="shared" si="32"/>
        <v>0</v>
      </c>
      <c r="CG34" s="38">
        <f>MAX(0,MIN(Inputs!$D$36,CL33,CH34+CI34+CJ34+Inputs!$D$6-CK33))</f>
        <v>14249.444722188753</v>
      </c>
      <c r="CH34" s="38">
        <f>Inputs!$D$27*(1+Inputs!$D$28)^($A34/12)*IF(Inputs!$B$72=1,$G34,1)*(1-Inputs!$C$72*$H34*(1-Inputs!$E$54*Inputs!$B$72))*(1+$I34)*IF(Inputs!$D$29=0,1,(MAX(CK33,0)/Inputs!$D$6)^Inputs!$D$29)</f>
        <v>8549.4447221887312</v>
      </c>
      <c r="CI34" s="38">
        <f>Inputs!$D$32*CK33/Inputs!$D$6</f>
        <v>4200</v>
      </c>
      <c r="CJ34" s="38">
        <f>Inputs!$D$33</f>
        <v>1500</v>
      </c>
      <c r="CK34" s="38">
        <f t="shared" si="33"/>
        <v>880000</v>
      </c>
      <c r="CL34" s="38">
        <f t="shared" si="34"/>
        <v>476230.24613413075</v>
      </c>
      <c r="CM34" s="38">
        <f>Inputs!$D$19*(1-Inputs!$C$72*$H34)+Inputs!$D$21+Inputs!$B$72*$J34</f>
        <v>397157.29166666669</v>
      </c>
      <c r="CN34" s="38">
        <f t="shared" si="35"/>
        <v>482842.70833333331</v>
      </c>
      <c r="CO34" s="38">
        <f t="shared" si="36"/>
        <v>0</v>
      </c>
      <c r="CP34" s="38">
        <f>MAX(0,MIN(Inputs!$B$36,CU33,CQ34+CR34+CS34+Inputs!$B$6-CT33))</f>
        <v>0</v>
      </c>
      <c r="CQ34" s="38">
        <f>Inputs!$B$27*(1+Inputs!$B$28)^($A34/12)*IF(Inputs!$B$73=1,$G34,1)*(1-Inputs!$C$73*$H34*(1-Inputs!$E$54*Inputs!$B$73))*(1+$I34)*IF(Inputs!$B$29=0,1,(MAX(CT33,0)/Inputs!$B$6)^Inputs!$B$29)</f>
        <v>14393.818955460627</v>
      </c>
      <c r="CR34" s="38">
        <f>Inputs!$B$32*CT33/Inputs!$B$6</f>
        <v>5080.2964083982615</v>
      </c>
      <c r="CS34" s="38">
        <f>Inputs!$B$33</f>
        <v>2500</v>
      </c>
      <c r="CT34" s="38">
        <f t="shared" si="37"/>
        <v>297896.39923899464</v>
      </c>
      <c r="CU34" s="38">
        <f t="shared" si="38"/>
        <v>0</v>
      </c>
      <c r="CV34" s="38">
        <f>Inputs!$B$19*(1-Inputs!$C$73*$H34)+Inputs!$B$21+Inputs!$B$73*$J34</f>
        <v>590427.08333333337</v>
      </c>
      <c r="CW34" s="38">
        <f t="shared" si="39"/>
        <v>-292530.68409433874</v>
      </c>
      <c r="CX34" s="38">
        <f t="shared" si="40"/>
        <v>1</v>
      </c>
      <c r="CY34" s="38">
        <f>MAX(0,MIN(Inputs!$C$36,DD33,CZ34+DA34+DB34+Inputs!$C$6-DC33))</f>
        <v>19410.739150446258</v>
      </c>
      <c r="CZ34" s="38">
        <f>Inputs!$C$27*(1+Inputs!$C$28)^($A34/12)*IF(Inputs!$B$73=1,$G34,1)*(1-Inputs!$C$73*$H34*(1-Inputs!$E$54*Inputs!$B$73))*(1+$I34)*IF(Inputs!$C$29=0,1,(MAX(DC33,0)/Inputs!$C$6)^Inputs!$C$29)</f>
        <v>10660.739150446232</v>
      </c>
      <c r="DA34" s="38">
        <f>Inputs!$C$32*DC33/Inputs!$C$6</f>
        <v>6749.9999999999991</v>
      </c>
      <c r="DB34" s="38">
        <f>Inputs!$C$33</f>
        <v>2000</v>
      </c>
      <c r="DC34" s="38">
        <f t="shared" si="41"/>
        <v>800000</v>
      </c>
      <c r="DD34" s="38">
        <f t="shared" si="42"/>
        <v>7548.287016124581</v>
      </c>
      <c r="DE34" s="38">
        <f>Inputs!$C$19*(1-Inputs!$C$73*$H34)+Inputs!$C$21+Inputs!$B$73*$J34</f>
        <v>491937.5</v>
      </c>
      <c r="DF34" s="38">
        <f t="shared" si="43"/>
        <v>308062.5</v>
      </c>
      <c r="DG34" s="38">
        <f t="shared" si="44"/>
        <v>0</v>
      </c>
      <c r="DH34" s="38">
        <f>MAX(0,MIN(Inputs!$D$36,DM33,DI34+DJ34+DK34+Inputs!$D$6-DL33))</f>
        <v>13234.296089538839</v>
      </c>
      <c r="DI34" s="38">
        <f>Inputs!$D$27*(1+Inputs!$D$28)^($A34/12)*IF(Inputs!$B$73=1,$G34,1)*(1-Inputs!$C$73*$H34*(1-Inputs!$E$54*Inputs!$B$73))*(1+$I34)*IF(Inputs!$D$29=0,1,(MAX(DL33,0)/Inputs!$D$6)^Inputs!$D$29)</f>
        <v>7534.2960895388278</v>
      </c>
      <c r="DJ34" s="38">
        <f>Inputs!$D$32*DL33/Inputs!$D$6</f>
        <v>4200</v>
      </c>
      <c r="DK34" s="38">
        <f>Inputs!$D$33</f>
        <v>1500</v>
      </c>
      <c r="DL34" s="38">
        <f t="shared" si="45"/>
        <v>880000</v>
      </c>
      <c r="DM34" s="38">
        <f t="shared" si="46"/>
        <v>494475.23231946409</v>
      </c>
      <c r="DN34" s="38">
        <f>Inputs!$D$19*(1-Inputs!$C$73*$H34)+Inputs!$D$21+Inputs!$B$73*$J34</f>
        <v>403157.29166666669</v>
      </c>
      <c r="DO34" s="38">
        <f t="shared" si="47"/>
        <v>476842.70833333331</v>
      </c>
      <c r="DP34" s="38">
        <f t="shared" si="48"/>
        <v>0</v>
      </c>
    </row>
    <row r="35" spans="1:120" x14ac:dyDescent="0.35">
      <c r="A35" s="29">
        <v>30</v>
      </c>
      <c r="B35" s="34">
        <f>EDATE(Inputs!$B$67,$A35)</f>
        <v>47178</v>
      </c>
      <c r="C35" s="35">
        <f>IF(Inputs!$E$47&lt;=0,Inputs!$E$46,Inputs!$E$44+(Inputs!$E$46-Inputs!$E$44)*MIN($A35/Inputs!$E$47,1))</f>
        <v>0.7</v>
      </c>
      <c r="D35" s="35">
        <f>MIN(Inputs!$E$57,Inputs!$E$55*(1+Inputs!$E$56)^($A35/12))*Inputs!$E$58*(1+Inputs!$E$59)^($A35/12)/Inputs!$E$45</f>
        <v>0.97402337548952078</v>
      </c>
      <c r="E35" s="35">
        <f>MAX(Inputs!$E$44,MIN(C35,D35))</f>
        <v>0.7</v>
      </c>
      <c r="F35" s="35">
        <f>IF(Inputs!$E$50&lt;=0,Inputs!$E$49,Inputs!$E$48+(Inputs!$E$49-Inputs!$E$48)*MIN($A35/Inputs!$E$50,1))</f>
        <v>0.10333333333333333</v>
      </c>
      <c r="G35" s="36">
        <f>(Inputs!$E$41*(1-E35*Inputs!$E$51)+Inputs!$E$42*(1-F35*Inputs!$E$51))/(Inputs!$E$41*(1-Inputs!$E$44*Inputs!$E$51)+Inputs!$E$42*(1-Inputs!$E$48*Inputs!$E$51))</f>
        <v>0.85216819973718794</v>
      </c>
      <c r="H35" s="35">
        <f>IF(Inputs!$E$53&lt;=0,Inputs!$E$52,Inputs!$E$52*MIN($A35/Inputs!$E$53,1))</f>
        <v>6.25E-2</v>
      </c>
      <c r="I35" s="35">
        <f>IF(Inputs!$E$64&lt;=0,Inputs!$E$63,Inputs!$E$62+(Inputs!$E$63-Inputs!$E$62)*MIN($A35/Inputs!$E$64,1))</f>
        <v>0.03</v>
      </c>
      <c r="J35" s="37">
        <f>(E35-Inputs!$E$44)*Inputs!$E$45/Inputs!$E$60*Inputs!$E$61</f>
        <v>5999.9999999999991</v>
      </c>
      <c r="K35" s="29">
        <f t="shared" si="0"/>
        <v>0</v>
      </c>
      <c r="L35" s="29"/>
      <c r="M35" s="38">
        <f>MAX(0,MIN(Inputs!$B$36,R34,N35+O35+P35+Inputs!$B$6-Q34))</f>
        <v>0</v>
      </c>
      <c r="N35" s="38">
        <f>Inputs!$B$27*(1+Inputs!$B$28)^($A35/12)*IF(Inputs!$B$70=1,$G35,1)*(1-Inputs!$C$70*$H35*(1-Inputs!$E$54*Inputs!$B$70))*(1+$I35)*IF(Inputs!$B$29=0,1,(MAX(Q34,0)/Inputs!$B$6)^Inputs!$B$29)</f>
        <v>17454.271674081858</v>
      </c>
      <c r="O35" s="38">
        <f>Inputs!$B$32*Q34/Inputs!$B$6</f>
        <v>4080.8504957693344</v>
      </c>
      <c r="P35" s="38">
        <f>Inputs!$B$33</f>
        <v>2500</v>
      </c>
      <c r="Q35" s="38">
        <f t="shared" si="1"/>
        <v>232907.31645266249</v>
      </c>
      <c r="R35" s="38">
        <f t="shared" si="2"/>
        <v>0</v>
      </c>
      <c r="S35" s="38">
        <f>Inputs!$B$19*(1-Inputs!$C$70*$H35)+Inputs!$B$21+Inputs!$B$70*$J35</f>
        <v>595000</v>
      </c>
      <c r="T35" s="38">
        <f t="shared" si="3"/>
        <v>-362092.68354733754</v>
      </c>
      <c r="U35" s="38">
        <f t="shared" si="4"/>
        <v>1</v>
      </c>
      <c r="V35" s="38">
        <f>MAX(0,MIN(Inputs!$C$36,AA34,W35+X35+Y35+Inputs!$C$6-Z34))</f>
        <v>0</v>
      </c>
      <c r="W35" s="38">
        <f>Inputs!$C$27*(1+Inputs!$C$28)^($A35/12)*IF(Inputs!$B$70=1,$G35,1)*(1-Inputs!$C$70*$H35*(1-Inputs!$E$54*Inputs!$B$70))*(1+$I35)*IF(Inputs!$C$29=0,1,(MAX(Z34,0)/Inputs!$C$6)^Inputs!$C$29)</f>
        <v>12757.846096772329</v>
      </c>
      <c r="X35" s="38">
        <f>Inputs!$C$32*Z34/Inputs!$C$6</f>
        <v>6507.6510453673454</v>
      </c>
      <c r="Y35" s="38">
        <f>Inputs!$C$33</f>
        <v>2000</v>
      </c>
      <c r="Z35" s="38">
        <f t="shared" si="5"/>
        <v>750011.66379028664</v>
      </c>
      <c r="AA35" s="38">
        <f t="shared" si="6"/>
        <v>0</v>
      </c>
      <c r="AB35" s="38">
        <f>Inputs!$C$19*(1-Inputs!$C$70*$H35)+Inputs!$C$21+Inputs!$B$70*$J35</f>
        <v>495000</v>
      </c>
      <c r="AC35" s="38">
        <f t="shared" si="7"/>
        <v>255011.66379028664</v>
      </c>
      <c r="AD35" s="38">
        <f t="shared" si="8"/>
        <v>0</v>
      </c>
      <c r="AE35" s="38">
        <f>MAX(0,MIN(Inputs!$D$36,AJ34,AF35+AG35+AH35+Inputs!$D$6-AI34))</f>
        <v>14760.376353075844</v>
      </c>
      <c r="AF35" s="38">
        <f>Inputs!$D$27*(1+Inputs!$D$28)^($A35/12)*IF(Inputs!$B$70=1,$G35,1)*(1-Inputs!$C$70*$H35*(1-Inputs!$E$54*Inputs!$B$70))*(1+$I35)*IF(Inputs!$D$29=0,1,(MAX(AI34,0)/Inputs!$D$6)^Inputs!$D$29)</f>
        <v>9060.3763530757915</v>
      </c>
      <c r="AG35" s="38">
        <f>Inputs!$D$32*AI34/Inputs!$D$6</f>
        <v>4200</v>
      </c>
      <c r="AH35" s="38">
        <f>Inputs!$D$33</f>
        <v>1500</v>
      </c>
      <c r="AI35" s="38">
        <f t="shared" si="9"/>
        <v>880000</v>
      </c>
      <c r="AJ35" s="38">
        <f t="shared" si="10"/>
        <v>452941.21651131136</v>
      </c>
      <c r="AK35" s="38">
        <f>Inputs!$D$19*(1-Inputs!$C$70*$H35)+Inputs!$D$21+Inputs!$B$70*$J35</f>
        <v>404800</v>
      </c>
      <c r="AL35" s="38">
        <f t="shared" si="11"/>
        <v>475200</v>
      </c>
      <c r="AM35" s="38">
        <f t="shared" si="12"/>
        <v>0</v>
      </c>
      <c r="AN35" s="38">
        <f>MAX(0,MIN(Inputs!$B$36,AS34,AO35+AP35+AQ35+Inputs!$B$6-AR34))</f>
        <v>0</v>
      </c>
      <c r="AO35" s="38">
        <f>Inputs!$B$27*(1+Inputs!$B$28)^($A35/12)*IF(Inputs!$B$71=1,$G35,1)*(1-Inputs!$C$71*$H35*(1-Inputs!$E$54*Inputs!$B$71))*(1+$I35)*IF(Inputs!$B$29=0,1,(MAX(AR34,0)/Inputs!$B$6)^Inputs!$B$29)</f>
        <v>14873.975270226132</v>
      </c>
      <c r="AP35" s="38">
        <f>Inputs!$B$32*AR34/Inputs!$B$6</f>
        <v>4639.0356914310696</v>
      </c>
      <c r="AQ35" s="38">
        <f>Inputs!$B$33</f>
        <v>2500</v>
      </c>
      <c r="AR35" s="38">
        <f t="shared" si="13"/>
        <v>270074.4214617805</v>
      </c>
      <c r="AS35" s="38">
        <f t="shared" si="14"/>
        <v>0</v>
      </c>
      <c r="AT35" s="38">
        <f>Inputs!$B$19*(1-Inputs!$C$71*$H35)+Inputs!$B$21+Inputs!$B$71*$J35</f>
        <v>601000</v>
      </c>
      <c r="AU35" s="38">
        <f t="shared" si="15"/>
        <v>-330925.5785382195</v>
      </c>
      <c r="AV35" s="38">
        <f t="shared" si="16"/>
        <v>1</v>
      </c>
      <c r="AW35" s="38">
        <f>MAX(0,MIN(Inputs!$C$36,BB34,AX35+AY35+AZ35+Inputs!$C$6-BA34))</f>
        <v>2385.9128613666398</v>
      </c>
      <c r="AX35" s="38">
        <f>Inputs!$C$27*(1+Inputs!$C$28)^($A35/12)*IF(Inputs!$B$71=1,$G35,1)*(1-Inputs!$C$71*$H35*(1-Inputs!$E$54*Inputs!$B$71))*(1+$I35)*IF(Inputs!$C$29=0,1,(MAX(BA34,0)/Inputs!$C$6)^Inputs!$C$29)</f>
        <v>10971.665571616295</v>
      </c>
      <c r="AY35" s="38">
        <f>Inputs!$C$32*BA34/Inputs!$C$6</f>
        <v>6749.9999999999991</v>
      </c>
      <c r="AZ35" s="38">
        <f>Inputs!$C$33</f>
        <v>2000</v>
      </c>
      <c r="BA35" s="38">
        <f t="shared" si="17"/>
        <v>782664.24728975038</v>
      </c>
      <c r="BB35" s="38">
        <f t="shared" si="18"/>
        <v>0</v>
      </c>
      <c r="BC35" s="38">
        <f>Inputs!$C$19*(1-Inputs!$C$71*$H35)+Inputs!$C$21+Inputs!$B$71*$J35</f>
        <v>501000</v>
      </c>
      <c r="BD35" s="38">
        <f t="shared" si="19"/>
        <v>281664.24728975038</v>
      </c>
      <c r="BE35" s="38">
        <f t="shared" si="20"/>
        <v>0</v>
      </c>
      <c r="BF35" s="38">
        <f>MAX(0,MIN(Inputs!$D$36,BK34,BG35+BH35+BI35+Inputs!$D$6-BJ34))</f>
        <v>13420.964605742018</v>
      </c>
      <c r="BG35" s="38">
        <f>Inputs!$D$27*(1+Inputs!$D$28)^($A35/12)*IF(Inputs!$B$71=1,$G35,1)*(1-Inputs!$C$71*$H35*(1-Inputs!$E$54*Inputs!$B$71))*(1+$I35)*IF(Inputs!$D$29=0,1,(MAX(BJ34,0)/Inputs!$D$6)^Inputs!$D$29)</f>
        <v>7720.9646057419859</v>
      </c>
      <c r="BH35" s="38">
        <f>Inputs!$D$32*BJ34/Inputs!$D$6</f>
        <v>4200</v>
      </c>
      <c r="BI35" s="38">
        <f>Inputs!$D$33</f>
        <v>1500</v>
      </c>
      <c r="BJ35" s="38">
        <f t="shared" si="21"/>
        <v>880000</v>
      </c>
      <c r="BK35" s="38">
        <f t="shared" si="22"/>
        <v>477251.98640391929</v>
      </c>
      <c r="BL35" s="38">
        <f>Inputs!$D$19*(1-Inputs!$C$71*$H35)+Inputs!$D$21+Inputs!$B$71*$J35</f>
        <v>410800</v>
      </c>
      <c r="BM35" s="38">
        <f t="shared" si="23"/>
        <v>469200</v>
      </c>
      <c r="BN35" s="38">
        <f t="shared" si="24"/>
        <v>0</v>
      </c>
      <c r="BO35" s="38">
        <f>MAX(0,MIN(Inputs!$B$36,BT34,BP35+BQ35+BR35+Inputs!$B$6-BS34))</f>
        <v>0</v>
      </c>
      <c r="BP35" s="38">
        <f>Inputs!$B$27*(1+Inputs!$B$28)^($A35/12)*IF(Inputs!$B$72=1,$G35,1)*(1-Inputs!$C$72*$H35*(1-Inputs!$E$54*Inputs!$B$72))*(1+$I35)*IF(Inputs!$B$29=0,1,(MAX(BS34,0)/Inputs!$B$6)^Inputs!$B$29)</f>
        <v>16363.379694451742</v>
      </c>
      <c r="BQ35" s="38">
        <f>Inputs!$B$32*BS34/Inputs!$B$6</f>
        <v>4289.1280024044936</v>
      </c>
      <c r="BR35" s="38">
        <f>Inputs!$B$33</f>
        <v>2500</v>
      </c>
      <c r="BS35" s="38">
        <f t="shared" si="25"/>
        <v>246903.69986194521</v>
      </c>
      <c r="BT35" s="38">
        <f t="shared" si="26"/>
        <v>0</v>
      </c>
      <c r="BU35" s="38">
        <f>Inputs!$B$19*(1-Inputs!$C$72*$H35)+Inputs!$B$21+Inputs!$B$72*$J35</f>
        <v>584062.5</v>
      </c>
      <c r="BV35" s="38">
        <f t="shared" si="27"/>
        <v>-337158.80013805476</v>
      </c>
      <c r="BW35" s="38">
        <f t="shared" si="28"/>
        <v>1</v>
      </c>
      <c r="BX35" s="38">
        <f>MAX(0,MIN(Inputs!$C$36,CC34,BY35+BZ35+CA35+Inputs!$C$6-CB34))</f>
        <v>0</v>
      </c>
      <c r="BY35" s="38">
        <f>Inputs!$C$27*(1+Inputs!$C$28)^($A35/12)*IF(Inputs!$B$72=1,$G35,1)*(1-Inputs!$C$72*$H35*(1-Inputs!$E$54*Inputs!$B$72))*(1+$I35)*IF(Inputs!$C$29=0,1,(MAX(CB34,0)/Inputs!$C$6)^Inputs!$C$29)</f>
        <v>12004.830449604304</v>
      </c>
      <c r="BZ35" s="38">
        <f>Inputs!$C$32*CB34/Inputs!$C$6</f>
        <v>6604.7113037109339</v>
      </c>
      <c r="CA35" s="38">
        <f>Inputs!$C$33</f>
        <v>2000</v>
      </c>
      <c r="CB35" s="38">
        <f t="shared" si="29"/>
        <v>762171.05720501777</v>
      </c>
      <c r="CC35" s="38">
        <f t="shared" si="30"/>
        <v>0</v>
      </c>
      <c r="CD35" s="38">
        <f>Inputs!$C$19*(1-Inputs!$C$72*$H35)+Inputs!$C$21+Inputs!$B$72*$J35</f>
        <v>485625</v>
      </c>
      <c r="CE35" s="38">
        <f t="shared" si="31"/>
        <v>276546.05720501777</v>
      </c>
      <c r="CF35" s="38">
        <f t="shared" si="32"/>
        <v>0</v>
      </c>
      <c r="CG35" s="38">
        <f>MAX(0,MIN(Inputs!$D$36,CL34,CH35+CI35+CJ35+Inputs!$D$6-CK34))</f>
        <v>14194.102831008611</v>
      </c>
      <c r="CH35" s="38">
        <f>Inputs!$D$27*(1+Inputs!$D$28)^($A35/12)*IF(Inputs!$B$72=1,$G35,1)*(1-Inputs!$C$72*$H35*(1-Inputs!$E$54*Inputs!$B$72))*(1+$I35)*IF(Inputs!$D$29=0,1,(MAX(CK34,0)/Inputs!$D$6)^Inputs!$D$29)</f>
        <v>8494.1028310085549</v>
      </c>
      <c r="CI35" s="38">
        <f>Inputs!$D$32*CK34/Inputs!$D$6</f>
        <v>4200</v>
      </c>
      <c r="CJ35" s="38">
        <f>Inputs!$D$33</f>
        <v>1500</v>
      </c>
      <c r="CK35" s="38">
        <f t="shared" si="33"/>
        <v>880000</v>
      </c>
      <c r="CL35" s="38">
        <f t="shared" si="34"/>
        <v>462036.14330312214</v>
      </c>
      <c r="CM35" s="38">
        <f>Inputs!$D$19*(1-Inputs!$C$72*$H35)+Inputs!$D$21+Inputs!$B$72*$J35</f>
        <v>396893.75</v>
      </c>
      <c r="CN35" s="38">
        <f t="shared" si="35"/>
        <v>483106.25</v>
      </c>
      <c r="CO35" s="38">
        <f t="shared" si="36"/>
        <v>0</v>
      </c>
      <c r="CP35" s="38">
        <f>MAX(0,MIN(Inputs!$B$36,CU34,CQ35+CR35+CS35+Inputs!$B$6-CT34))</f>
        <v>0</v>
      </c>
      <c r="CQ35" s="38">
        <f>Inputs!$B$27*(1+Inputs!$B$28)^($A35/12)*IF(Inputs!$B$73=1,$G35,1)*(1-Inputs!$C$73*$H35*(1-Inputs!$E$54*Inputs!$B$73))*(1+$I35)*IF(Inputs!$B$29=0,1,(MAX(CT34,0)/Inputs!$B$6)^Inputs!$B$29)</f>
        <v>14409.163543031565</v>
      </c>
      <c r="CR35" s="38">
        <f>Inputs!$B$32*CT34/Inputs!$B$6</f>
        <v>4731.2957526193268</v>
      </c>
      <c r="CS35" s="38">
        <f>Inputs!$B$33</f>
        <v>2500</v>
      </c>
      <c r="CT35" s="38">
        <f t="shared" si="37"/>
        <v>276255.93994334375</v>
      </c>
      <c r="CU35" s="38">
        <f t="shared" si="38"/>
        <v>0</v>
      </c>
      <c r="CV35" s="38">
        <f>Inputs!$B$19*(1-Inputs!$C$73*$H35)+Inputs!$B$21+Inputs!$B$73*$J35</f>
        <v>590062.5</v>
      </c>
      <c r="CW35" s="38">
        <f t="shared" si="39"/>
        <v>-313806.56005665625</v>
      </c>
      <c r="CX35" s="38">
        <f t="shared" si="40"/>
        <v>1</v>
      </c>
      <c r="CY35" s="38">
        <f>MAX(0,MIN(Inputs!$C$36,DD34,CZ35+DA35+DB35+Inputs!$C$6-DC34))</f>
        <v>7548.287016124581</v>
      </c>
      <c r="CZ35" s="38">
        <f>Inputs!$C$27*(1+Inputs!$C$28)^($A35/12)*IF(Inputs!$B$73=1,$G35,1)*(1-Inputs!$C$73*$H35*(1-Inputs!$E$54*Inputs!$B$73))*(1+$I35)*IF(Inputs!$C$29=0,1,(MAX(DC34,0)/Inputs!$C$6)^Inputs!$C$29)</f>
        <v>10628.801022503287</v>
      </c>
      <c r="DA35" s="38">
        <f>Inputs!$C$32*DC34/Inputs!$C$6</f>
        <v>6749.9999999999991</v>
      </c>
      <c r="DB35" s="38">
        <f>Inputs!$C$33</f>
        <v>2000</v>
      </c>
      <c r="DC35" s="38">
        <f t="shared" si="41"/>
        <v>788169.48599362129</v>
      </c>
      <c r="DD35" s="38">
        <f t="shared" si="42"/>
        <v>0</v>
      </c>
      <c r="DE35" s="38">
        <f>Inputs!$C$19*(1-Inputs!$C$73*$H35)+Inputs!$C$21+Inputs!$B$73*$J35</f>
        <v>491625</v>
      </c>
      <c r="DF35" s="38">
        <f t="shared" si="43"/>
        <v>296544.48599362129</v>
      </c>
      <c r="DG35" s="38">
        <f t="shared" si="44"/>
        <v>0</v>
      </c>
      <c r="DH35" s="38">
        <f>MAX(0,MIN(Inputs!$D$36,DM34,DI35+DJ35+DK35+Inputs!$D$6-DL34))</f>
        <v>13179.684461812489</v>
      </c>
      <c r="DI35" s="38">
        <f>Inputs!$D$27*(1+Inputs!$D$28)^($A35/12)*IF(Inputs!$B$73=1,$G35,1)*(1-Inputs!$C$73*$H35*(1-Inputs!$E$54*Inputs!$B$73))*(1+$I35)*IF(Inputs!$D$29=0,1,(MAX(DL34,0)/Inputs!$D$6)^Inputs!$D$29)</f>
        <v>7479.6844618125479</v>
      </c>
      <c r="DJ35" s="38">
        <f>Inputs!$D$32*DL34/Inputs!$D$6</f>
        <v>4200</v>
      </c>
      <c r="DK35" s="38">
        <f>Inputs!$D$33</f>
        <v>1500</v>
      </c>
      <c r="DL35" s="38">
        <f t="shared" si="45"/>
        <v>879999.99999999988</v>
      </c>
      <c r="DM35" s="38">
        <f t="shared" si="46"/>
        <v>481295.5478576516</v>
      </c>
      <c r="DN35" s="38">
        <f>Inputs!$D$19*(1-Inputs!$C$73*$H35)+Inputs!$D$21+Inputs!$B$73*$J35</f>
        <v>402893.75</v>
      </c>
      <c r="DO35" s="38">
        <f t="shared" si="47"/>
        <v>477106.24999999988</v>
      </c>
      <c r="DP35" s="38">
        <f t="shared" si="48"/>
        <v>0</v>
      </c>
    </row>
    <row r="36" spans="1:120" x14ac:dyDescent="0.35">
      <c r="A36" s="29">
        <v>31</v>
      </c>
      <c r="B36" s="34">
        <f>EDATE(Inputs!$B$67,$A36)</f>
        <v>47209</v>
      </c>
      <c r="C36" s="35">
        <f>IF(Inputs!$E$47&lt;=0,Inputs!$E$46,Inputs!$E$44+(Inputs!$E$46-Inputs!$E$44)*MIN($A36/Inputs!$E$47,1))</f>
        <v>0.7</v>
      </c>
      <c r="D36" s="35">
        <f>MIN(Inputs!$E$57,Inputs!$E$55*(1+Inputs!$E$56)^($A36/12))*Inputs!$E$58*(1+Inputs!$E$59)^($A36/12)/Inputs!$E$45</f>
        <v>1.0017208558760569</v>
      </c>
      <c r="E36" s="35">
        <f>MAX(Inputs!$E$44,MIN(C36,D36))</f>
        <v>0.7</v>
      </c>
      <c r="F36" s="35">
        <f>IF(Inputs!$E$50&lt;=0,Inputs!$E$49,Inputs!$E$48+(Inputs!$E$49-Inputs!$E$48)*MIN($A36/Inputs!$E$50,1))</f>
        <v>0.10611111111111111</v>
      </c>
      <c r="G36" s="36">
        <f>(Inputs!$E$41*(1-E36*Inputs!$E$51)+Inputs!$E$42*(1-F36*Inputs!$E$51))/(Inputs!$E$41*(1-Inputs!$E$44*Inputs!$E$51)+Inputs!$E$42*(1-Inputs!$E$48*Inputs!$E$51))</f>
        <v>0.85052562417871225</v>
      </c>
      <c r="H36" s="35">
        <f>IF(Inputs!$E$53&lt;=0,Inputs!$E$52,Inputs!$E$52*MIN($A36/Inputs!$E$53,1))</f>
        <v>6.458333333333334E-2</v>
      </c>
      <c r="I36" s="35">
        <f>IF(Inputs!$E$64&lt;=0,Inputs!$E$63,Inputs!$E$62+(Inputs!$E$63-Inputs!$E$62)*MIN($A36/Inputs!$E$64,1))</f>
        <v>0.03</v>
      </c>
      <c r="J36" s="37">
        <f>(E36-Inputs!$E$44)*Inputs!$E$45/Inputs!$E$60*Inputs!$E$61</f>
        <v>5999.9999999999991</v>
      </c>
      <c r="K36" s="29">
        <f t="shared" si="0"/>
        <v>0</v>
      </c>
      <c r="L36" s="29"/>
      <c r="M36" s="38">
        <f>MAX(0,MIN(Inputs!$B$36,R35,N36+O36+P36+Inputs!$B$6-Q35))</f>
        <v>0</v>
      </c>
      <c r="N36" s="38">
        <f>Inputs!$B$27*(1+Inputs!$B$28)^($A36/12)*IF(Inputs!$B$70=1,$G36,1)*(1-Inputs!$C$70*$H36*(1-Inputs!$E$54*Inputs!$B$70))*(1+$I36)*IF(Inputs!$B$29=0,1,(MAX(Q35,0)/Inputs!$B$6)^Inputs!$B$29)</f>
        <v>17525.382537435496</v>
      </c>
      <c r="O36" s="38">
        <f>Inputs!$B$32*Q35/Inputs!$B$6</f>
        <v>3699.1162024834634</v>
      </c>
      <c r="P36" s="38">
        <f>Inputs!$B$33</f>
        <v>2500</v>
      </c>
      <c r="Q36" s="38">
        <f t="shared" si="1"/>
        <v>209182.8177127435</v>
      </c>
      <c r="R36" s="38">
        <f t="shared" si="2"/>
        <v>0</v>
      </c>
      <c r="S36" s="38">
        <f>Inputs!$B$19*(1-Inputs!$C$70*$H36)+Inputs!$B$21+Inputs!$B$70*$J36</f>
        <v>595000</v>
      </c>
      <c r="T36" s="38">
        <f t="shared" si="3"/>
        <v>-385817.18228725647</v>
      </c>
      <c r="U36" s="38">
        <f t="shared" si="4"/>
        <v>1</v>
      </c>
      <c r="V36" s="38">
        <f>MAX(0,MIN(Inputs!$C$36,AA35,W36+X36+Y36+Inputs!$C$6-Z35))</f>
        <v>0</v>
      </c>
      <c r="W36" s="38">
        <f>Inputs!$C$27*(1+Inputs!$C$28)^($A36/12)*IF(Inputs!$B$70=1,$G36,1)*(1-Inputs!$C$70*$H36*(1-Inputs!$E$54*Inputs!$B$70))*(1+$I36)*IF(Inputs!$C$29=0,1,(MAX(Z35,0)/Inputs!$C$6)^Inputs!$C$29)</f>
        <v>12668.982764411823</v>
      </c>
      <c r="X36" s="38">
        <f>Inputs!$C$32*Z35/Inputs!$C$6</f>
        <v>6328.223413230543</v>
      </c>
      <c r="Y36" s="38">
        <f>Inputs!$C$33</f>
        <v>2000</v>
      </c>
      <c r="Z36" s="38">
        <f t="shared" si="5"/>
        <v>729014.4576126443</v>
      </c>
      <c r="AA36" s="38">
        <f t="shared" si="6"/>
        <v>0</v>
      </c>
      <c r="AB36" s="38">
        <f>Inputs!$C$19*(1-Inputs!$C$70*$H36)+Inputs!$C$21+Inputs!$B$70*$J36</f>
        <v>495000</v>
      </c>
      <c r="AC36" s="38">
        <f t="shared" si="7"/>
        <v>234014.4576126443</v>
      </c>
      <c r="AD36" s="38">
        <f t="shared" si="8"/>
        <v>0</v>
      </c>
      <c r="AE36" s="38">
        <f>MAX(0,MIN(Inputs!$D$36,AJ35,AF36+AG36+AH36+Inputs!$D$6-AI35))</f>
        <v>14721.730959685287</v>
      </c>
      <c r="AF36" s="38">
        <f>Inputs!$D$27*(1+Inputs!$D$28)^($A36/12)*IF(Inputs!$B$70=1,$G36,1)*(1-Inputs!$C$70*$H36*(1-Inputs!$E$54*Inputs!$B$70))*(1+$I36)*IF(Inputs!$D$29=0,1,(MAX(AI35,0)/Inputs!$D$6)^Inputs!$D$29)</f>
        <v>9021.7309596852519</v>
      </c>
      <c r="AG36" s="38">
        <f>Inputs!$D$32*AI35/Inputs!$D$6</f>
        <v>4200</v>
      </c>
      <c r="AH36" s="38">
        <f>Inputs!$D$33</f>
        <v>1500</v>
      </c>
      <c r="AI36" s="38">
        <f t="shared" si="9"/>
        <v>880000</v>
      </c>
      <c r="AJ36" s="38">
        <f t="shared" si="10"/>
        <v>438219.48555162607</v>
      </c>
      <c r="AK36" s="38">
        <f>Inputs!$D$19*(1-Inputs!$C$70*$H36)+Inputs!$D$21+Inputs!$B$70*$J36</f>
        <v>404800</v>
      </c>
      <c r="AL36" s="38">
        <f t="shared" si="11"/>
        <v>475200</v>
      </c>
      <c r="AM36" s="38">
        <f t="shared" si="12"/>
        <v>0</v>
      </c>
      <c r="AN36" s="38">
        <f>MAX(0,MIN(Inputs!$B$36,AS35,AO36+AP36+AQ36+Inputs!$B$6-AR35))</f>
        <v>0</v>
      </c>
      <c r="AO36" s="38">
        <f>Inputs!$B$27*(1+Inputs!$B$28)^($A36/12)*IF(Inputs!$B$71=1,$G36,1)*(1-Inputs!$C$71*$H36*(1-Inputs!$E$54*Inputs!$B$71))*(1+$I36)*IF(Inputs!$B$29=0,1,(MAX(AR35,0)/Inputs!$B$6)^Inputs!$B$29)</f>
        <v>14905.786921623028</v>
      </c>
      <c r="AP36" s="38">
        <f>Inputs!$B$32*AR35/Inputs!$B$6</f>
        <v>4289.4172820400436</v>
      </c>
      <c r="AQ36" s="38">
        <f>Inputs!$B$33</f>
        <v>2500</v>
      </c>
      <c r="AR36" s="38">
        <f t="shared" si="13"/>
        <v>248379.21725811742</v>
      </c>
      <c r="AS36" s="38">
        <f t="shared" si="14"/>
        <v>0</v>
      </c>
      <c r="AT36" s="38">
        <f>Inputs!$B$19*(1-Inputs!$C$71*$H36)+Inputs!$B$21+Inputs!$B$71*$J36</f>
        <v>601000</v>
      </c>
      <c r="AU36" s="38">
        <f t="shared" si="15"/>
        <v>-352620.78274188261</v>
      </c>
      <c r="AV36" s="38">
        <f t="shared" si="16"/>
        <v>1</v>
      </c>
      <c r="AW36" s="38">
        <f>MAX(0,MIN(Inputs!$C$36,BB35,AX36+AY36+AZ36+Inputs!$C$6-BA35))</f>
        <v>0</v>
      </c>
      <c r="AX36" s="38">
        <f>Inputs!$C$27*(1+Inputs!$C$28)^($A36/12)*IF(Inputs!$B$71=1,$G36,1)*(1-Inputs!$C$71*$H36*(1-Inputs!$E$54*Inputs!$B$71))*(1+$I36)*IF(Inputs!$C$29=0,1,(MAX(BA35,0)/Inputs!$C$6)^Inputs!$C$29)</f>
        <v>10890.705572097857</v>
      </c>
      <c r="AY36" s="38">
        <f>Inputs!$C$32*BA35/Inputs!$C$6</f>
        <v>6603.7295865072683</v>
      </c>
      <c r="AZ36" s="38">
        <f>Inputs!$C$33</f>
        <v>2000</v>
      </c>
      <c r="BA36" s="38">
        <f t="shared" si="17"/>
        <v>763169.81213114515</v>
      </c>
      <c r="BB36" s="38">
        <f t="shared" si="18"/>
        <v>0</v>
      </c>
      <c r="BC36" s="38">
        <f>Inputs!$C$19*(1-Inputs!$C$71*$H36)+Inputs!$C$21+Inputs!$B$71*$J36</f>
        <v>501000</v>
      </c>
      <c r="BD36" s="38">
        <f t="shared" si="19"/>
        <v>262169.81213114515</v>
      </c>
      <c r="BE36" s="38">
        <f t="shared" si="20"/>
        <v>0</v>
      </c>
      <c r="BF36" s="38">
        <f>MAX(0,MIN(Inputs!$D$36,BK35,BG36+BH36+BI36+Inputs!$D$6-BJ35))</f>
        <v>13373.213355658692</v>
      </c>
      <c r="BG36" s="38">
        <f>Inputs!$D$27*(1+Inputs!$D$28)^($A36/12)*IF(Inputs!$B$71=1,$G36,1)*(1-Inputs!$C$71*$H36*(1-Inputs!$E$54*Inputs!$B$71))*(1+$I36)*IF(Inputs!$D$29=0,1,(MAX(BJ35,0)/Inputs!$D$6)^Inputs!$D$29)</f>
        <v>7673.2133556587105</v>
      </c>
      <c r="BH36" s="38">
        <f>Inputs!$D$32*BJ35/Inputs!$D$6</f>
        <v>4200</v>
      </c>
      <c r="BI36" s="38">
        <f>Inputs!$D$33</f>
        <v>1500</v>
      </c>
      <c r="BJ36" s="38">
        <f t="shared" si="21"/>
        <v>880000</v>
      </c>
      <c r="BK36" s="38">
        <f t="shared" si="22"/>
        <v>463878.7730482606</v>
      </c>
      <c r="BL36" s="38">
        <f>Inputs!$D$19*(1-Inputs!$C$71*$H36)+Inputs!$D$21+Inputs!$B$71*$J36</f>
        <v>410800</v>
      </c>
      <c r="BM36" s="38">
        <f t="shared" si="23"/>
        <v>469200</v>
      </c>
      <c r="BN36" s="38">
        <f t="shared" si="24"/>
        <v>0</v>
      </c>
      <c r="BO36" s="38">
        <f>MAX(0,MIN(Inputs!$B$36,BT35,BP36+BQ36+BR36+Inputs!$B$6-BS35))</f>
        <v>0</v>
      </c>
      <c r="BP36" s="38">
        <f>Inputs!$B$27*(1+Inputs!$B$28)^($A36/12)*IF(Inputs!$B$72=1,$G36,1)*(1-Inputs!$C$72*$H36*(1-Inputs!$E$54*Inputs!$B$72))*(1+$I36)*IF(Inputs!$B$29=0,1,(MAX(BS35,0)/Inputs!$B$6)^Inputs!$B$29)</f>
        <v>16393.534915226119</v>
      </c>
      <c r="BQ36" s="38">
        <f>Inputs!$B$32*BS35/Inputs!$B$6</f>
        <v>3921.4117036897183</v>
      </c>
      <c r="BR36" s="38">
        <f>Inputs!$B$33</f>
        <v>2500</v>
      </c>
      <c r="BS36" s="38">
        <f t="shared" si="25"/>
        <v>224088.75324302935</v>
      </c>
      <c r="BT36" s="38">
        <f t="shared" si="26"/>
        <v>0</v>
      </c>
      <c r="BU36" s="38">
        <f>Inputs!$B$19*(1-Inputs!$C$72*$H36)+Inputs!$B$21+Inputs!$B$72*$J36</f>
        <v>583697.91666666663</v>
      </c>
      <c r="BV36" s="38">
        <f t="shared" si="27"/>
        <v>-359609.16342363728</v>
      </c>
      <c r="BW36" s="38">
        <f t="shared" si="28"/>
        <v>1</v>
      </c>
      <c r="BX36" s="38">
        <f>MAX(0,MIN(Inputs!$C$36,CC35,BY36+BZ36+CA36+Inputs!$C$6-CB35))</f>
        <v>0</v>
      </c>
      <c r="BY36" s="38">
        <f>Inputs!$C$27*(1+Inputs!$C$28)^($A36/12)*IF(Inputs!$B$72=1,$G36,1)*(1-Inputs!$C$72*$H36*(1-Inputs!$E$54*Inputs!$B$72))*(1+$I36)*IF(Inputs!$C$29=0,1,(MAX(CB35,0)/Inputs!$C$6)^Inputs!$C$29)</f>
        <v>11898.520352098705</v>
      </c>
      <c r="BZ36" s="38">
        <f>Inputs!$C$32*CB35/Inputs!$C$6</f>
        <v>6430.8182951673361</v>
      </c>
      <c r="CA36" s="38">
        <f>Inputs!$C$33</f>
        <v>2000</v>
      </c>
      <c r="CB36" s="38">
        <f t="shared" si="29"/>
        <v>741841.71855775174</v>
      </c>
      <c r="CC36" s="38">
        <f t="shared" si="30"/>
        <v>0</v>
      </c>
      <c r="CD36" s="38">
        <f>Inputs!$C$19*(1-Inputs!$C$72*$H36)+Inputs!$C$21+Inputs!$B$72*$J36</f>
        <v>485312.5</v>
      </c>
      <c r="CE36" s="38">
        <f t="shared" si="31"/>
        <v>256529.21855775174</v>
      </c>
      <c r="CF36" s="38">
        <f t="shared" si="32"/>
        <v>0</v>
      </c>
      <c r="CG36" s="38">
        <f>MAX(0,MIN(Inputs!$D$36,CL35,CH36+CI36+CJ36+Inputs!$D$6-CK35))</f>
        <v>14139.077501872205</v>
      </c>
      <c r="CH36" s="38">
        <f>Inputs!$D$27*(1+Inputs!$D$28)^($A36/12)*IF(Inputs!$B$72=1,$G36,1)*(1-Inputs!$C$72*$H36*(1-Inputs!$E$54*Inputs!$B$72))*(1+$I36)*IF(Inputs!$D$29=0,1,(MAX(CK35,0)/Inputs!$D$6)^Inputs!$D$29)</f>
        <v>8439.077501872247</v>
      </c>
      <c r="CI36" s="38">
        <f>Inputs!$D$32*CK35/Inputs!$D$6</f>
        <v>4200</v>
      </c>
      <c r="CJ36" s="38">
        <f>Inputs!$D$33</f>
        <v>1500</v>
      </c>
      <c r="CK36" s="38">
        <f t="shared" si="33"/>
        <v>880000</v>
      </c>
      <c r="CL36" s="38">
        <f t="shared" si="34"/>
        <v>447897.06580124993</v>
      </c>
      <c r="CM36" s="38">
        <f>Inputs!$D$19*(1-Inputs!$C$72*$H36)+Inputs!$D$21+Inputs!$B$72*$J36</f>
        <v>396630.20833333331</v>
      </c>
      <c r="CN36" s="38">
        <f t="shared" si="35"/>
        <v>483369.79166666669</v>
      </c>
      <c r="CO36" s="38">
        <f t="shared" si="36"/>
        <v>0</v>
      </c>
      <c r="CP36" s="38">
        <f>MAX(0,MIN(Inputs!$B$36,CU35,CQ36+CR36+CS36+Inputs!$B$6-CT35))</f>
        <v>0</v>
      </c>
      <c r="CQ36" s="38">
        <f>Inputs!$B$27*(1+Inputs!$B$28)^($A36/12)*IF(Inputs!$B$73=1,$G36,1)*(1-Inputs!$C$73*$H36*(1-Inputs!$E$54*Inputs!$B$73))*(1+$I36)*IF(Inputs!$B$29=0,1,(MAX(CT35,0)/Inputs!$B$6)^Inputs!$B$29)</f>
        <v>14424.454218945617</v>
      </c>
      <c r="CR36" s="38">
        <f>Inputs!$B$32*CT35/Inputs!$B$6</f>
        <v>4387.5943402766361</v>
      </c>
      <c r="CS36" s="38">
        <f>Inputs!$B$33</f>
        <v>2500</v>
      </c>
      <c r="CT36" s="38">
        <f t="shared" si="37"/>
        <v>254943.8913841215</v>
      </c>
      <c r="CU36" s="38">
        <f t="shared" si="38"/>
        <v>0</v>
      </c>
      <c r="CV36" s="38">
        <f>Inputs!$B$19*(1-Inputs!$C$73*$H36)+Inputs!$B$21+Inputs!$B$73*$J36</f>
        <v>589697.91666666663</v>
      </c>
      <c r="CW36" s="38">
        <f t="shared" si="39"/>
        <v>-334754.02528254513</v>
      </c>
      <c r="CX36" s="38">
        <f t="shared" si="40"/>
        <v>1</v>
      </c>
      <c r="CY36" s="38">
        <f>MAX(0,MIN(Inputs!$C$36,DD35,CZ36+DA36+DB36+Inputs!$C$6-DC35))</f>
        <v>0</v>
      </c>
      <c r="CZ36" s="38">
        <f>Inputs!$C$27*(1+Inputs!$C$28)^($A36/12)*IF(Inputs!$B$73=1,$G36,1)*(1-Inputs!$C$73*$H36*(1-Inputs!$E$54*Inputs!$B$73))*(1+$I36)*IF(Inputs!$C$29=0,1,(MAX(DC35,0)/Inputs!$C$6)^Inputs!$C$29)</f>
        <v>10557.510658313759</v>
      </c>
      <c r="DA36" s="38">
        <f>Inputs!$C$32*DC35/Inputs!$C$6</f>
        <v>6650.1800380711784</v>
      </c>
      <c r="DB36" s="38">
        <f>Inputs!$C$33</f>
        <v>2000</v>
      </c>
      <c r="DC36" s="38">
        <f t="shared" si="41"/>
        <v>768961.79529723641</v>
      </c>
      <c r="DD36" s="38">
        <f t="shared" si="42"/>
        <v>0</v>
      </c>
      <c r="DE36" s="38">
        <f>Inputs!$C$19*(1-Inputs!$C$73*$H36)+Inputs!$C$21+Inputs!$B$73*$J36</f>
        <v>491312.5</v>
      </c>
      <c r="DF36" s="38">
        <f t="shared" si="43"/>
        <v>277649.29529723641</v>
      </c>
      <c r="DG36" s="38">
        <f t="shared" si="44"/>
        <v>0</v>
      </c>
      <c r="DH36" s="38">
        <f>MAX(0,MIN(Inputs!$D$36,DM35,DI36+DJ36+DK36+Inputs!$D$6-DL35))</f>
        <v>13125.432507715654</v>
      </c>
      <c r="DI36" s="38">
        <f>Inputs!$D$27*(1+Inputs!$D$28)^($A36/12)*IF(Inputs!$B$73=1,$G36,1)*(1-Inputs!$C$73*$H36*(1-Inputs!$E$54*Inputs!$B$73))*(1+$I36)*IF(Inputs!$D$29=0,1,(MAX(DL35,0)/Inputs!$D$6)^Inputs!$D$29)</f>
        <v>7425.4325077155645</v>
      </c>
      <c r="DJ36" s="38">
        <f>Inputs!$D$32*DL35/Inputs!$D$6</f>
        <v>4199.9999999999991</v>
      </c>
      <c r="DK36" s="38">
        <f>Inputs!$D$33</f>
        <v>1500</v>
      </c>
      <c r="DL36" s="38">
        <f t="shared" si="45"/>
        <v>880000</v>
      </c>
      <c r="DM36" s="38">
        <f t="shared" si="46"/>
        <v>468170.11534993595</v>
      </c>
      <c r="DN36" s="38">
        <f>Inputs!$D$19*(1-Inputs!$C$73*$H36)+Inputs!$D$21+Inputs!$B$73*$J36</f>
        <v>402630.20833333331</v>
      </c>
      <c r="DO36" s="38">
        <f t="shared" si="47"/>
        <v>477369.79166666669</v>
      </c>
      <c r="DP36" s="38">
        <f t="shared" si="48"/>
        <v>0</v>
      </c>
    </row>
    <row r="37" spans="1:120" x14ac:dyDescent="0.35">
      <c r="A37" s="29">
        <v>32</v>
      </c>
      <c r="B37" s="34">
        <f>EDATE(Inputs!$B$67,$A37)</f>
        <v>47239</v>
      </c>
      <c r="C37" s="35">
        <f>IF(Inputs!$E$47&lt;=0,Inputs!$E$46,Inputs!$E$44+(Inputs!$E$46-Inputs!$E$44)*MIN($A37/Inputs!$E$47,1))</f>
        <v>0.7</v>
      </c>
      <c r="D37" s="35">
        <f>MIN(Inputs!$E$57,Inputs!$E$55*(1+Inputs!$E$56)^($A37/12))*Inputs!$E$58*(1+Inputs!$E$59)^($A37/12)/Inputs!$E$45</f>
        <v>1.0302059461280921</v>
      </c>
      <c r="E37" s="35">
        <f>MAX(Inputs!$E$44,MIN(C37,D37))</f>
        <v>0.7</v>
      </c>
      <c r="F37" s="35">
        <f>IF(Inputs!$E$50&lt;=0,Inputs!$E$49,Inputs!$E$48+(Inputs!$E$49-Inputs!$E$48)*MIN($A37/Inputs!$E$50,1))</f>
        <v>0.10888888888888888</v>
      </c>
      <c r="G37" s="36">
        <f>(Inputs!$E$41*(1-E37*Inputs!$E$51)+Inputs!$E$42*(1-F37*Inputs!$E$51))/(Inputs!$E$41*(1-Inputs!$E$44*Inputs!$E$51)+Inputs!$E$42*(1-Inputs!$E$48*Inputs!$E$51))</f>
        <v>0.84888304862023645</v>
      </c>
      <c r="H37" s="35">
        <f>IF(Inputs!$E$53&lt;=0,Inputs!$E$52,Inputs!$E$52*MIN($A37/Inputs!$E$53,1))</f>
        <v>6.6666666666666666E-2</v>
      </c>
      <c r="I37" s="35">
        <f>IF(Inputs!$E$64&lt;=0,Inputs!$E$63,Inputs!$E$62+(Inputs!$E$63-Inputs!$E$62)*MIN($A37/Inputs!$E$64,1))</f>
        <v>0.03</v>
      </c>
      <c r="J37" s="37">
        <f>(E37-Inputs!$E$44)*Inputs!$E$45/Inputs!$E$60*Inputs!$E$61</f>
        <v>5999.9999999999991</v>
      </c>
      <c r="K37" s="29">
        <f t="shared" si="0"/>
        <v>0</v>
      </c>
      <c r="L37" s="29"/>
      <c r="M37" s="38">
        <f>MAX(0,MIN(Inputs!$B$36,R36,N37+O37+P37+Inputs!$B$6-Q36))</f>
        <v>0</v>
      </c>
      <c r="N37" s="38">
        <f>Inputs!$B$27*(1+Inputs!$B$28)^($A37/12)*IF(Inputs!$B$70=1,$G37,1)*(1-Inputs!$C$70*$H37*(1-Inputs!$E$54*Inputs!$B$70))*(1+$I37)*IF(Inputs!$B$29=0,1,(MAX(Q36,0)/Inputs!$B$6)^Inputs!$B$29)</f>
        <v>17596.783115248796</v>
      </c>
      <c r="O37" s="38">
        <f>Inputs!$B$32*Q36/Inputs!$B$6</f>
        <v>3322.3153401435734</v>
      </c>
      <c r="P37" s="38">
        <f>Inputs!$B$33</f>
        <v>2500</v>
      </c>
      <c r="Q37" s="38">
        <f t="shared" si="1"/>
        <v>185763.71925735113</v>
      </c>
      <c r="R37" s="38">
        <f t="shared" si="2"/>
        <v>0</v>
      </c>
      <c r="S37" s="38">
        <f>Inputs!$B$19*(1-Inputs!$C$70*$H37)+Inputs!$B$21+Inputs!$B$70*$J37</f>
        <v>595000</v>
      </c>
      <c r="T37" s="38">
        <f t="shared" si="3"/>
        <v>-409236.28074264887</v>
      </c>
      <c r="U37" s="38">
        <f t="shared" si="4"/>
        <v>1</v>
      </c>
      <c r="V37" s="38">
        <f>MAX(0,MIN(Inputs!$C$36,AA36,W37+X37+Y37+Inputs!$C$6-Z36))</f>
        <v>0</v>
      </c>
      <c r="W37" s="38">
        <f>Inputs!$C$27*(1+Inputs!$C$28)^($A37/12)*IF(Inputs!$B$70=1,$G37,1)*(1-Inputs!$C$70*$H37*(1-Inputs!$E$54*Inputs!$B$70))*(1+$I37)*IF(Inputs!$C$29=0,1,(MAX(Z36,0)/Inputs!$C$6)^Inputs!$C$29)</f>
        <v>12579.366667572209</v>
      </c>
      <c r="X37" s="38">
        <f>Inputs!$C$32*Z36/Inputs!$C$6</f>
        <v>6151.0594861066857</v>
      </c>
      <c r="Y37" s="38">
        <f>Inputs!$C$33</f>
        <v>2000</v>
      </c>
      <c r="Z37" s="38">
        <f t="shared" si="5"/>
        <v>708284.03145896539</v>
      </c>
      <c r="AA37" s="38">
        <f t="shared" si="6"/>
        <v>0</v>
      </c>
      <c r="AB37" s="38">
        <f>Inputs!$C$19*(1-Inputs!$C$70*$H37)+Inputs!$C$21+Inputs!$B$70*$J37</f>
        <v>495000</v>
      </c>
      <c r="AC37" s="38">
        <f t="shared" si="7"/>
        <v>213284.03145896539</v>
      </c>
      <c r="AD37" s="38">
        <f t="shared" si="8"/>
        <v>0</v>
      </c>
      <c r="AE37" s="38">
        <f>MAX(0,MIN(Inputs!$D$36,AJ36,AF37+AG37+AH37+Inputs!$D$6-AI36))</f>
        <v>14683.250401216792</v>
      </c>
      <c r="AF37" s="38">
        <f>Inputs!$D$27*(1+Inputs!$D$28)^($A37/12)*IF(Inputs!$B$70=1,$G37,1)*(1-Inputs!$C$70*$H37*(1-Inputs!$E$54*Inputs!$B$70))*(1+$I37)*IF(Inputs!$D$29=0,1,(MAX(AI36,0)/Inputs!$D$6)^Inputs!$D$29)</f>
        <v>8983.2504012168065</v>
      </c>
      <c r="AG37" s="38">
        <f>Inputs!$D$32*AI36/Inputs!$D$6</f>
        <v>4200</v>
      </c>
      <c r="AH37" s="38">
        <f>Inputs!$D$33</f>
        <v>1500</v>
      </c>
      <c r="AI37" s="38">
        <f t="shared" si="9"/>
        <v>880000</v>
      </c>
      <c r="AJ37" s="38">
        <f t="shared" si="10"/>
        <v>423536.23515040928</v>
      </c>
      <c r="AK37" s="38">
        <f>Inputs!$D$19*(1-Inputs!$C$70*$H37)+Inputs!$D$21+Inputs!$B$70*$J37</f>
        <v>404800</v>
      </c>
      <c r="AL37" s="38">
        <f t="shared" si="11"/>
        <v>475200</v>
      </c>
      <c r="AM37" s="38">
        <f t="shared" si="12"/>
        <v>0</v>
      </c>
      <c r="AN37" s="38">
        <f>MAX(0,MIN(Inputs!$B$36,AS36,AO37+AP37+AQ37+Inputs!$B$6-AR36))</f>
        <v>0</v>
      </c>
      <c r="AO37" s="38">
        <f>Inputs!$B$27*(1+Inputs!$B$28)^($A37/12)*IF(Inputs!$B$71=1,$G37,1)*(1-Inputs!$C$71*$H37*(1-Inputs!$E$54*Inputs!$B$71))*(1+$I37)*IF(Inputs!$B$29=0,1,(MAX(AR36,0)/Inputs!$B$6)^Inputs!$B$29)</f>
        <v>14937.6108967815</v>
      </c>
      <c r="AP37" s="38">
        <f>Inputs!$B$32*AR36/Inputs!$B$6</f>
        <v>3944.8463917465706</v>
      </c>
      <c r="AQ37" s="38">
        <f>Inputs!$B$33</f>
        <v>2500</v>
      </c>
      <c r="AR37" s="38">
        <f t="shared" si="13"/>
        <v>226996.75996958936</v>
      </c>
      <c r="AS37" s="38">
        <f t="shared" si="14"/>
        <v>0</v>
      </c>
      <c r="AT37" s="38">
        <f>Inputs!$B$19*(1-Inputs!$C$71*$H37)+Inputs!$B$21+Inputs!$B$71*$J37</f>
        <v>601000</v>
      </c>
      <c r="AU37" s="38">
        <f t="shared" si="15"/>
        <v>-374003.24003041064</v>
      </c>
      <c r="AV37" s="38">
        <f t="shared" si="16"/>
        <v>1</v>
      </c>
      <c r="AW37" s="38">
        <f>MAX(0,MIN(Inputs!$C$36,BB36,AX37+AY37+AZ37+Inputs!$C$6-BA36))</f>
        <v>0</v>
      </c>
      <c r="AX37" s="38">
        <f>Inputs!$C$27*(1+Inputs!$C$28)^($A37/12)*IF(Inputs!$B$71=1,$G37,1)*(1-Inputs!$C$71*$H37*(1-Inputs!$E$54*Inputs!$B$71))*(1+$I37)*IF(Inputs!$C$29=0,1,(MAX(BA36,0)/Inputs!$C$6)^Inputs!$C$29)</f>
        <v>10801.346494848858</v>
      </c>
      <c r="AY37" s="38">
        <f>Inputs!$C$32*BA36/Inputs!$C$6</f>
        <v>6439.2452898565361</v>
      </c>
      <c r="AZ37" s="38">
        <f>Inputs!$C$33</f>
        <v>2000</v>
      </c>
      <c r="BA37" s="38">
        <f t="shared" si="17"/>
        <v>743929.22034643975</v>
      </c>
      <c r="BB37" s="38">
        <f t="shared" si="18"/>
        <v>0</v>
      </c>
      <c r="BC37" s="38">
        <f>Inputs!$C$19*(1-Inputs!$C$71*$H37)+Inputs!$C$21+Inputs!$B$71*$J37</f>
        <v>501000</v>
      </c>
      <c r="BD37" s="38">
        <f t="shared" si="19"/>
        <v>242929.22034643975</v>
      </c>
      <c r="BE37" s="38">
        <f t="shared" si="20"/>
        <v>0</v>
      </c>
      <c r="BF37" s="38">
        <f>MAX(0,MIN(Inputs!$D$36,BK36,BG37+BH37+BI37+Inputs!$D$6-BJ36))</f>
        <v>13325.72898710391</v>
      </c>
      <c r="BG37" s="38">
        <f>Inputs!$D$27*(1+Inputs!$D$28)^($A37/12)*IF(Inputs!$B$71=1,$G37,1)*(1-Inputs!$C$71*$H37*(1-Inputs!$E$54*Inputs!$B$71))*(1+$I37)*IF(Inputs!$D$29=0,1,(MAX(BJ36,0)/Inputs!$D$6)^Inputs!$D$29)</f>
        <v>7625.7289871038847</v>
      </c>
      <c r="BH37" s="38">
        <f>Inputs!$D$32*BJ36/Inputs!$D$6</f>
        <v>4200</v>
      </c>
      <c r="BI37" s="38">
        <f>Inputs!$D$33</f>
        <v>1500</v>
      </c>
      <c r="BJ37" s="38">
        <f t="shared" si="21"/>
        <v>880000</v>
      </c>
      <c r="BK37" s="38">
        <f t="shared" si="22"/>
        <v>450553.04406115669</v>
      </c>
      <c r="BL37" s="38">
        <f>Inputs!$D$19*(1-Inputs!$C$71*$H37)+Inputs!$D$21+Inputs!$B$71*$J37</f>
        <v>410800</v>
      </c>
      <c r="BM37" s="38">
        <f t="shared" si="23"/>
        <v>469200</v>
      </c>
      <c r="BN37" s="38">
        <f t="shared" si="24"/>
        <v>0</v>
      </c>
      <c r="BO37" s="38">
        <f>MAX(0,MIN(Inputs!$B$36,BT36,BP37+BQ37+BR37+Inputs!$B$6-BS36))</f>
        <v>0</v>
      </c>
      <c r="BP37" s="38">
        <f>Inputs!$B$27*(1+Inputs!$B$28)^($A37/12)*IF(Inputs!$B$72=1,$G37,1)*(1-Inputs!$C$72*$H37*(1-Inputs!$E$54*Inputs!$B$72))*(1+$I37)*IF(Inputs!$B$29=0,1,(MAX(BS36,0)/Inputs!$B$6)^Inputs!$B$29)</f>
        <v>16423.664240898877</v>
      </c>
      <c r="BQ37" s="38">
        <f>Inputs!$B$32*BS36/Inputs!$B$6</f>
        <v>3559.0566691539952</v>
      </c>
      <c r="BR37" s="38">
        <f>Inputs!$B$33</f>
        <v>2500</v>
      </c>
      <c r="BS37" s="38">
        <f t="shared" si="25"/>
        <v>201606.03233297647</v>
      </c>
      <c r="BT37" s="38">
        <f t="shared" si="26"/>
        <v>0</v>
      </c>
      <c r="BU37" s="38">
        <f>Inputs!$B$19*(1-Inputs!$C$72*$H37)+Inputs!$B$21+Inputs!$B$72*$J37</f>
        <v>583333.33333333337</v>
      </c>
      <c r="BV37" s="38">
        <f t="shared" si="27"/>
        <v>-381727.30100035691</v>
      </c>
      <c r="BW37" s="38">
        <f t="shared" si="28"/>
        <v>1</v>
      </c>
      <c r="BX37" s="38">
        <f>MAX(0,MIN(Inputs!$C$36,CC36,BY37+BZ37+CA37+Inputs!$C$6-CB36))</f>
        <v>0</v>
      </c>
      <c r="BY37" s="38">
        <f>Inputs!$C$27*(1+Inputs!$C$28)^($A37/12)*IF(Inputs!$B$72=1,$G37,1)*(1-Inputs!$C$72*$H37*(1-Inputs!$E$54*Inputs!$B$72))*(1+$I37)*IF(Inputs!$C$29=0,1,(MAX(CB36,0)/Inputs!$C$6)^Inputs!$C$29)</f>
        <v>11792.050510845198</v>
      </c>
      <c r="BZ37" s="38">
        <f>Inputs!$C$32*CB36/Inputs!$C$6</f>
        <v>6259.2895003310296</v>
      </c>
      <c r="CA37" s="38">
        <f>Inputs!$C$33</f>
        <v>2000</v>
      </c>
      <c r="CB37" s="38">
        <f t="shared" si="29"/>
        <v>721790.37854657555</v>
      </c>
      <c r="CC37" s="38">
        <f t="shared" si="30"/>
        <v>0</v>
      </c>
      <c r="CD37" s="38">
        <f>Inputs!$C$19*(1-Inputs!$C$72*$H37)+Inputs!$C$21+Inputs!$B$72*$J37</f>
        <v>485000</v>
      </c>
      <c r="CE37" s="38">
        <f t="shared" si="31"/>
        <v>236790.37854657555</v>
      </c>
      <c r="CF37" s="38">
        <f t="shared" si="32"/>
        <v>0</v>
      </c>
      <c r="CG37" s="38">
        <f>MAX(0,MIN(Inputs!$D$36,CL36,CH37+CI37+CJ37+Inputs!$D$6-CK36))</f>
        <v>14084.367041135672</v>
      </c>
      <c r="CH37" s="38">
        <f>Inputs!$D$27*(1+Inputs!$D$28)^($A37/12)*IF(Inputs!$B$72=1,$G37,1)*(1-Inputs!$C$72*$H37*(1-Inputs!$E$54*Inputs!$B$72))*(1+$I37)*IF(Inputs!$D$29=0,1,(MAX(CK36,0)/Inputs!$D$6)^Inputs!$D$29)</f>
        <v>8384.367041135687</v>
      </c>
      <c r="CI37" s="38">
        <f>Inputs!$D$32*CK36/Inputs!$D$6</f>
        <v>4200</v>
      </c>
      <c r="CJ37" s="38">
        <f>Inputs!$D$33</f>
        <v>1500</v>
      </c>
      <c r="CK37" s="38">
        <f t="shared" si="33"/>
        <v>880000</v>
      </c>
      <c r="CL37" s="38">
        <f t="shared" si="34"/>
        <v>433812.69876011426</v>
      </c>
      <c r="CM37" s="38">
        <f>Inputs!$D$19*(1-Inputs!$C$72*$H37)+Inputs!$D$21+Inputs!$B$72*$J37</f>
        <v>396366.66666666669</v>
      </c>
      <c r="CN37" s="38">
        <f t="shared" si="35"/>
        <v>483633.33333333331</v>
      </c>
      <c r="CO37" s="38">
        <f t="shared" si="36"/>
        <v>0</v>
      </c>
      <c r="CP37" s="38">
        <f>MAX(0,MIN(Inputs!$B$36,CU36,CQ37+CR37+CS37+Inputs!$B$6-CT36))</f>
        <v>0</v>
      </c>
      <c r="CQ37" s="38">
        <f>Inputs!$B$27*(1+Inputs!$B$28)^($A37/12)*IF(Inputs!$B$73=1,$G37,1)*(1-Inputs!$C$73*$H37*(1-Inputs!$E$54*Inputs!$B$73))*(1+$I37)*IF(Inputs!$B$29=0,1,(MAX(CT36,0)/Inputs!$B$6)^Inputs!$B$29)</f>
        <v>14439.690533555449</v>
      </c>
      <c r="CR37" s="38">
        <f>Inputs!$B$32*CT36/Inputs!$B$6</f>
        <v>4049.1088631595767</v>
      </c>
      <c r="CS37" s="38">
        <f>Inputs!$B$33</f>
        <v>2500</v>
      </c>
      <c r="CT37" s="38">
        <f t="shared" si="37"/>
        <v>233955.09198740646</v>
      </c>
      <c r="CU37" s="38">
        <f t="shared" si="38"/>
        <v>0</v>
      </c>
      <c r="CV37" s="38">
        <f>Inputs!$B$19*(1-Inputs!$C$73*$H37)+Inputs!$B$21+Inputs!$B$73*$J37</f>
        <v>589333.33333333337</v>
      </c>
      <c r="CW37" s="38">
        <f t="shared" si="39"/>
        <v>-355378.24134592689</v>
      </c>
      <c r="CX37" s="38">
        <f t="shared" si="40"/>
        <v>1</v>
      </c>
      <c r="CY37" s="38">
        <f>MAX(0,MIN(Inputs!$C$36,DD36,CZ37+DA37+DB37+Inputs!$C$6-DC36))</f>
        <v>0</v>
      </c>
      <c r="CZ37" s="38">
        <f>Inputs!$C$27*(1+Inputs!$C$28)^($A37/12)*IF(Inputs!$B$73=1,$G37,1)*(1-Inputs!$C$73*$H37*(1-Inputs!$E$54*Inputs!$B$73))*(1+$I37)*IF(Inputs!$C$29=0,1,(MAX(DC36,0)/Inputs!$C$6)^Inputs!$C$29)</f>
        <v>10461.056221015424</v>
      </c>
      <c r="DA37" s="38">
        <f>Inputs!$C$32*DC36/Inputs!$C$6</f>
        <v>6488.115147820431</v>
      </c>
      <c r="DB37" s="38">
        <f>Inputs!$C$33</f>
        <v>2000</v>
      </c>
      <c r="DC37" s="38">
        <f t="shared" si="41"/>
        <v>750012.62392840057</v>
      </c>
      <c r="DD37" s="38">
        <f t="shared" si="42"/>
        <v>0</v>
      </c>
      <c r="DE37" s="38">
        <f>Inputs!$C$19*(1-Inputs!$C$73*$H37)+Inputs!$C$21+Inputs!$B$73*$J37</f>
        <v>491000</v>
      </c>
      <c r="DF37" s="38">
        <f t="shared" si="43"/>
        <v>259012.62392840057</v>
      </c>
      <c r="DG37" s="38">
        <f t="shared" si="44"/>
        <v>0</v>
      </c>
      <c r="DH37" s="38">
        <f>MAX(0,MIN(Inputs!$D$36,DM36,DI37+DJ37+DK37+Inputs!$D$6-DL36))</f>
        <v>13071.538020867039</v>
      </c>
      <c r="DI37" s="38">
        <f>Inputs!$D$27*(1+Inputs!$D$28)^($A37/12)*IF(Inputs!$B$73=1,$G37,1)*(1-Inputs!$C$73*$H37*(1-Inputs!$E$54*Inputs!$B$73))*(1+$I37)*IF(Inputs!$D$29=0,1,(MAX(DL36,0)/Inputs!$D$6)^Inputs!$D$29)</f>
        <v>7371.5380208670877</v>
      </c>
      <c r="DJ37" s="38">
        <f>Inputs!$D$32*DL36/Inputs!$D$6</f>
        <v>4200</v>
      </c>
      <c r="DK37" s="38">
        <f>Inputs!$D$33</f>
        <v>1500</v>
      </c>
      <c r="DL37" s="38">
        <f t="shared" si="45"/>
        <v>880000</v>
      </c>
      <c r="DM37" s="38">
        <f t="shared" si="46"/>
        <v>455098.57732906891</v>
      </c>
      <c r="DN37" s="38">
        <f>Inputs!$D$19*(1-Inputs!$C$73*$H37)+Inputs!$D$21+Inputs!$B$73*$J37</f>
        <v>402366.66666666669</v>
      </c>
      <c r="DO37" s="38">
        <f t="shared" si="47"/>
        <v>477633.33333333331</v>
      </c>
      <c r="DP37" s="38">
        <f t="shared" si="48"/>
        <v>0</v>
      </c>
    </row>
    <row r="38" spans="1:120" x14ac:dyDescent="0.35">
      <c r="A38" s="29">
        <v>33</v>
      </c>
      <c r="B38" s="34">
        <f>EDATE(Inputs!$B$67,$A38)</f>
        <v>47270</v>
      </c>
      <c r="C38" s="35">
        <f>IF(Inputs!$E$47&lt;=0,Inputs!$E$46,Inputs!$E$44+(Inputs!$E$46-Inputs!$E$44)*MIN($A38/Inputs!$E$47,1))</f>
        <v>0.7</v>
      </c>
      <c r="D38" s="35">
        <f>MIN(Inputs!$E$57,Inputs!$E$55*(1+Inputs!$E$56)^($A38/12))*Inputs!$E$58*(1+Inputs!$E$59)^($A38/12)/Inputs!$E$45</f>
        <v>1.0595010428424139</v>
      </c>
      <c r="E38" s="35">
        <f>MAX(Inputs!$E$44,MIN(C38,D38))</f>
        <v>0.7</v>
      </c>
      <c r="F38" s="35">
        <f>IF(Inputs!$E$50&lt;=0,Inputs!$E$49,Inputs!$E$48+(Inputs!$E$49-Inputs!$E$48)*MIN($A38/Inputs!$E$50,1))</f>
        <v>0.11166666666666666</v>
      </c>
      <c r="G38" s="36">
        <f>(Inputs!$E$41*(1-E38*Inputs!$E$51)+Inputs!$E$42*(1-F38*Inputs!$E$51))/(Inputs!$E$41*(1-Inputs!$E$44*Inputs!$E$51)+Inputs!$E$42*(1-Inputs!$E$48*Inputs!$E$51))</f>
        <v>0.84724047306176087</v>
      </c>
      <c r="H38" s="35">
        <f>IF(Inputs!$E$53&lt;=0,Inputs!$E$52,Inputs!$E$52*MIN($A38/Inputs!$E$53,1))</f>
        <v>6.8750000000000006E-2</v>
      </c>
      <c r="I38" s="35">
        <f>IF(Inputs!$E$64&lt;=0,Inputs!$E$63,Inputs!$E$62+(Inputs!$E$63-Inputs!$E$62)*MIN($A38/Inputs!$E$64,1))</f>
        <v>0.03</v>
      </c>
      <c r="J38" s="37">
        <f>(E38-Inputs!$E$44)*Inputs!$E$45/Inputs!$E$60*Inputs!$E$61</f>
        <v>5999.9999999999991</v>
      </c>
      <c r="K38" s="29">
        <f t="shared" si="0"/>
        <v>0</v>
      </c>
      <c r="L38" s="29"/>
      <c r="M38" s="38">
        <f>MAX(0,MIN(Inputs!$B$36,R37,N38+O38+P38+Inputs!$B$6-Q37))</f>
        <v>0</v>
      </c>
      <c r="N38" s="38">
        <f>Inputs!$B$27*(1+Inputs!$B$28)^($A38/12)*IF(Inputs!$B$70=1,$G38,1)*(1-Inputs!$C$70*$H38*(1-Inputs!$E$54*Inputs!$B$70))*(1+$I38)*IF(Inputs!$B$29=0,1,(MAX(Q37,0)/Inputs!$B$6)^Inputs!$B$29)</f>
        <v>17668.474587854333</v>
      </c>
      <c r="O38" s="38">
        <f>Inputs!$B$32*Q37/Inputs!$B$6</f>
        <v>2950.3649529108711</v>
      </c>
      <c r="P38" s="38">
        <f>Inputs!$B$33</f>
        <v>2500</v>
      </c>
      <c r="Q38" s="38">
        <f t="shared" si="1"/>
        <v>162644.87971658591</v>
      </c>
      <c r="R38" s="38">
        <f t="shared" si="2"/>
        <v>0</v>
      </c>
      <c r="S38" s="38">
        <f>Inputs!$B$19*(1-Inputs!$C$70*$H38)+Inputs!$B$21+Inputs!$B$70*$J38</f>
        <v>595000</v>
      </c>
      <c r="T38" s="38">
        <f t="shared" si="3"/>
        <v>-432355.12028341409</v>
      </c>
      <c r="U38" s="38">
        <f t="shared" si="4"/>
        <v>1</v>
      </c>
      <c r="V38" s="38">
        <f>MAX(0,MIN(Inputs!$C$36,AA37,W38+X38+Y38+Inputs!$C$6-Z37))</f>
        <v>0</v>
      </c>
      <c r="W38" s="38">
        <f>Inputs!$C$27*(1+Inputs!$C$28)^($A38/12)*IF(Inputs!$B$70=1,$G38,1)*(1-Inputs!$C$70*$H38*(1-Inputs!$E$54*Inputs!$B$70))*(1+$I38)*IF(Inputs!$C$29=0,1,(MAX(Z37,0)/Inputs!$C$6)^Inputs!$C$29)</f>
        <v>12488.96946015281</v>
      </c>
      <c r="X38" s="38">
        <f>Inputs!$C$32*Z37/Inputs!$C$6</f>
        <v>5976.1465154350199</v>
      </c>
      <c r="Y38" s="38">
        <f>Inputs!$C$33</f>
        <v>2000</v>
      </c>
      <c r="Z38" s="38">
        <f t="shared" si="5"/>
        <v>687818.91548337752</v>
      </c>
      <c r="AA38" s="38">
        <f t="shared" si="6"/>
        <v>0</v>
      </c>
      <c r="AB38" s="38">
        <f>Inputs!$C$19*(1-Inputs!$C$70*$H38)+Inputs!$C$21+Inputs!$B$70*$J38</f>
        <v>495000</v>
      </c>
      <c r="AC38" s="38">
        <f t="shared" si="7"/>
        <v>192818.91548337752</v>
      </c>
      <c r="AD38" s="38">
        <f t="shared" si="8"/>
        <v>0</v>
      </c>
      <c r="AE38" s="38">
        <f>MAX(0,MIN(Inputs!$D$36,AJ37,AF38+AG38+AH38+Inputs!$D$6-AI37))</f>
        <v>14644.933974597021</v>
      </c>
      <c r="AF38" s="38">
        <f>Inputs!$D$27*(1+Inputs!$D$28)^($A38/12)*IF(Inputs!$B$70=1,$G38,1)*(1-Inputs!$C$70*$H38*(1-Inputs!$E$54*Inputs!$B$70))*(1+$I38)*IF(Inputs!$D$29=0,1,(MAX(AI37,0)/Inputs!$D$6)^Inputs!$D$29)</f>
        <v>8944.9339745969664</v>
      </c>
      <c r="AG38" s="38">
        <f>Inputs!$D$32*AI37/Inputs!$D$6</f>
        <v>4200</v>
      </c>
      <c r="AH38" s="38">
        <f>Inputs!$D$33</f>
        <v>1500</v>
      </c>
      <c r="AI38" s="38">
        <f t="shared" si="9"/>
        <v>880000</v>
      </c>
      <c r="AJ38" s="38">
        <f t="shared" si="10"/>
        <v>408891.30117581226</v>
      </c>
      <c r="AK38" s="38">
        <f>Inputs!$D$19*(1-Inputs!$C$70*$H38)+Inputs!$D$21+Inputs!$B$70*$J38</f>
        <v>404800</v>
      </c>
      <c r="AL38" s="38">
        <f t="shared" si="11"/>
        <v>475200</v>
      </c>
      <c r="AM38" s="38">
        <f t="shared" si="12"/>
        <v>0</v>
      </c>
      <c r="AN38" s="38">
        <f>MAX(0,MIN(Inputs!$B$36,AS37,AO38+AP38+AQ38+Inputs!$B$6-AR37))</f>
        <v>0</v>
      </c>
      <c r="AO38" s="38">
        <f>Inputs!$B$27*(1+Inputs!$B$28)^($A38/12)*IF(Inputs!$B$71=1,$G38,1)*(1-Inputs!$C$71*$H38*(1-Inputs!$E$54*Inputs!$B$71))*(1+$I38)*IF(Inputs!$B$29=0,1,(MAX(AR37,0)/Inputs!$B$6)^Inputs!$B$29)</f>
        <v>14969.446768093405</v>
      </c>
      <c r="AP38" s="38">
        <f>Inputs!$B$32*AR37/Inputs!$B$6</f>
        <v>3605.2426583405368</v>
      </c>
      <c r="AQ38" s="38">
        <f>Inputs!$B$33</f>
        <v>2500</v>
      </c>
      <c r="AR38" s="38">
        <f t="shared" si="13"/>
        <v>205922.07054315539</v>
      </c>
      <c r="AS38" s="38">
        <f t="shared" si="14"/>
        <v>0</v>
      </c>
      <c r="AT38" s="38">
        <f>Inputs!$B$19*(1-Inputs!$C$71*$H38)+Inputs!$B$21+Inputs!$B$71*$J38</f>
        <v>601000</v>
      </c>
      <c r="AU38" s="38">
        <f t="shared" si="15"/>
        <v>-395077.92945684458</v>
      </c>
      <c r="AV38" s="38">
        <f t="shared" si="16"/>
        <v>1</v>
      </c>
      <c r="AW38" s="38">
        <f>MAX(0,MIN(Inputs!$C$36,BB37,AX38+AY38+AZ38+Inputs!$C$6-BA37))</f>
        <v>0</v>
      </c>
      <c r="AX38" s="38">
        <f>Inputs!$C$27*(1+Inputs!$C$28)^($A38/12)*IF(Inputs!$B$71=1,$G38,1)*(1-Inputs!$C$71*$H38*(1-Inputs!$E$54*Inputs!$B$71))*(1+$I38)*IF(Inputs!$C$29=0,1,(MAX(BA37,0)/Inputs!$C$6)^Inputs!$C$29)</f>
        <v>10711.84646852018</v>
      </c>
      <c r="AY38" s="38">
        <f>Inputs!$C$32*BA37/Inputs!$C$6</f>
        <v>6276.9027966730846</v>
      </c>
      <c r="AZ38" s="38">
        <f>Inputs!$C$33</f>
        <v>2000</v>
      </c>
      <c r="BA38" s="38">
        <f t="shared" si="17"/>
        <v>724940.47108124639</v>
      </c>
      <c r="BB38" s="38">
        <f t="shared" si="18"/>
        <v>0</v>
      </c>
      <c r="BC38" s="38">
        <f>Inputs!$C$19*(1-Inputs!$C$71*$H38)+Inputs!$C$21+Inputs!$B$71*$J38</f>
        <v>501000</v>
      </c>
      <c r="BD38" s="38">
        <f t="shared" si="19"/>
        <v>223940.47108124639</v>
      </c>
      <c r="BE38" s="38">
        <f t="shared" si="20"/>
        <v>0</v>
      </c>
      <c r="BF38" s="38">
        <f>MAX(0,MIN(Inputs!$D$36,BK37,BG38+BH38+BI38+Inputs!$D$6-BJ37))</f>
        <v>13278.510092143784</v>
      </c>
      <c r="BG38" s="38">
        <f>Inputs!$D$27*(1+Inputs!$D$28)^($A38/12)*IF(Inputs!$B$71=1,$G38,1)*(1-Inputs!$C$71*$H38*(1-Inputs!$E$54*Inputs!$B$71))*(1+$I38)*IF(Inputs!$D$29=0,1,(MAX(BJ37,0)/Inputs!$D$6)^Inputs!$D$29)</f>
        <v>7578.5100921437506</v>
      </c>
      <c r="BH38" s="38">
        <f>Inputs!$D$32*BJ37/Inputs!$D$6</f>
        <v>4200</v>
      </c>
      <c r="BI38" s="38">
        <f>Inputs!$D$33</f>
        <v>1500</v>
      </c>
      <c r="BJ38" s="38">
        <f t="shared" si="21"/>
        <v>880000</v>
      </c>
      <c r="BK38" s="38">
        <f t="shared" si="22"/>
        <v>437274.5339690129</v>
      </c>
      <c r="BL38" s="38">
        <f>Inputs!$D$19*(1-Inputs!$C$71*$H38)+Inputs!$D$21+Inputs!$B$71*$J38</f>
        <v>410800</v>
      </c>
      <c r="BM38" s="38">
        <f t="shared" si="23"/>
        <v>469200</v>
      </c>
      <c r="BN38" s="38">
        <f t="shared" si="24"/>
        <v>0</v>
      </c>
      <c r="BO38" s="38">
        <f>MAX(0,MIN(Inputs!$B$36,BT37,BP38+BQ38+BR38+Inputs!$B$6-BS37))</f>
        <v>0</v>
      </c>
      <c r="BP38" s="38">
        <f>Inputs!$B$27*(1+Inputs!$B$28)^($A38/12)*IF(Inputs!$B$72=1,$G38,1)*(1-Inputs!$C$72*$H38*(1-Inputs!$E$54*Inputs!$B$72))*(1+$I38)*IF(Inputs!$B$29=0,1,(MAX(BS37,0)/Inputs!$B$6)^Inputs!$B$29)</f>
        <v>16453.766959939348</v>
      </c>
      <c r="BQ38" s="38">
        <f>Inputs!$B$32*BS37/Inputs!$B$6</f>
        <v>3201.9781605825679</v>
      </c>
      <c r="BR38" s="38">
        <f>Inputs!$B$33</f>
        <v>2500</v>
      </c>
      <c r="BS38" s="38">
        <f t="shared" si="25"/>
        <v>179450.28721245454</v>
      </c>
      <c r="BT38" s="38">
        <f t="shared" si="26"/>
        <v>0</v>
      </c>
      <c r="BU38" s="38">
        <f>Inputs!$B$19*(1-Inputs!$C$72*$H38)+Inputs!$B$21+Inputs!$B$72*$J38</f>
        <v>582968.75</v>
      </c>
      <c r="BV38" s="38">
        <f t="shared" si="27"/>
        <v>-403518.46278754546</v>
      </c>
      <c r="BW38" s="38">
        <f t="shared" si="28"/>
        <v>1</v>
      </c>
      <c r="BX38" s="38">
        <f>MAX(0,MIN(Inputs!$C$36,CC37,BY38+BZ38+CA38+Inputs!$C$6-CB37))</f>
        <v>0</v>
      </c>
      <c r="BY38" s="38">
        <f>Inputs!$C$27*(1+Inputs!$C$28)^($A38/12)*IF(Inputs!$B$72=1,$G38,1)*(1-Inputs!$C$72*$H38*(1-Inputs!$E$54*Inputs!$B$72))*(1+$I38)*IF(Inputs!$C$29=0,1,(MAX(CB37,0)/Inputs!$C$6)^Inputs!$C$29)</f>
        <v>11685.405802934994</v>
      </c>
      <c r="BZ38" s="38">
        <f>Inputs!$C$32*CB37/Inputs!$C$6</f>
        <v>6090.1063189867309</v>
      </c>
      <c r="CA38" s="38">
        <f>Inputs!$C$33</f>
        <v>2000</v>
      </c>
      <c r="CB38" s="38">
        <f t="shared" si="29"/>
        <v>702014.8664246538</v>
      </c>
      <c r="CC38" s="38">
        <f t="shared" si="30"/>
        <v>0</v>
      </c>
      <c r="CD38" s="38">
        <f>Inputs!$C$19*(1-Inputs!$C$72*$H38)+Inputs!$C$21+Inputs!$B$72*$J38</f>
        <v>484687.5</v>
      </c>
      <c r="CE38" s="38">
        <f t="shared" si="31"/>
        <v>217327.3664246538</v>
      </c>
      <c r="CF38" s="38">
        <f t="shared" si="32"/>
        <v>0</v>
      </c>
      <c r="CG38" s="38">
        <f>MAX(0,MIN(Inputs!$D$36,CL37,CH38+CI38+CJ38+Inputs!$D$6-CK37))</f>
        <v>14029.969763843459</v>
      </c>
      <c r="CH38" s="38">
        <f>Inputs!$D$27*(1+Inputs!$D$28)^($A38/12)*IF(Inputs!$B$72=1,$G38,1)*(1-Inputs!$C$72*$H38*(1-Inputs!$E$54*Inputs!$B$72))*(1+$I38)*IF(Inputs!$D$29=0,1,(MAX(CK37,0)/Inputs!$D$6)^Inputs!$D$29)</f>
        <v>8329.9697638434245</v>
      </c>
      <c r="CI38" s="38">
        <f>Inputs!$D$32*CK37/Inputs!$D$6</f>
        <v>4200</v>
      </c>
      <c r="CJ38" s="38">
        <f>Inputs!$D$33</f>
        <v>1500</v>
      </c>
      <c r="CK38" s="38">
        <f t="shared" si="33"/>
        <v>880000</v>
      </c>
      <c r="CL38" s="38">
        <f t="shared" si="34"/>
        <v>419782.7289962708</v>
      </c>
      <c r="CM38" s="38">
        <f>Inputs!$D$19*(1-Inputs!$C$72*$H38)+Inputs!$D$21+Inputs!$B$72*$J38</f>
        <v>396103.125</v>
      </c>
      <c r="CN38" s="38">
        <f t="shared" si="35"/>
        <v>483896.875</v>
      </c>
      <c r="CO38" s="38">
        <f t="shared" si="36"/>
        <v>0</v>
      </c>
      <c r="CP38" s="38">
        <f>MAX(0,MIN(Inputs!$B$36,CU37,CQ38+CR38+CS38+Inputs!$B$6-CT37))</f>
        <v>0</v>
      </c>
      <c r="CQ38" s="38">
        <f>Inputs!$B$27*(1+Inputs!$B$28)^($A38/12)*IF(Inputs!$B$73=1,$G38,1)*(1-Inputs!$C$73*$H38*(1-Inputs!$E$54*Inputs!$B$73))*(1+$I38)*IF(Inputs!$B$29=0,1,(MAX(CT37,0)/Inputs!$B$6)^Inputs!$B$29)</f>
        <v>14454.872035440194</v>
      </c>
      <c r="CR38" s="38">
        <f>Inputs!$B$32*CT37/Inputs!$B$6</f>
        <v>3715.7573433293965</v>
      </c>
      <c r="CS38" s="38">
        <f>Inputs!$B$33</f>
        <v>2500</v>
      </c>
      <c r="CT38" s="38">
        <f t="shared" si="37"/>
        <v>213284.46260863685</v>
      </c>
      <c r="CU38" s="38">
        <f t="shared" si="38"/>
        <v>0</v>
      </c>
      <c r="CV38" s="38">
        <f>Inputs!$B$19*(1-Inputs!$C$73*$H38)+Inputs!$B$21+Inputs!$B$73*$J38</f>
        <v>588968.75</v>
      </c>
      <c r="CW38" s="38">
        <f t="shared" si="39"/>
        <v>-375684.28739136318</v>
      </c>
      <c r="CX38" s="38">
        <f t="shared" si="40"/>
        <v>1</v>
      </c>
      <c r="CY38" s="38">
        <f>MAX(0,MIN(Inputs!$C$36,DD37,CZ38+DA38+DB38+Inputs!$C$6-DC37))</f>
        <v>0</v>
      </c>
      <c r="CZ38" s="38">
        <f>Inputs!$C$27*(1+Inputs!$C$28)^($A38/12)*IF(Inputs!$B$73=1,$G38,1)*(1-Inputs!$C$73*$H38*(1-Inputs!$E$54*Inputs!$B$73))*(1+$I38)*IF(Inputs!$C$29=0,1,(MAX(DC37,0)/Inputs!$C$6)^Inputs!$C$29)</f>
        <v>10364.708191236596</v>
      </c>
      <c r="DA38" s="38">
        <f>Inputs!$C$32*DC37/Inputs!$C$6</f>
        <v>6328.2315143958795</v>
      </c>
      <c r="DB38" s="38">
        <f>Inputs!$C$33</f>
        <v>2000</v>
      </c>
      <c r="DC38" s="38">
        <f t="shared" si="41"/>
        <v>731319.68422276806</v>
      </c>
      <c r="DD38" s="38">
        <f t="shared" si="42"/>
        <v>0</v>
      </c>
      <c r="DE38" s="38">
        <f>Inputs!$C$19*(1-Inputs!$C$73*$H38)+Inputs!$C$21+Inputs!$B$73*$J38</f>
        <v>490687.5</v>
      </c>
      <c r="DF38" s="38">
        <f t="shared" si="43"/>
        <v>240632.18422276806</v>
      </c>
      <c r="DG38" s="38">
        <f t="shared" si="44"/>
        <v>0</v>
      </c>
      <c r="DH38" s="38">
        <f>MAX(0,MIN(Inputs!$D$36,DM37,DI38+DJ38+DK38+Inputs!$D$6-DL37))</f>
        <v>13017.998807726311</v>
      </c>
      <c r="DI38" s="38">
        <f>Inputs!$D$27*(1+Inputs!$D$28)^($A38/12)*IF(Inputs!$B$73=1,$G38,1)*(1-Inputs!$C$73*$H38*(1-Inputs!$E$54*Inputs!$B$73))*(1+$I38)*IF(Inputs!$D$29=0,1,(MAX(DL37,0)/Inputs!$D$6)^Inputs!$D$29)</f>
        <v>7317.9988077263088</v>
      </c>
      <c r="DJ38" s="38">
        <f>Inputs!$D$32*DL37/Inputs!$D$6</f>
        <v>4200</v>
      </c>
      <c r="DK38" s="38">
        <f>Inputs!$D$33</f>
        <v>1500</v>
      </c>
      <c r="DL38" s="38">
        <f t="shared" si="45"/>
        <v>880000</v>
      </c>
      <c r="DM38" s="38">
        <f t="shared" si="46"/>
        <v>442080.5785213426</v>
      </c>
      <c r="DN38" s="38">
        <f>Inputs!$D$19*(1-Inputs!$C$73*$H38)+Inputs!$D$21+Inputs!$B$73*$J38</f>
        <v>402103.125</v>
      </c>
      <c r="DO38" s="38">
        <f t="shared" si="47"/>
        <v>477896.875</v>
      </c>
      <c r="DP38" s="38">
        <f t="shared" si="48"/>
        <v>0</v>
      </c>
    </row>
    <row r="39" spans="1:120" x14ac:dyDescent="0.35">
      <c r="A39" s="29">
        <v>34</v>
      </c>
      <c r="B39" s="34">
        <f>EDATE(Inputs!$B$67,$A39)</f>
        <v>47300</v>
      </c>
      <c r="C39" s="35">
        <f>IF(Inputs!$E$47&lt;=0,Inputs!$E$46,Inputs!$E$44+(Inputs!$E$46-Inputs!$E$44)*MIN($A39/Inputs!$E$47,1))</f>
        <v>0.7</v>
      </c>
      <c r="D39" s="35">
        <f>MIN(Inputs!$E$57,Inputs!$E$55*(1+Inputs!$E$56)^($A39/12))*Inputs!$E$58*(1+Inputs!$E$59)^($A39/12)/Inputs!$E$45</f>
        <v>1.089629179488923</v>
      </c>
      <c r="E39" s="35">
        <f>MAX(Inputs!$E$44,MIN(C39,D39))</f>
        <v>0.7</v>
      </c>
      <c r="F39" s="35">
        <f>IF(Inputs!$E$50&lt;=0,Inputs!$E$49,Inputs!$E$48+(Inputs!$E$49-Inputs!$E$48)*MIN($A39/Inputs!$E$50,1))</f>
        <v>0.11444444444444443</v>
      </c>
      <c r="G39" s="36">
        <f>(Inputs!$E$41*(1-E39*Inputs!$E$51)+Inputs!$E$42*(1-F39*Inputs!$E$51))/(Inputs!$E$41*(1-Inputs!$E$44*Inputs!$E$51)+Inputs!$E$42*(1-Inputs!$E$48*Inputs!$E$51))</f>
        <v>0.84559789750328518</v>
      </c>
      <c r="H39" s="35">
        <f>IF(Inputs!$E$53&lt;=0,Inputs!$E$52,Inputs!$E$52*MIN($A39/Inputs!$E$53,1))</f>
        <v>7.0833333333333345E-2</v>
      </c>
      <c r="I39" s="35">
        <f>IF(Inputs!$E$64&lt;=0,Inputs!$E$63,Inputs!$E$62+(Inputs!$E$63-Inputs!$E$62)*MIN($A39/Inputs!$E$64,1))</f>
        <v>0.03</v>
      </c>
      <c r="J39" s="37">
        <f>(E39-Inputs!$E$44)*Inputs!$E$45/Inputs!$E$60*Inputs!$E$61</f>
        <v>5999.9999999999991</v>
      </c>
      <c r="K39" s="29">
        <f t="shared" si="0"/>
        <v>0</v>
      </c>
      <c r="L39" s="29"/>
      <c r="M39" s="38">
        <f>MAX(0,MIN(Inputs!$B$36,R38,N39+O39+P39+Inputs!$B$6-Q38))</f>
        <v>0</v>
      </c>
      <c r="N39" s="38">
        <f>Inputs!$B$27*(1+Inputs!$B$28)^($A39/12)*IF(Inputs!$B$70=1,$G39,1)*(1-Inputs!$C$70*$H39*(1-Inputs!$E$54*Inputs!$B$70))*(1+$I39)*IF(Inputs!$B$29=0,1,(MAX(Q38,0)/Inputs!$B$6)^Inputs!$B$29)</f>
        <v>17740.458140393497</v>
      </c>
      <c r="O39" s="38">
        <f>Inputs!$B$32*Q38/Inputs!$B$6</f>
        <v>2583.1833837340118</v>
      </c>
      <c r="P39" s="38">
        <f>Inputs!$B$33</f>
        <v>2500</v>
      </c>
      <c r="Q39" s="38">
        <f t="shared" si="1"/>
        <v>139821.2381924584</v>
      </c>
      <c r="R39" s="38">
        <f t="shared" si="2"/>
        <v>0</v>
      </c>
      <c r="S39" s="38">
        <f>Inputs!$B$19*(1-Inputs!$C$70*$H39)+Inputs!$B$21+Inputs!$B$70*$J39</f>
        <v>595000</v>
      </c>
      <c r="T39" s="38">
        <f t="shared" si="3"/>
        <v>-455178.7618075416</v>
      </c>
      <c r="U39" s="38">
        <f t="shared" si="4"/>
        <v>1</v>
      </c>
      <c r="V39" s="38">
        <f>MAX(0,MIN(Inputs!$C$36,AA38,W39+X39+Y39+Inputs!$C$6-Z38))</f>
        <v>0</v>
      </c>
      <c r="W39" s="38">
        <f>Inputs!$C$27*(1+Inputs!$C$28)^($A39/12)*IF(Inputs!$B$70=1,$G39,1)*(1-Inputs!$C$70*$H39*(1-Inputs!$E$54*Inputs!$B$70))*(1+$I39)*IF(Inputs!$C$29=0,1,(MAX(Z38,0)/Inputs!$C$6)^Inputs!$C$29)</f>
        <v>12397.761280240587</v>
      </c>
      <c r="X39" s="38">
        <f>Inputs!$C$32*Z38/Inputs!$C$6</f>
        <v>5803.4720993909968</v>
      </c>
      <c r="Y39" s="38">
        <f>Inputs!$C$33</f>
        <v>2000</v>
      </c>
      <c r="Z39" s="38">
        <f t="shared" si="5"/>
        <v>667617.68210374587</v>
      </c>
      <c r="AA39" s="38">
        <f t="shared" si="6"/>
        <v>0</v>
      </c>
      <c r="AB39" s="38">
        <f>Inputs!$C$19*(1-Inputs!$C$70*$H39)+Inputs!$C$21+Inputs!$B$70*$J39</f>
        <v>495000</v>
      </c>
      <c r="AC39" s="38">
        <f t="shared" si="7"/>
        <v>172617.68210374587</v>
      </c>
      <c r="AD39" s="38">
        <f t="shared" si="8"/>
        <v>0</v>
      </c>
      <c r="AE39" s="38">
        <f>MAX(0,MIN(Inputs!$D$36,AJ38,AF39+AG39+AH39+Inputs!$D$6-AI38))</f>
        <v>14606.780979751027</v>
      </c>
      <c r="AF39" s="38">
        <f>Inputs!$D$27*(1+Inputs!$D$28)^($A39/12)*IF(Inputs!$B$70=1,$G39,1)*(1-Inputs!$C$70*$H39*(1-Inputs!$E$54*Inputs!$B$70))*(1+$I39)*IF(Inputs!$D$29=0,1,(MAX(AI38,0)/Inputs!$D$6)^Inputs!$D$29)</f>
        <v>8906.7809797510763</v>
      </c>
      <c r="AG39" s="38">
        <f>Inputs!$D$32*AI38/Inputs!$D$6</f>
        <v>4200</v>
      </c>
      <c r="AH39" s="38">
        <f>Inputs!$D$33</f>
        <v>1500</v>
      </c>
      <c r="AI39" s="38">
        <f t="shared" si="9"/>
        <v>880000</v>
      </c>
      <c r="AJ39" s="38">
        <f t="shared" si="10"/>
        <v>394284.52019606123</v>
      </c>
      <c r="AK39" s="38">
        <f>Inputs!$D$19*(1-Inputs!$C$70*$H39)+Inputs!$D$21+Inputs!$B$70*$J39</f>
        <v>404800</v>
      </c>
      <c r="AL39" s="38">
        <f t="shared" si="11"/>
        <v>475200</v>
      </c>
      <c r="AM39" s="38">
        <f t="shared" si="12"/>
        <v>0</v>
      </c>
      <c r="AN39" s="38">
        <f>MAX(0,MIN(Inputs!$B$36,AS38,AO39+AP39+AQ39+Inputs!$B$6-AR38))</f>
        <v>0</v>
      </c>
      <c r="AO39" s="38">
        <f>Inputs!$B$27*(1+Inputs!$B$28)^($A39/12)*IF(Inputs!$B$71=1,$G39,1)*(1-Inputs!$C$71*$H39*(1-Inputs!$E$54*Inputs!$B$71))*(1+$I39)*IF(Inputs!$B$29=0,1,(MAX(AR38,0)/Inputs!$B$6)^Inputs!$B$29)</f>
        <v>15001.29410426178</v>
      </c>
      <c r="AP39" s="38">
        <f>Inputs!$B$32*AR38/Inputs!$B$6</f>
        <v>3270.527002744233</v>
      </c>
      <c r="AQ39" s="38">
        <f>Inputs!$B$33</f>
        <v>2500</v>
      </c>
      <c r="AR39" s="38">
        <f t="shared" si="13"/>
        <v>185150.24943614937</v>
      </c>
      <c r="AS39" s="38">
        <f t="shared" si="14"/>
        <v>0</v>
      </c>
      <c r="AT39" s="38">
        <f>Inputs!$B$19*(1-Inputs!$C$71*$H39)+Inputs!$B$21+Inputs!$B$71*$J39</f>
        <v>601000</v>
      </c>
      <c r="AU39" s="38">
        <f t="shared" si="15"/>
        <v>-415849.75056385063</v>
      </c>
      <c r="AV39" s="38">
        <f t="shared" si="16"/>
        <v>1</v>
      </c>
      <c r="AW39" s="38">
        <f>MAX(0,MIN(Inputs!$C$36,BB38,AX39+AY39+AZ39+Inputs!$C$6-BA38))</f>
        <v>0</v>
      </c>
      <c r="AX39" s="38">
        <f>Inputs!$C$27*(1+Inputs!$C$28)^($A39/12)*IF(Inputs!$B$71=1,$G39,1)*(1-Inputs!$C$71*$H39*(1-Inputs!$E$54*Inputs!$B$71))*(1+$I39)*IF(Inputs!$C$29=0,1,(MAX(BA38,0)/Inputs!$C$6)^Inputs!$C$29)</f>
        <v>10622.193826337741</v>
      </c>
      <c r="AY39" s="38">
        <f>Inputs!$C$32*BA38/Inputs!$C$6</f>
        <v>6116.6852247480156</v>
      </c>
      <c r="AZ39" s="38">
        <f>Inputs!$C$33</f>
        <v>2000</v>
      </c>
      <c r="BA39" s="38">
        <f t="shared" si="17"/>
        <v>706201.59203016071</v>
      </c>
      <c r="BB39" s="38">
        <f t="shared" si="18"/>
        <v>0</v>
      </c>
      <c r="BC39" s="38">
        <f>Inputs!$C$19*(1-Inputs!$C$71*$H39)+Inputs!$C$21+Inputs!$B$71*$J39</f>
        <v>501000</v>
      </c>
      <c r="BD39" s="38">
        <f t="shared" si="19"/>
        <v>205201.59203016071</v>
      </c>
      <c r="BE39" s="38">
        <f t="shared" si="20"/>
        <v>0</v>
      </c>
      <c r="BF39" s="38">
        <f>MAX(0,MIN(Inputs!$D$36,BK38,BG39+BH39+BI39+Inputs!$D$6-BJ38))</f>
        <v>13231.555269999779</v>
      </c>
      <c r="BG39" s="38">
        <f>Inputs!$D$27*(1+Inputs!$D$28)^($A39/12)*IF(Inputs!$B$71=1,$G39,1)*(1-Inputs!$C$71*$H39*(1-Inputs!$E$54*Inputs!$B$71))*(1+$I39)*IF(Inputs!$D$29=0,1,(MAX(BJ38,0)/Inputs!$D$6)^Inputs!$D$29)</f>
        <v>7531.5552699997615</v>
      </c>
      <c r="BH39" s="38">
        <f>Inputs!$D$32*BJ38/Inputs!$D$6</f>
        <v>4200</v>
      </c>
      <c r="BI39" s="38">
        <f>Inputs!$D$33</f>
        <v>1500</v>
      </c>
      <c r="BJ39" s="38">
        <f t="shared" si="21"/>
        <v>880000</v>
      </c>
      <c r="BK39" s="38">
        <f t="shared" si="22"/>
        <v>424042.97869901313</v>
      </c>
      <c r="BL39" s="38">
        <f>Inputs!$D$19*(1-Inputs!$C$71*$H39)+Inputs!$D$21+Inputs!$B$71*$J39</f>
        <v>410800</v>
      </c>
      <c r="BM39" s="38">
        <f t="shared" si="23"/>
        <v>469200</v>
      </c>
      <c r="BN39" s="38">
        <f t="shared" si="24"/>
        <v>0</v>
      </c>
      <c r="BO39" s="38">
        <f>MAX(0,MIN(Inputs!$B$36,BT38,BP39+BQ39+BR39+Inputs!$B$6-BS38))</f>
        <v>0</v>
      </c>
      <c r="BP39" s="38">
        <f>Inputs!$B$27*(1+Inputs!$B$28)^($A39/12)*IF(Inputs!$B$72=1,$G39,1)*(1-Inputs!$C$72*$H39*(1-Inputs!$E$54*Inputs!$B$72))*(1+$I39)*IF(Inputs!$B$29=0,1,(MAX(BS38,0)/Inputs!$B$6)^Inputs!$B$29)</f>
        <v>16483.842355448956</v>
      </c>
      <c r="BQ39" s="38">
        <f>Inputs!$B$32*BS38/Inputs!$B$6</f>
        <v>2850.0927969036898</v>
      </c>
      <c r="BR39" s="38">
        <f>Inputs!$B$33</f>
        <v>2500</v>
      </c>
      <c r="BS39" s="38">
        <f t="shared" si="25"/>
        <v>157616.3520601019</v>
      </c>
      <c r="BT39" s="38">
        <f t="shared" si="26"/>
        <v>0</v>
      </c>
      <c r="BU39" s="38">
        <f>Inputs!$B$19*(1-Inputs!$C$72*$H39)+Inputs!$B$21+Inputs!$B$72*$J39</f>
        <v>582604.16666666674</v>
      </c>
      <c r="BV39" s="38">
        <f t="shared" si="27"/>
        <v>-424987.81460656482</v>
      </c>
      <c r="BW39" s="38">
        <f t="shared" si="28"/>
        <v>1</v>
      </c>
      <c r="BX39" s="38">
        <f>MAX(0,MIN(Inputs!$C$36,CC38,BY39+BZ39+CA39+Inputs!$C$6-CB38))</f>
        <v>0</v>
      </c>
      <c r="BY39" s="38">
        <f>Inputs!$C$27*(1+Inputs!$C$28)^($A39/12)*IF(Inputs!$B$72=1,$G39,1)*(1-Inputs!$C$72*$H39*(1-Inputs!$E$54*Inputs!$B$72))*(1+$I39)*IF(Inputs!$C$29=0,1,(MAX(CB38,0)/Inputs!$C$6)^Inputs!$C$29)</f>
        <v>11578.570373598532</v>
      </c>
      <c r="BZ39" s="38">
        <f>Inputs!$C$32*CB38/Inputs!$C$6</f>
        <v>5923.2504354580151</v>
      </c>
      <c r="CA39" s="38">
        <f>Inputs!$C$33</f>
        <v>2000</v>
      </c>
      <c r="CB39" s="38">
        <f t="shared" si="29"/>
        <v>682513.04561559728</v>
      </c>
      <c r="CC39" s="38">
        <f t="shared" si="30"/>
        <v>0</v>
      </c>
      <c r="CD39" s="38">
        <f>Inputs!$C$19*(1-Inputs!$C$72*$H39)+Inputs!$C$21+Inputs!$B$72*$J39</f>
        <v>484375</v>
      </c>
      <c r="CE39" s="38">
        <f t="shared" si="31"/>
        <v>198138.04561559728</v>
      </c>
      <c r="CF39" s="38">
        <f t="shared" si="32"/>
        <v>0</v>
      </c>
      <c r="CG39" s="38">
        <f>MAX(0,MIN(Inputs!$D$36,CL38,CH39+CI39+CJ39+Inputs!$D$6-CK38))</f>
        <v>13975.883993685362</v>
      </c>
      <c r="CH39" s="38">
        <f>Inputs!$D$27*(1+Inputs!$D$28)^($A39/12)*IF(Inputs!$B$72=1,$G39,1)*(1-Inputs!$C$72*$H39*(1-Inputs!$E$54*Inputs!$B$72))*(1+$I39)*IF(Inputs!$D$29=0,1,(MAX(CK38,0)/Inputs!$D$6)^Inputs!$D$29)</f>
        <v>8275.8839936853765</v>
      </c>
      <c r="CI39" s="38">
        <f>Inputs!$D$32*CK38/Inputs!$D$6</f>
        <v>4200</v>
      </c>
      <c r="CJ39" s="38">
        <f>Inputs!$D$33</f>
        <v>1500</v>
      </c>
      <c r="CK39" s="38">
        <f t="shared" si="33"/>
        <v>880000</v>
      </c>
      <c r="CL39" s="38">
        <f t="shared" si="34"/>
        <v>405806.84500258544</v>
      </c>
      <c r="CM39" s="38">
        <f>Inputs!$D$19*(1-Inputs!$C$72*$H39)+Inputs!$D$21+Inputs!$B$72*$J39</f>
        <v>395839.58333333337</v>
      </c>
      <c r="CN39" s="38">
        <f t="shared" si="35"/>
        <v>484160.41666666663</v>
      </c>
      <c r="CO39" s="38">
        <f t="shared" si="36"/>
        <v>0</v>
      </c>
      <c r="CP39" s="38">
        <f>MAX(0,MIN(Inputs!$B$36,CU38,CQ39+CR39+CS39+Inputs!$B$6-CT38))</f>
        <v>0</v>
      </c>
      <c r="CQ39" s="38">
        <f>Inputs!$B$27*(1+Inputs!$B$28)^($A39/12)*IF(Inputs!$B$73=1,$G39,1)*(1-Inputs!$C$73*$H39*(1-Inputs!$E$54*Inputs!$B$73))*(1+$I39)*IF(Inputs!$B$29=0,1,(MAX(CT38,0)/Inputs!$B$6)^Inputs!$B$29)</f>
        <v>14469.99827140251</v>
      </c>
      <c r="CR39" s="38">
        <f>Inputs!$B$32*CT38/Inputs!$B$6</f>
        <v>3387.4591120195264</v>
      </c>
      <c r="CS39" s="38">
        <f>Inputs!$B$33</f>
        <v>2500</v>
      </c>
      <c r="CT39" s="38">
        <f t="shared" si="37"/>
        <v>192927.00522521479</v>
      </c>
      <c r="CU39" s="38">
        <f t="shared" si="38"/>
        <v>0</v>
      </c>
      <c r="CV39" s="38">
        <f>Inputs!$B$19*(1-Inputs!$C$73*$H39)+Inputs!$B$21+Inputs!$B$73*$J39</f>
        <v>588604.16666666674</v>
      </c>
      <c r="CW39" s="38">
        <f t="shared" si="39"/>
        <v>-395677.16144145199</v>
      </c>
      <c r="CX39" s="38">
        <f t="shared" si="40"/>
        <v>1</v>
      </c>
      <c r="CY39" s="38">
        <f>MAX(0,MIN(Inputs!$C$36,DD38,CZ39+DA39+DB39+Inputs!$C$6-DC38))</f>
        <v>0</v>
      </c>
      <c r="CZ39" s="38">
        <f>Inputs!$C$27*(1+Inputs!$C$28)^($A39/12)*IF(Inputs!$B$73=1,$G39,1)*(1-Inputs!$C$73*$H39*(1-Inputs!$E$54*Inputs!$B$73))*(1+$I39)*IF(Inputs!$C$29=0,1,(MAX(DC38,0)/Inputs!$C$6)^Inputs!$C$29)</f>
        <v>10268.457379251455</v>
      </c>
      <c r="DA39" s="38">
        <f>Inputs!$C$32*DC38/Inputs!$C$6</f>
        <v>6170.5098356296048</v>
      </c>
      <c r="DB39" s="38">
        <f>Inputs!$C$33</f>
        <v>2000</v>
      </c>
      <c r="DC39" s="38">
        <f t="shared" si="41"/>
        <v>712880.71700788697</v>
      </c>
      <c r="DD39" s="38">
        <f t="shared" si="42"/>
        <v>0</v>
      </c>
      <c r="DE39" s="38">
        <f>Inputs!$C$19*(1-Inputs!$C$73*$H39)+Inputs!$C$21+Inputs!$B$73*$J39</f>
        <v>490375</v>
      </c>
      <c r="DF39" s="38">
        <f t="shared" si="43"/>
        <v>222505.71700788697</v>
      </c>
      <c r="DG39" s="38">
        <f t="shared" si="44"/>
        <v>0</v>
      </c>
      <c r="DH39" s="38">
        <f>MAX(0,MIN(Inputs!$D$36,DM38,DI39+DJ39+DK39+Inputs!$D$6-DL38))</f>
        <v>12964.812687520636</v>
      </c>
      <c r="DI39" s="38">
        <f>Inputs!$D$27*(1+Inputs!$D$28)^($A39/12)*IF(Inputs!$B$73=1,$G39,1)*(1-Inputs!$C$73*$H39*(1-Inputs!$E$54*Inputs!$B$73))*(1+$I39)*IF(Inputs!$D$29=0,1,(MAX(DL38,0)/Inputs!$D$6)^Inputs!$D$29)</f>
        <v>7264.8126875206035</v>
      </c>
      <c r="DJ39" s="38">
        <f>Inputs!$D$32*DL38/Inputs!$D$6</f>
        <v>4200</v>
      </c>
      <c r="DK39" s="38">
        <f>Inputs!$D$33</f>
        <v>1500</v>
      </c>
      <c r="DL39" s="38">
        <f t="shared" si="45"/>
        <v>880000</v>
      </c>
      <c r="DM39" s="38">
        <f t="shared" si="46"/>
        <v>429115.76583382196</v>
      </c>
      <c r="DN39" s="38">
        <f>Inputs!$D$19*(1-Inputs!$C$73*$H39)+Inputs!$D$21+Inputs!$B$73*$J39</f>
        <v>401839.58333333337</v>
      </c>
      <c r="DO39" s="38">
        <f t="shared" si="47"/>
        <v>478160.41666666663</v>
      </c>
      <c r="DP39" s="38">
        <f t="shared" si="48"/>
        <v>0</v>
      </c>
    </row>
    <row r="40" spans="1:120" x14ac:dyDescent="0.35">
      <c r="A40" s="29">
        <v>35</v>
      </c>
      <c r="B40" s="34">
        <f>EDATE(Inputs!$B$67,$A40)</f>
        <v>47331</v>
      </c>
      <c r="C40" s="35">
        <f>IF(Inputs!$E$47&lt;=0,Inputs!$E$46,Inputs!$E$44+(Inputs!$E$46-Inputs!$E$44)*MIN($A40/Inputs!$E$47,1))</f>
        <v>0.7</v>
      </c>
      <c r="D40" s="35">
        <f>MIN(Inputs!$E$57,Inputs!$E$55*(1+Inputs!$E$56)^($A40/12))*Inputs!$E$58*(1+Inputs!$E$59)^($A40/12)/Inputs!$E$45</f>
        <v>1.1206140445208572</v>
      </c>
      <c r="E40" s="35">
        <f>MAX(Inputs!$E$44,MIN(C40,D40))</f>
        <v>0.7</v>
      </c>
      <c r="F40" s="35">
        <f>IF(Inputs!$E$50&lt;=0,Inputs!$E$49,Inputs!$E$48+(Inputs!$E$49-Inputs!$E$48)*MIN($A40/Inputs!$E$50,1))</f>
        <v>0.11722222222222221</v>
      </c>
      <c r="G40" s="36">
        <f>(Inputs!$E$41*(1-E40*Inputs!$E$51)+Inputs!$E$42*(1-F40*Inputs!$E$51))/(Inputs!$E$41*(1-Inputs!$E$44*Inputs!$E$51)+Inputs!$E$42*(1-Inputs!$E$48*Inputs!$E$51))</f>
        <v>0.84395532194480949</v>
      </c>
      <c r="H40" s="35">
        <f>IF(Inputs!$E$53&lt;=0,Inputs!$E$52,Inputs!$E$52*MIN($A40/Inputs!$E$53,1))</f>
        <v>7.2916666666666671E-2</v>
      </c>
      <c r="I40" s="35">
        <f>IF(Inputs!$E$64&lt;=0,Inputs!$E$63,Inputs!$E$62+(Inputs!$E$63-Inputs!$E$62)*MIN($A40/Inputs!$E$64,1))</f>
        <v>0.03</v>
      </c>
      <c r="J40" s="37">
        <f>(E40-Inputs!$E$44)*Inputs!$E$45/Inputs!$E$60*Inputs!$E$61</f>
        <v>5999.9999999999991</v>
      </c>
      <c r="K40" s="29">
        <f t="shared" si="0"/>
        <v>0</v>
      </c>
      <c r="L40" s="29"/>
      <c r="M40" s="38">
        <f>MAX(0,MIN(Inputs!$B$36,R39,N40+O40+P40+Inputs!$B$6-Q39))</f>
        <v>0</v>
      </c>
      <c r="N40" s="38">
        <f>Inputs!$B$27*(1+Inputs!$B$28)^($A40/12)*IF(Inputs!$B$70=1,$G40,1)*(1-Inputs!$C$70*$H40*(1-Inputs!$E$54*Inputs!$B$70))*(1+$I40)*IF(Inputs!$B$29=0,1,(MAX(Q39,0)/Inputs!$B$6)^Inputs!$B$29)</f>
        <v>17812.73496283609</v>
      </c>
      <c r="O40" s="38">
        <f>Inputs!$B$32*Q39/Inputs!$B$6</f>
        <v>2220.6902536449275</v>
      </c>
      <c r="P40" s="38">
        <f>Inputs!$B$33</f>
        <v>2500</v>
      </c>
      <c r="Q40" s="38">
        <f t="shared" si="1"/>
        <v>117287.81297597739</v>
      </c>
      <c r="R40" s="38">
        <f t="shared" si="2"/>
        <v>0</v>
      </c>
      <c r="S40" s="38">
        <f>Inputs!$B$19*(1-Inputs!$C$70*$H40)+Inputs!$B$21+Inputs!$B$70*$J40</f>
        <v>595000</v>
      </c>
      <c r="T40" s="38">
        <f t="shared" si="3"/>
        <v>-477712.18702402263</v>
      </c>
      <c r="U40" s="38">
        <f t="shared" si="4"/>
        <v>1</v>
      </c>
      <c r="V40" s="38">
        <f>MAX(0,MIN(Inputs!$C$36,AA39,W40+X40+Y40+Inputs!$C$6-Z39))</f>
        <v>0</v>
      </c>
      <c r="W40" s="38">
        <f>Inputs!$C$27*(1+Inputs!$C$28)^($A40/12)*IF(Inputs!$B$70=1,$G40,1)*(1-Inputs!$C$70*$H40*(1-Inputs!$E$54*Inputs!$B$70))*(1+$I40)*IF(Inputs!$C$29=0,1,(MAX(Z39,0)/Inputs!$C$6)^Inputs!$C$29)</f>
        <v>12305.710636334385</v>
      </c>
      <c r="X40" s="38">
        <f>Inputs!$C$32*Z39/Inputs!$C$6</f>
        <v>5633.0241927503548</v>
      </c>
      <c r="Y40" s="38">
        <f>Inputs!$C$33</f>
        <v>2000</v>
      </c>
      <c r="Z40" s="38">
        <f t="shared" si="5"/>
        <v>647678.94727466116</v>
      </c>
      <c r="AA40" s="38">
        <f t="shared" si="6"/>
        <v>0</v>
      </c>
      <c r="AB40" s="38">
        <f>Inputs!$C$19*(1-Inputs!$C$70*$H40)+Inputs!$C$21+Inputs!$B$70*$J40</f>
        <v>495000</v>
      </c>
      <c r="AC40" s="38">
        <f t="shared" si="7"/>
        <v>152678.94727466116</v>
      </c>
      <c r="AD40" s="38">
        <f t="shared" si="8"/>
        <v>0</v>
      </c>
      <c r="AE40" s="38">
        <f>MAX(0,MIN(Inputs!$D$36,AJ39,AF40+AG40+AH40+Inputs!$D$6-AI39))</f>
        <v>14568.790719590499</v>
      </c>
      <c r="AF40" s="38">
        <f>Inputs!$D$27*(1+Inputs!$D$28)^($A40/12)*IF(Inputs!$B$70=1,$G40,1)*(1-Inputs!$C$70*$H40*(1-Inputs!$E$54*Inputs!$B$70))*(1+$I40)*IF(Inputs!$D$29=0,1,(MAX(AI39,0)/Inputs!$D$6)^Inputs!$D$29)</f>
        <v>8868.7907195905227</v>
      </c>
      <c r="AG40" s="38">
        <f>Inputs!$D$32*AI39/Inputs!$D$6</f>
        <v>4200</v>
      </c>
      <c r="AH40" s="38">
        <f>Inputs!$D$33</f>
        <v>1500</v>
      </c>
      <c r="AI40" s="38">
        <f t="shared" si="9"/>
        <v>880000</v>
      </c>
      <c r="AJ40" s="38">
        <f t="shared" si="10"/>
        <v>379715.72947647073</v>
      </c>
      <c r="AK40" s="38">
        <f>Inputs!$D$19*(1-Inputs!$C$70*$H40)+Inputs!$D$21+Inputs!$B$70*$J40</f>
        <v>404800</v>
      </c>
      <c r="AL40" s="38">
        <f t="shared" si="11"/>
        <v>475200</v>
      </c>
      <c r="AM40" s="38">
        <f t="shared" si="12"/>
        <v>0</v>
      </c>
      <c r="AN40" s="38">
        <f>MAX(0,MIN(Inputs!$B$36,AS39,AO40+AP40+AQ40+Inputs!$B$6-AR39))</f>
        <v>0</v>
      </c>
      <c r="AO40" s="38">
        <f>Inputs!$B$27*(1+Inputs!$B$28)^($A40/12)*IF(Inputs!$B$71=1,$G40,1)*(1-Inputs!$C$71*$H40*(1-Inputs!$E$54*Inputs!$B$71))*(1+$I40)*IF(Inputs!$B$29=0,1,(MAX(AR39,0)/Inputs!$B$6)^Inputs!$B$29)</f>
        <v>15033.152470277895</v>
      </c>
      <c r="AP40" s="38">
        <f>Inputs!$B$32*AR39/Inputs!$B$6</f>
        <v>2940.6216086917843</v>
      </c>
      <c r="AQ40" s="38">
        <f>Inputs!$B$33</f>
        <v>2500</v>
      </c>
      <c r="AR40" s="38">
        <f t="shared" si="13"/>
        <v>164676.4753571797</v>
      </c>
      <c r="AS40" s="38">
        <f t="shared" si="14"/>
        <v>0</v>
      </c>
      <c r="AT40" s="38">
        <f>Inputs!$B$19*(1-Inputs!$C$71*$H40)+Inputs!$B$21+Inputs!$B$71*$J40</f>
        <v>601000</v>
      </c>
      <c r="AU40" s="38">
        <f t="shared" si="15"/>
        <v>-436323.5246428203</v>
      </c>
      <c r="AV40" s="38">
        <f t="shared" si="16"/>
        <v>1</v>
      </c>
      <c r="AW40" s="38">
        <f>MAX(0,MIN(Inputs!$C$36,BB39,AX40+AY40+AZ40+Inputs!$C$6-BA39))</f>
        <v>0</v>
      </c>
      <c r="AX40" s="38">
        <f>Inputs!$C$27*(1+Inputs!$C$28)^($A40/12)*IF(Inputs!$B$71=1,$G40,1)*(1-Inputs!$C$71*$H40*(1-Inputs!$E$54*Inputs!$B$71))*(1+$I40)*IF(Inputs!$C$29=0,1,(MAX(BA39,0)/Inputs!$C$6)^Inputs!$C$29)</f>
        <v>10532.376373963005</v>
      </c>
      <c r="AY40" s="38">
        <f>Inputs!$C$32*BA39/Inputs!$C$6</f>
        <v>5958.5759327544793</v>
      </c>
      <c r="AZ40" s="38">
        <f>Inputs!$C$33</f>
        <v>2000</v>
      </c>
      <c r="BA40" s="38">
        <f t="shared" si="17"/>
        <v>687710.63972344331</v>
      </c>
      <c r="BB40" s="38">
        <f t="shared" si="18"/>
        <v>0</v>
      </c>
      <c r="BC40" s="38">
        <f>Inputs!$C$19*(1-Inputs!$C$71*$H40)+Inputs!$C$21+Inputs!$B$71*$J40</f>
        <v>501000</v>
      </c>
      <c r="BD40" s="38">
        <f t="shared" si="19"/>
        <v>186710.63972344331</v>
      </c>
      <c r="BE40" s="38">
        <f t="shared" si="20"/>
        <v>0</v>
      </c>
      <c r="BF40" s="38">
        <f>MAX(0,MIN(Inputs!$D$36,BK39,BG40+BH40+BI40+Inputs!$D$6-BJ39))</f>
        <v>13184.863127013203</v>
      </c>
      <c r="BG40" s="38">
        <f>Inputs!$D$27*(1+Inputs!$D$28)^($A40/12)*IF(Inputs!$B$71=1,$G40,1)*(1-Inputs!$C$71*$H40*(1-Inputs!$E$54*Inputs!$B$71))*(1+$I40)*IF(Inputs!$D$29=0,1,(MAX(BJ39,0)/Inputs!$D$6)^Inputs!$D$29)</f>
        <v>7484.8631270131591</v>
      </c>
      <c r="BH40" s="38">
        <f>Inputs!$D$32*BJ39/Inputs!$D$6</f>
        <v>4200</v>
      </c>
      <c r="BI40" s="38">
        <f>Inputs!$D$33</f>
        <v>1500</v>
      </c>
      <c r="BJ40" s="38">
        <f t="shared" si="21"/>
        <v>880000</v>
      </c>
      <c r="BK40" s="38">
        <f t="shared" si="22"/>
        <v>410858.11557199992</v>
      </c>
      <c r="BL40" s="38">
        <f>Inputs!$D$19*(1-Inputs!$C$71*$H40)+Inputs!$D$21+Inputs!$B$71*$J40</f>
        <v>410800</v>
      </c>
      <c r="BM40" s="38">
        <f t="shared" si="23"/>
        <v>469200</v>
      </c>
      <c r="BN40" s="38">
        <f t="shared" si="24"/>
        <v>0</v>
      </c>
      <c r="BO40" s="38">
        <f>MAX(0,MIN(Inputs!$B$36,BT39,BP40+BQ40+BR40+Inputs!$B$6-BS39))</f>
        <v>0</v>
      </c>
      <c r="BP40" s="38">
        <f>Inputs!$B$27*(1+Inputs!$B$28)^($A40/12)*IF(Inputs!$B$72=1,$G40,1)*(1-Inputs!$C$72*$H40*(1-Inputs!$E$54*Inputs!$B$72))*(1+$I40)*IF(Inputs!$B$29=0,1,(MAX(BS39,0)/Inputs!$B$6)^Inputs!$B$29)</f>
        <v>16513.889705129292</v>
      </c>
      <c r="BQ40" s="38">
        <f>Inputs!$B$32*BS39/Inputs!$B$6</f>
        <v>2503.3185327192655</v>
      </c>
      <c r="BR40" s="38">
        <f>Inputs!$B$33</f>
        <v>2500</v>
      </c>
      <c r="BS40" s="38">
        <f t="shared" si="25"/>
        <v>136099.14382225333</v>
      </c>
      <c r="BT40" s="38">
        <f t="shared" si="26"/>
        <v>0</v>
      </c>
      <c r="BU40" s="38">
        <f>Inputs!$B$19*(1-Inputs!$C$72*$H40)+Inputs!$B$21+Inputs!$B$72*$J40</f>
        <v>582239.58333333337</v>
      </c>
      <c r="BV40" s="38">
        <f t="shared" si="27"/>
        <v>-446140.43951108004</v>
      </c>
      <c r="BW40" s="38">
        <f t="shared" si="28"/>
        <v>1</v>
      </c>
      <c r="BX40" s="38">
        <f>MAX(0,MIN(Inputs!$C$36,CC39,BY40+BZ40+CA40+Inputs!$C$6-CB39))</f>
        <v>0</v>
      </c>
      <c r="BY40" s="38">
        <f>Inputs!$C$27*(1+Inputs!$C$28)^($A40/12)*IF(Inputs!$B$72=1,$G40,1)*(1-Inputs!$C$72*$H40*(1-Inputs!$E$54*Inputs!$B$72))*(1+$I40)*IF(Inputs!$C$29=0,1,(MAX(CB39,0)/Inputs!$C$6)^Inputs!$C$29)</f>
        <v>11471.527585571279</v>
      </c>
      <c r="BZ40" s="38">
        <f>Inputs!$C$32*CB39/Inputs!$C$6</f>
        <v>5758.7038223816016</v>
      </c>
      <c r="CA40" s="38">
        <f>Inputs!$C$33</f>
        <v>2000</v>
      </c>
      <c r="CB40" s="38">
        <f t="shared" si="29"/>
        <v>663282.81420764443</v>
      </c>
      <c r="CC40" s="38">
        <f t="shared" si="30"/>
        <v>0</v>
      </c>
      <c r="CD40" s="38">
        <f>Inputs!$C$19*(1-Inputs!$C$72*$H40)+Inputs!$C$21+Inputs!$B$72*$J40</f>
        <v>484062.5</v>
      </c>
      <c r="CE40" s="38">
        <f t="shared" si="31"/>
        <v>179220.31420764443</v>
      </c>
      <c r="CF40" s="38">
        <f t="shared" si="32"/>
        <v>0</v>
      </c>
      <c r="CG40" s="38">
        <f>MAX(0,MIN(Inputs!$D$36,CL39,CH40+CI40+CJ40+Inputs!$D$6-CK39))</f>
        <v>13922.108062953688</v>
      </c>
      <c r="CH40" s="38">
        <f>Inputs!$D$27*(1+Inputs!$D$28)^($A40/12)*IF(Inputs!$B$72=1,$G40,1)*(1-Inputs!$C$72*$H40*(1-Inputs!$E$54*Inputs!$B$72))*(1+$I40)*IF(Inputs!$D$29=0,1,(MAX(CK39,0)/Inputs!$D$6)^Inputs!$D$29)</f>
        <v>8222.1080629537137</v>
      </c>
      <c r="CI40" s="38">
        <f>Inputs!$D$32*CK39/Inputs!$D$6</f>
        <v>4200</v>
      </c>
      <c r="CJ40" s="38">
        <f>Inputs!$D$33</f>
        <v>1500</v>
      </c>
      <c r="CK40" s="38">
        <f t="shared" si="33"/>
        <v>880000</v>
      </c>
      <c r="CL40" s="38">
        <f t="shared" si="34"/>
        <v>391884.73693963175</v>
      </c>
      <c r="CM40" s="38">
        <f>Inputs!$D$19*(1-Inputs!$C$72*$H40)+Inputs!$D$21+Inputs!$B$72*$J40</f>
        <v>395576.04166666669</v>
      </c>
      <c r="CN40" s="38">
        <f t="shared" si="35"/>
        <v>484423.95833333331</v>
      </c>
      <c r="CO40" s="38">
        <f t="shared" si="36"/>
        <v>0</v>
      </c>
      <c r="CP40" s="38">
        <f>MAX(0,MIN(Inputs!$B$36,CU39,CQ40+CR40+CS40+Inputs!$B$6-CT39))</f>
        <v>0</v>
      </c>
      <c r="CQ40" s="38">
        <f>Inputs!$B$27*(1+Inputs!$B$28)^($A40/12)*IF(Inputs!$B$73=1,$G40,1)*(1-Inputs!$C$73*$H40*(1-Inputs!$E$54*Inputs!$B$73))*(1+$I40)*IF(Inputs!$B$29=0,1,(MAX(CT39,0)/Inputs!$B$6)^Inputs!$B$29)</f>
        <v>14485.068786465679</v>
      </c>
      <c r="CR40" s="38">
        <f>Inputs!$B$32*CT39/Inputs!$B$6</f>
        <v>3064.1347888710584</v>
      </c>
      <c r="CS40" s="38">
        <f>Inputs!$B$33</f>
        <v>2500</v>
      </c>
      <c r="CT40" s="38">
        <f t="shared" si="37"/>
        <v>172877.80164987806</v>
      </c>
      <c r="CU40" s="38">
        <f t="shared" si="38"/>
        <v>0</v>
      </c>
      <c r="CV40" s="38">
        <f>Inputs!$B$19*(1-Inputs!$C$73*$H40)+Inputs!$B$21+Inputs!$B$73*$J40</f>
        <v>588239.58333333337</v>
      </c>
      <c r="CW40" s="38">
        <f t="shared" si="39"/>
        <v>-415361.78168345534</v>
      </c>
      <c r="CX40" s="38">
        <f t="shared" si="40"/>
        <v>1</v>
      </c>
      <c r="CY40" s="38">
        <f>MAX(0,MIN(Inputs!$C$36,DD39,CZ40+DA40+DB40+Inputs!$C$6-DC39))</f>
        <v>0</v>
      </c>
      <c r="CZ40" s="38">
        <f>Inputs!$C$27*(1+Inputs!$C$28)^($A40/12)*IF(Inputs!$B$73=1,$G40,1)*(1-Inputs!$C$73*$H40*(1-Inputs!$E$54*Inputs!$B$73))*(1+$I40)*IF(Inputs!$C$29=0,1,(MAX(DC39,0)/Inputs!$C$6)^Inputs!$C$29)</f>
        <v>10172.294234699737</v>
      </c>
      <c r="DA40" s="38">
        <f>Inputs!$C$32*DC39/Inputs!$C$6</f>
        <v>6014.9310497540446</v>
      </c>
      <c r="DB40" s="38">
        <f>Inputs!$C$33</f>
        <v>2000</v>
      </c>
      <c r="DC40" s="38">
        <f t="shared" si="41"/>
        <v>694693.49172343325</v>
      </c>
      <c r="DD40" s="38">
        <f t="shared" si="42"/>
        <v>0</v>
      </c>
      <c r="DE40" s="38">
        <f>Inputs!$C$19*(1-Inputs!$C$73*$H40)+Inputs!$C$21+Inputs!$B$73*$J40</f>
        <v>490062.5</v>
      </c>
      <c r="DF40" s="38">
        <f t="shared" si="43"/>
        <v>204630.99172343325</v>
      </c>
      <c r="DG40" s="38">
        <f t="shared" si="44"/>
        <v>0</v>
      </c>
      <c r="DH40" s="38">
        <f>MAX(0,MIN(Inputs!$D$36,DM39,DI40+DJ40+DK40+Inputs!$D$6-DL39))</f>
        <v>12911.977492174134</v>
      </c>
      <c r="DI40" s="38">
        <f>Inputs!$D$27*(1+Inputs!$D$28)^($A40/12)*IF(Inputs!$B$73=1,$G40,1)*(1-Inputs!$C$73*$H40*(1-Inputs!$E$54*Inputs!$B$73))*(1+$I40)*IF(Inputs!$D$29=0,1,(MAX(DL39,0)/Inputs!$D$6)^Inputs!$D$29)</f>
        <v>7211.9774921741373</v>
      </c>
      <c r="DJ40" s="38">
        <f>Inputs!$D$32*DL39/Inputs!$D$6</f>
        <v>4200</v>
      </c>
      <c r="DK40" s="38">
        <f>Inputs!$D$33</f>
        <v>1500</v>
      </c>
      <c r="DL40" s="38">
        <f t="shared" si="45"/>
        <v>880000</v>
      </c>
      <c r="DM40" s="38">
        <f t="shared" si="46"/>
        <v>416203.78834164783</v>
      </c>
      <c r="DN40" s="38">
        <f>Inputs!$D$19*(1-Inputs!$C$73*$H40)+Inputs!$D$21+Inputs!$B$73*$J40</f>
        <v>401576.04166666669</v>
      </c>
      <c r="DO40" s="38">
        <f t="shared" si="47"/>
        <v>478423.95833333331</v>
      </c>
      <c r="DP40" s="38">
        <f t="shared" si="48"/>
        <v>0</v>
      </c>
    </row>
    <row r="41" spans="1:120" x14ac:dyDescent="0.35">
      <c r="A41" s="29">
        <v>36</v>
      </c>
      <c r="B41" s="34">
        <f>EDATE(Inputs!$B$67,$A41)</f>
        <v>47362</v>
      </c>
      <c r="C41" s="35">
        <f>IF(Inputs!$E$47&lt;=0,Inputs!$E$46,Inputs!$E$44+(Inputs!$E$46-Inputs!$E$44)*MIN($A41/Inputs!$E$47,1))</f>
        <v>0.7</v>
      </c>
      <c r="D41" s="35">
        <f>MIN(Inputs!$E$57,Inputs!$E$55*(1+Inputs!$E$56)^($A41/12))*Inputs!$E$58*(1+Inputs!$E$59)^($A41/12)/Inputs!$E$45</f>
        <v>1.1524799999999997</v>
      </c>
      <c r="E41" s="35">
        <f>MAX(Inputs!$E$44,MIN(C41,D41))</f>
        <v>0.7</v>
      </c>
      <c r="F41" s="35">
        <f>IF(Inputs!$E$50&lt;=0,Inputs!$E$49,Inputs!$E$48+(Inputs!$E$49-Inputs!$E$48)*MIN($A41/Inputs!$E$50,1))</f>
        <v>0.12</v>
      </c>
      <c r="G41" s="36">
        <f>(Inputs!$E$41*(1-E41*Inputs!$E$51)+Inputs!$E$42*(1-F41*Inputs!$E$51))/(Inputs!$E$41*(1-Inputs!$E$44*Inputs!$E$51)+Inputs!$E$42*(1-Inputs!$E$48*Inputs!$E$51))</f>
        <v>0.8423127463863338</v>
      </c>
      <c r="H41" s="35">
        <f>IF(Inputs!$E$53&lt;=0,Inputs!$E$52,Inputs!$E$52*MIN($A41/Inputs!$E$53,1))</f>
        <v>7.5000000000000011E-2</v>
      </c>
      <c r="I41" s="35">
        <f>IF(Inputs!$E$64&lt;=0,Inputs!$E$63,Inputs!$E$62+(Inputs!$E$63-Inputs!$E$62)*MIN($A41/Inputs!$E$64,1))</f>
        <v>0.03</v>
      </c>
      <c r="J41" s="37">
        <f>(E41-Inputs!$E$44)*Inputs!$E$45/Inputs!$E$60*Inputs!$E$61</f>
        <v>5999.9999999999991</v>
      </c>
      <c r="K41" s="29">
        <f t="shared" si="0"/>
        <v>0</v>
      </c>
      <c r="L41" s="29"/>
      <c r="M41" s="38">
        <f>MAX(0,MIN(Inputs!$B$36,R40,N41+O41+P41+Inputs!$B$6-Q40))</f>
        <v>0</v>
      </c>
      <c r="N41" s="38">
        <f>Inputs!$B$27*(1+Inputs!$B$28)^($A41/12)*IF(Inputs!$B$70=1,$G41,1)*(1-Inputs!$C$70*$H41*(1-Inputs!$E$54*Inputs!$B$70))*(1+$I41)*IF(Inputs!$B$29=0,1,(MAX(Q40,0)/Inputs!$B$6)^Inputs!$B$29)</f>
        <v>17885.306250000005</v>
      </c>
      <c r="O41" s="38">
        <f>Inputs!$B$32*Q40/Inputs!$B$6</f>
        <v>1862.8064413831703</v>
      </c>
      <c r="P41" s="38">
        <f>Inputs!$B$33</f>
        <v>2500</v>
      </c>
      <c r="Q41" s="38">
        <f t="shared" si="1"/>
        <v>95039.700284594204</v>
      </c>
      <c r="R41" s="38">
        <f t="shared" si="2"/>
        <v>0</v>
      </c>
      <c r="S41" s="38">
        <f>Inputs!$B$19*(1-Inputs!$C$70*$H41)+Inputs!$B$21+Inputs!$B$70*$J41</f>
        <v>595000</v>
      </c>
      <c r="T41" s="38">
        <f t="shared" si="3"/>
        <v>-499960.2997154058</v>
      </c>
      <c r="U41" s="38">
        <f t="shared" si="4"/>
        <v>1</v>
      </c>
      <c r="V41" s="38">
        <f>MAX(0,MIN(Inputs!$C$36,AA40,W41+X41+Y41+Inputs!$C$6-Z40))</f>
        <v>0</v>
      </c>
      <c r="W41" s="38">
        <f>Inputs!$C$27*(1+Inputs!$C$28)^($A41/12)*IF(Inputs!$B$70=1,$G41,1)*(1-Inputs!$C$70*$H41*(1-Inputs!$E$54*Inputs!$B$70))*(1+$I41)*IF(Inputs!$C$29=0,1,(MAX(Z40,0)/Inputs!$C$6)^Inputs!$C$29)</f>
        <v>12212.784282508608</v>
      </c>
      <c r="X41" s="38">
        <f>Inputs!$C$32*Z40/Inputs!$C$6</f>
        <v>5464.7911176299522</v>
      </c>
      <c r="Y41" s="38">
        <f>Inputs!$C$33</f>
        <v>2000</v>
      </c>
      <c r="Z41" s="38">
        <f t="shared" si="5"/>
        <v>628001.37187452253</v>
      </c>
      <c r="AA41" s="38">
        <f t="shared" si="6"/>
        <v>0</v>
      </c>
      <c r="AB41" s="38">
        <f>Inputs!$C$19*(1-Inputs!$C$70*$H41)+Inputs!$C$21+Inputs!$B$70*$J41</f>
        <v>495000</v>
      </c>
      <c r="AC41" s="38">
        <f t="shared" si="7"/>
        <v>133001.37187452253</v>
      </c>
      <c r="AD41" s="38">
        <f t="shared" si="8"/>
        <v>0</v>
      </c>
      <c r="AE41" s="38">
        <f>MAX(0,MIN(Inputs!$D$36,AJ40,AF41+AG41+AH41+Inputs!$D$6-AI40))</f>
        <v>14530.962500000023</v>
      </c>
      <c r="AF41" s="38">
        <f>Inputs!$D$27*(1+Inputs!$D$28)^($A41/12)*IF(Inputs!$B$70=1,$G41,1)*(1-Inputs!$C$70*$H41*(1-Inputs!$E$54*Inputs!$B$70))*(1+$I41)*IF(Inputs!$D$29=0,1,(MAX(AI40,0)/Inputs!$D$6)^Inputs!$D$29)</f>
        <v>8830.9624999999978</v>
      </c>
      <c r="AG41" s="38">
        <f>Inputs!$D$32*AI40/Inputs!$D$6</f>
        <v>4200</v>
      </c>
      <c r="AH41" s="38">
        <f>Inputs!$D$33</f>
        <v>1500</v>
      </c>
      <c r="AI41" s="38">
        <f t="shared" si="9"/>
        <v>880000</v>
      </c>
      <c r="AJ41" s="38">
        <f t="shared" si="10"/>
        <v>365184.76697647071</v>
      </c>
      <c r="AK41" s="38">
        <f>Inputs!$D$19*(1-Inputs!$C$70*$H41)+Inputs!$D$21+Inputs!$B$70*$J41</f>
        <v>404800</v>
      </c>
      <c r="AL41" s="38">
        <f t="shared" si="11"/>
        <v>475200</v>
      </c>
      <c r="AM41" s="38">
        <f t="shared" si="12"/>
        <v>0</v>
      </c>
      <c r="AN41" s="38">
        <f>MAX(0,MIN(Inputs!$B$36,AS40,AO41+AP41+AQ41+Inputs!$B$6-AR40))</f>
        <v>0</v>
      </c>
      <c r="AO41" s="38">
        <f>Inputs!$B$27*(1+Inputs!$B$28)^($A41/12)*IF(Inputs!$B$71=1,$G41,1)*(1-Inputs!$C$71*$H41*(1-Inputs!$E$54*Inputs!$B$71))*(1+$I41)*IF(Inputs!$B$29=0,1,(MAX(AR40,0)/Inputs!$B$6)^Inputs!$B$29)</f>
        <v>15065.021427398164</v>
      </c>
      <c r="AP41" s="38">
        <f>Inputs!$B$32*AR40/Inputs!$B$6</f>
        <v>2615.4499027316779</v>
      </c>
      <c r="AQ41" s="38">
        <f>Inputs!$B$33</f>
        <v>2500</v>
      </c>
      <c r="AR41" s="38">
        <f t="shared" si="13"/>
        <v>144496.00402704987</v>
      </c>
      <c r="AS41" s="38">
        <f t="shared" si="14"/>
        <v>0</v>
      </c>
      <c r="AT41" s="38">
        <f>Inputs!$B$19*(1-Inputs!$C$71*$H41)+Inputs!$B$21+Inputs!$B$71*$J41</f>
        <v>601000</v>
      </c>
      <c r="AU41" s="38">
        <f t="shared" si="15"/>
        <v>-456503.99597295013</v>
      </c>
      <c r="AV41" s="38">
        <f t="shared" si="16"/>
        <v>1</v>
      </c>
      <c r="AW41" s="38">
        <f>MAX(0,MIN(Inputs!$C$36,BB40,AX41+AY41+AZ41+Inputs!$C$6-BA40))</f>
        <v>0</v>
      </c>
      <c r="AX41" s="38">
        <f>Inputs!$C$27*(1+Inputs!$C$28)^($A41/12)*IF(Inputs!$B$71=1,$G41,1)*(1-Inputs!$C$71*$H41*(1-Inputs!$E$54*Inputs!$B$71))*(1+$I41)*IF(Inputs!$C$29=0,1,(MAX(BA40,0)/Inputs!$C$6)^Inputs!$C$29)</f>
        <v>10442.381355278862</v>
      </c>
      <c r="AY41" s="38">
        <f>Inputs!$C$32*BA40/Inputs!$C$6</f>
        <v>5802.5585226665517</v>
      </c>
      <c r="AZ41" s="38">
        <f>Inputs!$C$33</f>
        <v>2000</v>
      </c>
      <c r="BA41" s="38">
        <f t="shared" si="17"/>
        <v>669465.69984549785</v>
      </c>
      <c r="BB41" s="38">
        <f t="shared" si="18"/>
        <v>0</v>
      </c>
      <c r="BC41" s="38">
        <f>Inputs!$C$19*(1-Inputs!$C$71*$H41)+Inputs!$C$21+Inputs!$B$71*$J41</f>
        <v>501000</v>
      </c>
      <c r="BD41" s="38">
        <f t="shared" si="19"/>
        <v>168465.69984549785</v>
      </c>
      <c r="BE41" s="38">
        <f t="shared" si="20"/>
        <v>0</v>
      </c>
      <c r="BF41" s="38">
        <f>MAX(0,MIN(Inputs!$D$36,BK40,BG41+BH41+BI41+Inputs!$D$6-BJ40))</f>
        <v>13138.432276609703</v>
      </c>
      <c r="BG41" s="38">
        <f>Inputs!$D$27*(1+Inputs!$D$28)^($A41/12)*IF(Inputs!$B$71=1,$G41,1)*(1-Inputs!$C$71*$H41*(1-Inputs!$E$54*Inputs!$B$71))*(1+$I41)*IF(Inputs!$D$29=0,1,(MAX(BJ40,0)/Inputs!$D$6)^Inputs!$D$29)</f>
        <v>7438.432276609723</v>
      </c>
      <c r="BH41" s="38">
        <f>Inputs!$D$32*BJ40/Inputs!$D$6</f>
        <v>4200</v>
      </c>
      <c r="BI41" s="38">
        <f>Inputs!$D$33</f>
        <v>1500</v>
      </c>
      <c r="BJ41" s="38">
        <f t="shared" si="21"/>
        <v>880000</v>
      </c>
      <c r="BK41" s="38">
        <f t="shared" si="22"/>
        <v>397719.68329539022</v>
      </c>
      <c r="BL41" s="38">
        <f>Inputs!$D$19*(1-Inputs!$C$71*$H41)+Inputs!$D$21+Inputs!$B$71*$J41</f>
        <v>410800</v>
      </c>
      <c r="BM41" s="38">
        <f t="shared" si="23"/>
        <v>469200</v>
      </c>
      <c r="BN41" s="38">
        <f t="shared" si="24"/>
        <v>0</v>
      </c>
      <c r="BO41" s="38">
        <f>MAX(0,MIN(Inputs!$B$36,BT40,BP41+BQ41+BR41+Inputs!$B$6-BS40))</f>
        <v>0</v>
      </c>
      <c r="BP41" s="38">
        <f>Inputs!$B$27*(1+Inputs!$B$28)^($A41/12)*IF(Inputs!$B$72=1,$G41,1)*(1-Inputs!$C$72*$H41*(1-Inputs!$E$54*Inputs!$B$72))*(1+$I41)*IF(Inputs!$B$29=0,1,(MAX(BS40,0)/Inputs!$B$6)^Inputs!$B$29)</f>
        <v>16543.908281250006</v>
      </c>
      <c r="BQ41" s="38">
        <f>Inputs!$B$32*BS40/Inputs!$B$6</f>
        <v>2161.5746371769646</v>
      </c>
      <c r="BR41" s="38">
        <f>Inputs!$B$33</f>
        <v>2500</v>
      </c>
      <c r="BS41" s="38">
        <f t="shared" si="25"/>
        <v>114893.66090382636</v>
      </c>
      <c r="BT41" s="38">
        <f t="shared" si="26"/>
        <v>0</v>
      </c>
      <c r="BU41" s="38">
        <f>Inputs!$B$19*(1-Inputs!$C$72*$H41)+Inputs!$B$21+Inputs!$B$72*$J41</f>
        <v>581875</v>
      </c>
      <c r="BV41" s="38">
        <f t="shared" si="27"/>
        <v>-466981.33909617364</v>
      </c>
      <c r="BW41" s="38">
        <f t="shared" si="28"/>
        <v>1</v>
      </c>
      <c r="BX41" s="38">
        <f>MAX(0,MIN(Inputs!$C$36,CC40,BY41+BZ41+CA41+Inputs!$C$6-CB40))</f>
        <v>0</v>
      </c>
      <c r="BY41" s="38">
        <f>Inputs!$C$27*(1+Inputs!$C$28)^($A41/12)*IF(Inputs!$B$72=1,$G41,1)*(1-Inputs!$C$72*$H41*(1-Inputs!$E$54*Inputs!$B$72))*(1+$I41)*IF(Inputs!$C$29=0,1,(MAX(CB40,0)/Inputs!$C$6)^Inputs!$C$29)</f>
        <v>11364.259963987499</v>
      </c>
      <c r="BZ41" s="38">
        <f>Inputs!$C$32*CB40/Inputs!$C$6</f>
        <v>5596.4487448769987</v>
      </c>
      <c r="CA41" s="38">
        <f>Inputs!$C$33</f>
        <v>2000</v>
      </c>
      <c r="CB41" s="38">
        <f t="shared" si="29"/>
        <v>644322.10549877991</v>
      </c>
      <c r="CC41" s="38">
        <f t="shared" si="30"/>
        <v>0</v>
      </c>
      <c r="CD41" s="38">
        <f>Inputs!$C$19*(1-Inputs!$C$72*$H41)+Inputs!$C$21+Inputs!$B$72*$J41</f>
        <v>483750</v>
      </c>
      <c r="CE41" s="38">
        <f t="shared" si="31"/>
        <v>160572.10549877991</v>
      </c>
      <c r="CF41" s="38">
        <f t="shared" si="32"/>
        <v>0</v>
      </c>
      <c r="CG41" s="38">
        <f>MAX(0,MIN(Inputs!$D$36,CL40,CH41+CI41+CJ41+Inputs!$D$6-CK40))</f>
        <v>13868.640312499949</v>
      </c>
      <c r="CH41" s="38">
        <f>Inputs!$D$27*(1+Inputs!$D$28)^($A41/12)*IF(Inputs!$B$72=1,$G41,1)*(1-Inputs!$C$72*$H41*(1-Inputs!$E$54*Inputs!$B$72))*(1+$I41)*IF(Inputs!$D$29=0,1,(MAX(CK40,0)/Inputs!$D$6)^Inputs!$D$29)</f>
        <v>8168.6403124999997</v>
      </c>
      <c r="CI41" s="38">
        <f>Inputs!$D$32*CK40/Inputs!$D$6</f>
        <v>4200</v>
      </c>
      <c r="CJ41" s="38">
        <f>Inputs!$D$33</f>
        <v>1500</v>
      </c>
      <c r="CK41" s="38">
        <f t="shared" si="33"/>
        <v>880000</v>
      </c>
      <c r="CL41" s="38">
        <f t="shared" si="34"/>
        <v>378016.0966271318</v>
      </c>
      <c r="CM41" s="38">
        <f>Inputs!$D$19*(1-Inputs!$C$72*$H41)+Inputs!$D$21+Inputs!$B$72*$J41</f>
        <v>395312.5</v>
      </c>
      <c r="CN41" s="38">
        <f t="shared" si="35"/>
        <v>484687.5</v>
      </c>
      <c r="CO41" s="38">
        <f t="shared" si="36"/>
        <v>0</v>
      </c>
      <c r="CP41" s="38">
        <f>MAX(0,MIN(Inputs!$B$36,CU40,CQ41+CR41+CS41+Inputs!$B$6-CT40))</f>
        <v>0</v>
      </c>
      <c r="CQ41" s="38">
        <f>Inputs!$B$27*(1+Inputs!$B$28)^($A41/12)*IF(Inputs!$B$73=1,$G41,1)*(1-Inputs!$C$73*$H41*(1-Inputs!$E$54*Inputs!$B$73))*(1+$I41)*IF(Inputs!$B$29=0,1,(MAX(CT40,0)/Inputs!$B$6)^Inputs!$B$29)</f>
        <v>14500.083123870734</v>
      </c>
      <c r="CR41" s="38">
        <f>Inputs!$B$32*CT40/Inputs!$B$6</f>
        <v>2745.7062614980637</v>
      </c>
      <c r="CS41" s="38">
        <f>Inputs!$B$33</f>
        <v>2500</v>
      </c>
      <c r="CT41" s="38">
        <f t="shared" si="37"/>
        <v>153132.01226450925</v>
      </c>
      <c r="CU41" s="38">
        <f t="shared" si="38"/>
        <v>0</v>
      </c>
      <c r="CV41" s="38">
        <f>Inputs!$B$19*(1-Inputs!$C$73*$H41)+Inputs!$B$21+Inputs!$B$73*$J41</f>
        <v>587875</v>
      </c>
      <c r="CW41" s="38">
        <f t="shared" si="39"/>
        <v>-434742.98773549078</v>
      </c>
      <c r="CX41" s="38">
        <f t="shared" si="40"/>
        <v>1</v>
      </c>
      <c r="CY41" s="38">
        <f>MAX(0,MIN(Inputs!$C$36,DD40,CZ41+DA41+DB41+Inputs!$C$6-DC40))</f>
        <v>0</v>
      </c>
      <c r="CZ41" s="38">
        <f>Inputs!$C$27*(1+Inputs!$C$28)^($A41/12)*IF(Inputs!$B$73=1,$G41,1)*(1-Inputs!$C$73*$H41*(1-Inputs!$E$54*Inputs!$B$73))*(1+$I41)*IF(Inputs!$C$29=0,1,(MAX(DC40,0)/Inputs!$C$6)^Inputs!$C$29)</f>
        <v>10076.20882401251</v>
      </c>
      <c r="DA41" s="38">
        <f>Inputs!$C$32*DC40/Inputs!$C$6</f>
        <v>5861.4763364164673</v>
      </c>
      <c r="DB41" s="38">
        <f>Inputs!$C$33</f>
        <v>2000</v>
      </c>
      <c r="DC41" s="38">
        <f t="shared" si="41"/>
        <v>676755.80656300427</v>
      </c>
      <c r="DD41" s="38">
        <f t="shared" si="42"/>
        <v>0</v>
      </c>
      <c r="DE41" s="38">
        <f>Inputs!$C$19*(1-Inputs!$C$73*$H41)+Inputs!$C$21+Inputs!$B$73*$J41</f>
        <v>489750</v>
      </c>
      <c r="DF41" s="38">
        <f t="shared" si="43"/>
        <v>187005.80656300427</v>
      </c>
      <c r="DG41" s="38">
        <f t="shared" si="44"/>
        <v>0</v>
      </c>
      <c r="DH41" s="38">
        <f>MAX(0,MIN(Inputs!$D$36,DM40,DI41+DJ41+DK41+Inputs!$D$6-DL40))</f>
        <v>12859.491066236864</v>
      </c>
      <c r="DI41" s="38">
        <f>Inputs!$D$27*(1+Inputs!$D$28)^($A41/12)*IF(Inputs!$B$73=1,$G41,1)*(1-Inputs!$C$73*$H41*(1-Inputs!$E$54*Inputs!$B$73))*(1+$I41)*IF(Inputs!$D$29=0,1,(MAX(DL40,0)/Inputs!$D$6)^Inputs!$D$29)</f>
        <v>7159.4910662368584</v>
      </c>
      <c r="DJ41" s="38">
        <f>Inputs!$D$32*DL40/Inputs!$D$6</f>
        <v>4200</v>
      </c>
      <c r="DK41" s="38">
        <f>Inputs!$D$33</f>
        <v>1500</v>
      </c>
      <c r="DL41" s="38">
        <f t="shared" si="45"/>
        <v>880000</v>
      </c>
      <c r="DM41" s="38">
        <f t="shared" si="46"/>
        <v>403344.29727541097</v>
      </c>
      <c r="DN41" s="38">
        <f>Inputs!$D$19*(1-Inputs!$C$73*$H41)+Inputs!$D$21+Inputs!$B$73*$J41</f>
        <v>401312.5</v>
      </c>
      <c r="DO41" s="38">
        <f t="shared" si="47"/>
        <v>478687.5</v>
      </c>
      <c r="DP41" s="38">
        <f t="shared" si="48"/>
        <v>0</v>
      </c>
    </row>
    <row r="42" spans="1:120" x14ac:dyDescent="0.35">
      <c r="A42" s="29">
        <v>37</v>
      </c>
      <c r="B42" s="34">
        <f>EDATE(Inputs!$B$67,$A42)</f>
        <v>47392</v>
      </c>
      <c r="C42" s="35">
        <f>IF(Inputs!$E$47&lt;=0,Inputs!$E$46,Inputs!$E$44+(Inputs!$E$46-Inputs!$E$44)*MIN($A42/Inputs!$E$47,1))</f>
        <v>0.7</v>
      </c>
      <c r="D42" s="35">
        <f>MIN(Inputs!$E$57,Inputs!$E$55*(1+Inputs!$E$56)^($A42/12))*Inputs!$E$58*(1+Inputs!$E$59)^($A42/12)/Inputs!$E$45</f>
        <v>1.1852521007515164</v>
      </c>
      <c r="E42" s="35">
        <f>MAX(Inputs!$E$44,MIN(C42,D42))</f>
        <v>0.7</v>
      </c>
      <c r="F42" s="35">
        <f>IF(Inputs!$E$50&lt;=0,Inputs!$E$49,Inputs!$E$48+(Inputs!$E$49-Inputs!$E$48)*MIN($A42/Inputs!$E$50,1))</f>
        <v>0.12</v>
      </c>
      <c r="G42" s="36">
        <f>(Inputs!$E$41*(1-E42*Inputs!$E$51)+Inputs!$E$42*(1-F42*Inputs!$E$51))/(Inputs!$E$41*(1-Inputs!$E$44*Inputs!$E$51)+Inputs!$E$42*(1-Inputs!$E$48*Inputs!$E$51))</f>
        <v>0.8423127463863338</v>
      </c>
      <c r="H42" s="35">
        <f>IF(Inputs!$E$53&lt;=0,Inputs!$E$52,Inputs!$E$52*MIN($A42/Inputs!$E$53,1))</f>
        <v>7.7083333333333337E-2</v>
      </c>
      <c r="I42" s="35">
        <f>IF(Inputs!$E$64&lt;=0,Inputs!$E$63,Inputs!$E$62+(Inputs!$E$63-Inputs!$E$62)*MIN($A42/Inputs!$E$64,1))</f>
        <v>0.03</v>
      </c>
      <c r="J42" s="37">
        <f>(E42-Inputs!$E$44)*Inputs!$E$45/Inputs!$E$60*Inputs!$E$61</f>
        <v>5999.9999999999991</v>
      </c>
      <c r="K42" s="29">
        <f t="shared" si="0"/>
        <v>0</v>
      </c>
      <c r="L42" s="29"/>
      <c r="M42" s="38">
        <f>MAX(0,MIN(Inputs!$B$36,R41,N42+O42+P42+Inputs!$B$6-Q41))</f>
        <v>0</v>
      </c>
      <c r="N42" s="38">
        <f>Inputs!$B$27*(1+Inputs!$B$28)^($A42/12)*IF(Inputs!$B$70=1,$G42,1)*(1-Inputs!$C$70*$H42*(1-Inputs!$E$54*Inputs!$B$70))*(1+$I42)*IF(Inputs!$B$29=0,1,(MAX(Q41,0)/Inputs!$B$6)^Inputs!$B$29)</f>
        <v>17958.17320157096</v>
      </c>
      <c r="O42" s="38">
        <f>Inputs!$B$32*Q41/Inputs!$B$6</f>
        <v>1509.4540633435552</v>
      </c>
      <c r="P42" s="38">
        <f>Inputs!$B$33</f>
        <v>2500</v>
      </c>
      <c r="Q42" s="38">
        <f t="shared" si="1"/>
        <v>73072.073019679694</v>
      </c>
      <c r="R42" s="38">
        <f t="shared" si="2"/>
        <v>0</v>
      </c>
      <c r="S42" s="38">
        <f>Inputs!$B$19*(1-Inputs!$C$70*$H42)+Inputs!$B$21+Inputs!$B$70*$J42</f>
        <v>595000</v>
      </c>
      <c r="T42" s="38">
        <f t="shared" si="3"/>
        <v>-521927.92698032031</v>
      </c>
      <c r="U42" s="38">
        <f t="shared" si="4"/>
        <v>1</v>
      </c>
      <c r="V42" s="38">
        <f>MAX(0,MIN(Inputs!$C$36,AA41,W42+X42+Y42+Inputs!$C$6-Z41))</f>
        <v>0</v>
      </c>
      <c r="W42" s="38">
        <f>Inputs!$C$27*(1+Inputs!$C$28)^($A42/12)*IF(Inputs!$B$70=1,$G42,1)*(1-Inputs!$C$70*$H42*(1-Inputs!$E$54*Inputs!$B$70))*(1+$I42)*IF(Inputs!$C$29=0,1,(MAX(Z41,0)/Inputs!$C$6)^Inputs!$C$29)</f>
        <v>12118.947081184868</v>
      </c>
      <c r="X42" s="38">
        <f>Inputs!$C$32*Z41/Inputs!$C$6</f>
        <v>5298.7615751912836</v>
      </c>
      <c r="Y42" s="38">
        <f>Inputs!$C$33</f>
        <v>2000</v>
      </c>
      <c r="Z42" s="38">
        <f t="shared" si="5"/>
        <v>608583.66321814642</v>
      </c>
      <c r="AA42" s="38">
        <f t="shared" si="6"/>
        <v>0</v>
      </c>
      <c r="AB42" s="38">
        <f>Inputs!$C$19*(1-Inputs!$C$70*$H42)+Inputs!$C$21+Inputs!$B$70*$J42</f>
        <v>495000</v>
      </c>
      <c r="AC42" s="38">
        <f t="shared" si="7"/>
        <v>113583.66321814642</v>
      </c>
      <c r="AD42" s="38">
        <f t="shared" si="8"/>
        <v>0</v>
      </c>
      <c r="AE42" s="38">
        <f>MAX(0,MIN(Inputs!$D$36,AJ41,AF42+AG42+AH42+Inputs!$D$6-AI41))</f>
        <v>14493.295629824861</v>
      </c>
      <c r="AF42" s="38">
        <f>Inputs!$D$27*(1+Inputs!$D$28)^($A42/12)*IF(Inputs!$B$70=1,$G42,1)*(1-Inputs!$C$70*$H42*(1-Inputs!$E$54*Inputs!$B$70))*(1+$I42)*IF(Inputs!$D$29=0,1,(MAX(AI41,0)/Inputs!$D$6)^Inputs!$D$29)</f>
        <v>8793.2956298248155</v>
      </c>
      <c r="AG42" s="38">
        <f>Inputs!$D$32*AI41/Inputs!$D$6</f>
        <v>4200</v>
      </c>
      <c r="AH42" s="38">
        <f>Inputs!$D$33</f>
        <v>1500</v>
      </c>
      <c r="AI42" s="38">
        <f t="shared" si="9"/>
        <v>880000</v>
      </c>
      <c r="AJ42" s="38">
        <f t="shared" si="10"/>
        <v>350691.47134664585</v>
      </c>
      <c r="AK42" s="38">
        <f>Inputs!$D$19*(1-Inputs!$C$70*$H42)+Inputs!$D$21+Inputs!$B$70*$J42</f>
        <v>404800</v>
      </c>
      <c r="AL42" s="38">
        <f t="shared" si="11"/>
        <v>475200</v>
      </c>
      <c r="AM42" s="38">
        <f t="shared" si="12"/>
        <v>0</v>
      </c>
      <c r="AN42" s="38">
        <f>MAX(0,MIN(Inputs!$B$36,AS41,AO42+AP42+AQ42+Inputs!$B$6-AR41))</f>
        <v>0</v>
      </c>
      <c r="AO42" s="38">
        <f>Inputs!$B$27*(1+Inputs!$B$28)^($A42/12)*IF(Inputs!$B$71=1,$G42,1)*(1-Inputs!$C$71*$H42*(1-Inputs!$E$54*Inputs!$B$71))*(1+$I42)*IF(Inputs!$B$29=0,1,(MAX(AR41,0)/Inputs!$B$6)^Inputs!$B$29)</f>
        <v>15126.398189496695</v>
      </c>
      <c r="AP42" s="38">
        <f>Inputs!$B$32*AR41/Inputs!$B$6</f>
        <v>2294.9365345472629</v>
      </c>
      <c r="AQ42" s="38">
        <f>Inputs!$B$33</f>
        <v>2500</v>
      </c>
      <c r="AR42" s="38">
        <f t="shared" si="13"/>
        <v>124574.66930300591</v>
      </c>
      <c r="AS42" s="38">
        <f t="shared" si="14"/>
        <v>0</v>
      </c>
      <c r="AT42" s="38">
        <f>Inputs!$B$19*(1-Inputs!$C$71*$H42)+Inputs!$B$21+Inputs!$B$71*$J42</f>
        <v>601000</v>
      </c>
      <c r="AU42" s="38">
        <f t="shared" si="15"/>
        <v>-476425.33069699409</v>
      </c>
      <c r="AV42" s="38">
        <f t="shared" si="16"/>
        <v>1</v>
      </c>
      <c r="AW42" s="38">
        <f>MAX(0,MIN(Inputs!$C$36,BB41,AX42+AY42+AZ42+Inputs!$C$6-BA41))</f>
        <v>0</v>
      </c>
      <c r="AX42" s="38">
        <f>Inputs!$C$27*(1+Inputs!$C$28)^($A42/12)*IF(Inputs!$B$71=1,$G42,1)*(1-Inputs!$C$71*$H42*(1-Inputs!$E$54*Inputs!$B$71))*(1+$I42)*IF(Inputs!$C$29=0,1,(MAX(BA41,0)/Inputs!$C$6)^Inputs!$C$29)</f>
        <v>10372.422448200517</v>
      </c>
      <c r="AY42" s="38">
        <f>Inputs!$C$32*BA41/Inputs!$C$6</f>
        <v>5648.6168424463867</v>
      </c>
      <c r="AZ42" s="38">
        <f>Inputs!$C$33</f>
        <v>2000</v>
      </c>
      <c r="BA42" s="38">
        <f t="shared" si="17"/>
        <v>651444.66055485094</v>
      </c>
      <c r="BB42" s="38">
        <f t="shared" si="18"/>
        <v>0</v>
      </c>
      <c r="BC42" s="38">
        <f>Inputs!$C$19*(1-Inputs!$C$71*$H42)+Inputs!$C$21+Inputs!$B$71*$J42</f>
        <v>501000</v>
      </c>
      <c r="BD42" s="38">
        <f t="shared" si="19"/>
        <v>150444.66055485094</v>
      </c>
      <c r="BE42" s="38">
        <f t="shared" si="20"/>
        <v>0</v>
      </c>
      <c r="BF42" s="38">
        <f>MAX(0,MIN(Inputs!$D$36,BK41,BG42+BH42+BI42+Inputs!$D$6-BJ41))</f>
        <v>13106.704991744715</v>
      </c>
      <c r="BG42" s="38">
        <f>Inputs!$D$27*(1+Inputs!$D$28)^($A42/12)*IF(Inputs!$B$71=1,$G42,1)*(1-Inputs!$C$71*$H42*(1-Inputs!$E$54*Inputs!$B$71))*(1+$I42)*IF(Inputs!$D$29=0,1,(MAX(BJ41,0)/Inputs!$D$6)^Inputs!$D$29)</f>
        <v>7406.7049917446875</v>
      </c>
      <c r="BH42" s="38">
        <f>Inputs!$D$32*BJ41/Inputs!$D$6</f>
        <v>4200</v>
      </c>
      <c r="BI42" s="38">
        <f>Inputs!$D$33</f>
        <v>1500</v>
      </c>
      <c r="BJ42" s="38">
        <f t="shared" si="21"/>
        <v>880000</v>
      </c>
      <c r="BK42" s="38">
        <f t="shared" si="22"/>
        <v>384612.9783036455</v>
      </c>
      <c r="BL42" s="38">
        <f>Inputs!$D$19*(1-Inputs!$C$71*$H42)+Inputs!$D$21+Inputs!$B$71*$J42</f>
        <v>410800</v>
      </c>
      <c r="BM42" s="38">
        <f t="shared" si="23"/>
        <v>469200</v>
      </c>
      <c r="BN42" s="38">
        <f t="shared" si="24"/>
        <v>0</v>
      </c>
      <c r="BO42" s="38">
        <f>MAX(0,MIN(Inputs!$B$36,BT41,BP42+BQ42+BR42+Inputs!$B$6-BS41))</f>
        <v>0</v>
      </c>
      <c r="BP42" s="38">
        <f>Inputs!$B$27*(1+Inputs!$B$28)^($A42/12)*IF(Inputs!$B$72=1,$G42,1)*(1-Inputs!$C$72*$H42*(1-Inputs!$E$54*Inputs!$B$72))*(1+$I42)*IF(Inputs!$B$29=0,1,(MAX(BS41,0)/Inputs!$B$6)^Inputs!$B$29)</f>
        <v>16573.897350616531</v>
      </c>
      <c r="BQ42" s="38">
        <f>Inputs!$B$32*BS41/Inputs!$B$6</f>
        <v>1824.7816731784185</v>
      </c>
      <c r="BR42" s="38">
        <f>Inputs!$B$33</f>
        <v>2500</v>
      </c>
      <c r="BS42" s="38">
        <f t="shared" si="25"/>
        <v>93994.98188003141</v>
      </c>
      <c r="BT42" s="38">
        <f t="shared" si="26"/>
        <v>0</v>
      </c>
      <c r="BU42" s="38">
        <f>Inputs!$B$19*(1-Inputs!$C$72*$H42)+Inputs!$B$21+Inputs!$B$72*$J42</f>
        <v>581510.41666666663</v>
      </c>
      <c r="BV42" s="38">
        <f t="shared" si="27"/>
        <v>-487515.43478663522</v>
      </c>
      <c r="BW42" s="38">
        <f t="shared" si="28"/>
        <v>1</v>
      </c>
      <c r="BX42" s="38">
        <f>MAX(0,MIN(Inputs!$C$36,CC41,BY42+BZ42+CA42+Inputs!$C$6-CB41))</f>
        <v>0</v>
      </c>
      <c r="BY42" s="38">
        <f>Inputs!$C$27*(1+Inputs!$C$28)^($A42/12)*IF(Inputs!$B$72=1,$G42,1)*(1-Inputs!$C$72*$H42*(1-Inputs!$E$54*Inputs!$B$72))*(1+$I42)*IF(Inputs!$C$29=0,1,(MAX(CB41,0)/Inputs!$C$6)^Inputs!$C$29)</f>
        <v>11256.749136316279</v>
      </c>
      <c r="BZ42" s="38">
        <f>Inputs!$C$32*CB41/Inputs!$C$6</f>
        <v>5436.4677651459551</v>
      </c>
      <c r="CA42" s="38">
        <f>Inputs!$C$33</f>
        <v>2000</v>
      </c>
      <c r="CB42" s="38">
        <f t="shared" si="29"/>
        <v>625628.88859731774</v>
      </c>
      <c r="CC42" s="38">
        <f t="shared" si="30"/>
        <v>0</v>
      </c>
      <c r="CD42" s="38">
        <f>Inputs!$C$19*(1-Inputs!$C$72*$H42)+Inputs!$C$21+Inputs!$B$72*$J42</f>
        <v>483437.5</v>
      </c>
      <c r="CE42" s="38">
        <f t="shared" si="31"/>
        <v>142191.38859731774</v>
      </c>
      <c r="CF42" s="38">
        <f t="shared" si="32"/>
        <v>0</v>
      </c>
      <c r="CG42" s="38">
        <f>MAX(0,MIN(Inputs!$D$36,CL41,CH42+CI42+CJ42+Inputs!$D$6-CK41))</f>
        <v>13815.479091692483</v>
      </c>
      <c r="CH42" s="38">
        <f>Inputs!$D$27*(1+Inputs!$D$28)^($A42/12)*IF(Inputs!$B$72=1,$G42,1)*(1-Inputs!$C$72*$H42*(1-Inputs!$E$54*Inputs!$B$72))*(1+$I42)*IF(Inputs!$D$29=0,1,(MAX(CK41,0)/Inputs!$D$6)^Inputs!$D$29)</f>
        <v>8115.4790916924858</v>
      </c>
      <c r="CI42" s="38">
        <f>Inputs!$D$32*CK41/Inputs!$D$6</f>
        <v>4200</v>
      </c>
      <c r="CJ42" s="38">
        <f>Inputs!$D$33</f>
        <v>1500</v>
      </c>
      <c r="CK42" s="38">
        <f t="shared" si="33"/>
        <v>880000</v>
      </c>
      <c r="CL42" s="38">
        <f t="shared" si="34"/>
        <v>364200.61753543932</v>
      </c>
      <c r="CM42" s="38">
        <f>Inputs!$D$19*(1-Inputs!$C$72*$H42)+Inputs!$D$21+Inputs!$B$72*$J42</f>
        <v>395048.95833333331</v>
      </c>
      <c r="CN42" s="38">
        <f t="shared" si="35"/>
        <v>484951.04166666669</v>
      </c>
      <c r="CO42" s="38">
        <f t="shared" si="36"/>
        <v>0</v>
      </c>
      <c r="CP42" s="38">
        <f>MAX(0,MIN(Inputs!$B$36,CU41,CQ42+CR42+CS42+Inputs!$B$6-CT41))</f>
        <v>0</v>
      </c>
      <c r="CQ42" s="38">
        <f>Inputs!$B$27*(1+Inputs!$B$28)^($A42/12)*IF(Inputs!$B$73=1,$G42,1)*(1-Inputs!$C$73*$H42*(1-Inputs!$E$54*Inputs!$B$73))*(1+$I42)*IF(Inputs!$B$29=0,1,(MAX(CT41,0)/Inputs!$B$6)^Inputs!$B$29)</f>
        <v>14543.401592609842</v>
      </c>
      <c r="CR42" s="38">
        <f>Inputs!$B$32*CT41/Inputs!$B$6</f>
        <v>2432.0966653774999</v>
      </c>
      <c r="CS42" s="38">
        <f>Inputs!$B$33</f>
        <v>2500</v>
      </c>
      <c r="CT42" s="38">
        <f t="shared" si="37"/>
        <v>133656.5140065219</v>
      </c>
      <c r="CU42" s="38">
        <f t="shared" si="38"/>
        <v>0</v>
      </c>
      <c r="CV42" s="38">
        <f>Inputs!$B$19*(1-Inputs!$C$73*$H42)+Inputs!$B$21+Inputs!$B$73*$J42</f>
        <v>587510.41666666663</v>
      </c>
      <c r="CW42" s="38">
        <f t="shared" si="39"/>
        <v>-453853.90266014473</v>
      </c>
      <c r="CX42" s="38">
        <f t="shared" si="40"/>
        <v>1</v>
      </c>
      <c r="CY42" s="38">
        <f>MAX(0,MIN(Inputs!$C$36,DD41,CZ42+DA42+DB42+Inputs!$C$6-DC41))</f>
        <v>0</v>
      </c>
      <c r="CZ42" s="38">
        <f>Inputs!$C$27*(1+Inputs!$C$28)^($A42/12)*IF(Inputs!$B$73=1,$G42,1)*(1-Inputs!$C$73*$H42*(1-Inputs!$E$54*Inputs!$B$73))*(1+$I42)*IF(Inputs!$C$29=0,1,(MAX(DC41,0)/Inputs!$C$6)^Inputs!$C$29)</f>
        <v>9999.6909834832641</v>
      </c>
      <c r="DA42" s="38">
        <f>Inputs!$C$32*DC41/Inputs!$C$6</f>
        <v>5710.1271178753486</v>
      </c>
      <c r="DB42" s="38">
        <f>Inputs!$C$33</f>
        <v>2000</v>
      </c>
      <c r="DC42" s="38">
        <f t="shared" si="41"/>
        <v>659045.98846164567</v>
      </c>
      <c r="DD42" s="38">
        <f t="shared" si="42"/>
        <v>0</v>
      </c>
      <c r="DE42" s="38">
        <f>Inputs!$C$19*(1-Inputs!$C$73*$H42)+Inputs!$C$21+Inputs!$B$73*$J42</f>
        <v>489437.5</v>
      </c>
      <c r="DF42" s="38">
        <f t="shared" si="43"/>
        <v>169608.48846164567</v>
      </c>
      <c r="DG42" s="38">
        <f t="shared" si="44"/>
        <v>0</v>
      </c>
      <c r="DH42" s="38">
        <f>MAX(0,MIN(Inputs!$D$36,DM41,DI42+DJ42+DK42+Inputs!$D$6-DL41))</f>
        <v>12821.238236854551</v>
      </c>
      <c r="DI42" s="38">
        <f>Inputs!$D$27*(1+Inputs!$D$28)^($A42/12)*IF(Inputs!$B$73=1,$G42,1)*(1-Inputs!$C$73*$H42*(1-Inputs!$E$54*Inputs!$B$73))*(1+$I42)*IF(Inputs!$D$29=0,1,(MAX(DL41,0)/Inputs!$D$6)^Inputs!$D$29)</f>
        <v>7121.2382368545268</v>
      </c>
      <c r="DJ42" s="38">
        <f>Inputs!$D$32*DL41/Inputs!$D$6</f>
        <v>4200</v>
      </c>
      <c r="DK42" s="38">
        <f>Inputs!$D$33</f>
        <v>1500</v>
      </c>
      <c r="DL42" s="38">
        <f t="shared" si="45"/>
        <v>880000</v>
      </c>
      <c r="DM42" s="38">
        <f t="shared" si="46"/>
        <v>390523.05903855641</v>
      </c>
      <c r="DN42" s="38">
        <f>Inputs!$D$19*(1-Inputs!$C$73*$H42)+Inputs!$D$21+Inputs!$B$73*$J42</f>
        <v>401048.95833333331</v>
      </c>
      <c r="DO42" s="38">
        <f t="shared" si="47"/>
        <v>478951.04166666669</v>
      </c>
      <c r="DP42" s="38">
        <f t="shared" si="48"/>
        <v>0</v>
      </c>
    </row>
    <row r="43" spans="1:120" x14ac:dyDescent="0.35">
      <c r="A43" s="29">
        <v>38</v>
      </c>
      <c r="B43" s="34">
        <f>EDATE(Inputs!$B$67,$A43)</f>
        <v>47423</v>
      </c>
      <c r="C43" s="35">
        <f>IF(Inputs!$E$47&lt;=0,Inputs!$E$46,Inputs!$E$44+(Inputs!$E$46-Inputs!$E$44)*MIN($A43/Inputs!$E$47,1))</f>
        <v>0.7</v>
      </c>
      <c r="D43" s="35">
        <f>MIN(Inputs!$E$57,Inputs!$E$55*(1+Inputs!$E$56)^($A43/12))*Inputs!$E$58*(1+Inputs!$E$59)^($A43/12)/Inputs!$E$45</f>
        <v>1.2189561140634837</v>
      </c>
      <c r="E43" s="35">
        <f>MAX(Inputs!$E$44,MIN(C43,D43))</f>
        <v>0.7</v>
      </c>
      <c r="F43" s="35">
        <f>IF(Inputs!$E$50&lt;=0,Inputs!$E$49,Inputs!$E$48+(Inputs!$E$49-Inputs!$E$48)*MIN($A43/Inputs!$E$50,1))</f>
        <v>0.12</v>
      </c>
      <c r="G43" s="36">
        <f>(Inputs!$E$41*(1-E43*Inputs!$E$51)+Inputs!$E$42*(1-F43*Inputs!$E$51))/(Inputs!$E$41*(1-Inputs!$E$44*Inputs!$E$51)+Inputs!$E$42*(1-Inputs!$E$48*Inputs!$E$51))</f>
        <v>0.8423127463863338</v>
      </c>
      <c r="H43" s="35">
        <f>IF(Inputs!$E$53&lt;=0,Inputs!$E$52,Inputs!$E$52*MIN($A43/Inputs!$E$53,1))</f>
        <v>7.9166666666666663E-2</v>
      </c>
      <c r="I43" s="35">
        <f>IF(Inputs!$E$64&lt;=0,Inputs!$E$63,Inputs!$E$62+(Inputs!$E$63-Inputs!$E$62)*MIN($A43/Inputs!$E$64,1))</f>
        <v>0.03</v>
      </c>
      <c r="J43" s="37">
        <f>(E43-Inputs!$E$44)*Inputs!$E$45/Inputs!$E$60*Inputs!$E$61</f>
        <v>5999.9999999999991</v>
      </c>
      <c r="K43" s="29">
        <f t="shared" si="0"/>
        <v>0</v>
      </c>
      <c r="L43" s="29"/>
      <c r="M43" s="38">
        <f>MAX(0,MIN(Inputs!$B$36,R42,N43+O43+P43+Inputs!$B$6-Q42))</f>
        <v>0</v>
      </c>
      <c r="N43" s="38">
        <f>Inputs!$B$27*(1+Inputs!$B$28)^($A43/12)*IF(Inputs!$B$70=1,$G43,1)*(1-Inputs!$C$70*$H43*(1-Inputs!$E$54*Inputs!$B$70))*(1+$I43)*IF(Inputs!$B$29=0,1,(MAX(Q42,0)/Inputs!$B$6)^Inputs!$B$29)</f>
        <v>18031.337022122356</v>
      </c>
      <c r="O43" s="38">
        <f>Inputs!$B$32*Q42/Inputs!$B$6</f>
        <v>1160.5564538419717</v>
      </c>
      <c r="P43" s="38">
        <f>Inputs!$B$33</f>
        <v>2500</v>
      </c>
      <c r="Q43" s="38">
        <f t="shared" si="1"/>
        <v>51380.179543715363</v>
      </c>
      <c r="R43" s="38">
        <f t="shared" si="2"/>
        <v>0</v>
      </c>
      <c r="S43" s="38">
        <f>Inputs!$B$19*(1-Inputs!$C$70*$H43)+Inputs!$B$21+Inputs!$B$70*$J43</f>
        <v>595000</v>
      </c>
      <c r="T43" s="38">
        <f t="shared" si="3"/>
        <v>-543619.82045628468</v>
      </c>
      <c r="U43" s="38">
        <f t="shared" si="4"/>
        <v>1</v>
      </c>
      <c r="V43" s="38">
        <f>MAX(0,MIN(Inputs!$C$36,AA42,W43+X43+Y43+Inputs!$C$6-Z42))</f>
        <v>0</v>
      </c>
      <c r="W43" s="38">
        <f>Inputs!$C$27*(1+Inputs!$C$28)^($A43/12)*IF(Inputs!$B$70=1,$G43,1)*(1-Inputs!$C$70*$H43*(1-Inputs!$E$54*Inputs!$B$70))*(1+$I43)*IF(Inputs!$C$29=0,1,(MAX(Z42,0)/Inputs!$C$6)^Inputs!$C$29)</f>
        <v>12024.161851987554</v>
      </c>
      <c r="X43" s="38">
        <f>Inputs!$C$32*Z42/Inputs!$C$6</f>
        <v>5134.9246584031098</v>
      </c>
      <c r="Y43" s="38">
        <f>Inputs!$C$33</f>
        <v>2000</v>
      </c>
      <c r="Z43" s="38">
        <f t="shared" si="5"/>
        <v>589424.57670775568</v>
      </c>
      <c r="AA43" s="38">
        <f t="shared" si="6"/>
        <v>0</v>
      </c>
      <c r="AB43" s="38">
        <f>Inputs!$C$19*(1-Inputs!$C$70*$H43)+Inputs!$C$21+Inputs!$B$70*$J43</f>
        <v>495000</v>
      </c>
      <c r="AC43" s="38">
        <f t="shared" si="7"/>
        <v>94424.576707755681</v>
      </c>
      <c r="AD43" s="38">
        <f t="shared" si="8"/>
        <v>0</v>
      </c>
      <c r="AE43" s="38">
        <f>MAX(0,MIN(Inputs!$D$36,AJ42,AF43+AG43+AH43+Inputs!$D$6-AI42))</f>
        <v>14455.789420858258</v>
      </c>
      <c r="AF43" s="38">
        <f>Inputs!$D$27*(1+Inputs!$D$28)^($A43/12)*IF(Inputs!$B$70=1,$G43,1)*(1-Inputs!$C$70*$H43*(1-Inputs!$E$54*Inputs!$B$70))*(1+$I43)*IF(Inputs!$D$29=0,1,(MAX(AI42,0)/Inputs!$D$6)^Inputs!$D$29)</f>
        <v>8755.789420858282</v>
      </c>
      <c r="AG43" s="38">
        <f>Inputs!$D$32*AI42/Inputs!$D$6</f>
        <v>4200</v>
      </c>
      <c r="AH43" s="38">
        <f>Inputs!$D$33</f>
        <v>1500</v>
      </c>
      <c r="AI43" s="38">
        <f t="shared" si="9"/>
        <v>880000</v>
      </c>
      <c r="AJ43" s="38">
        <f t="shared" si="10"/>
        <v>336235.68192578759</v>
      </c>
      <c r="AK43" s="38">
        <f>Inputs!$D$19*(1-Inputs!$C$70*$H43)+Inputs!$D$21+Inputs!$B$70*$J43</f>
        <v>404800</v>
      </c>
      <c r="AL43" s="38">
        <f t="shared" si="11"/>
        <v>475200</v>
      </c>
      <c r="AM43" s="38">
        <f t="shared" si="12"/>
        <v>0</v>
      </c>
      <c r="AN43" s="38">
        <f>MAX(0,MIN(Inputs!$B$36,AS42,AO43+AP43+AQ43+Inputs!$B$6-AR42))</f>
        <v>0</v>
      </c>
      <c r="AO43" s="38">
        <f>Inputs!$B$27*(1+Inputs!$B$28)^($A43/12)*IF(Inputs!$B$71=1,$G43,1)*(1-Inputs!$C$71*$H43*(1-Inputs!$E$54*Inputs!$B$71))*(1+$I43)*IF(Inputs!$B$29=0,1,(MAX(AR42,0)/Inputs!$B$6)^Inputs!$B$29)</f>
        <v>15188.025008121458</v>
      </c>
      <c r="AP43" s="38">
        <f>Inputs!$B$32*AR42/Inputs!$B$6</f>
        <v>1978.5388654006822</v>
      </c>
      <c r="AQ43" s="38">
        <f>Inputs!$B$33</f>
        <v>2500</v>
      </c>
      <c r="AR43" s="38">
        <f t="shared" si="13"/>
        <v>104908.10542948377</v>
      </c>
      <c r="AS43" s="38">
        <f t="shared" si="14"/>
        <v>0</v>
      </c>
      <c r="AT43" s="38">
        <f>Inputs!$B$19*(1-Inputs!$C$71*$H43)+Inputs!$B$21+Inputs!$B$71*$J43</f>
        <v>601000</v>
      </c>
      <c r="AU43" s="38">
        <f t="shared" si="15"/>
        <v>-496091.89457051625</v>
      </c>
      <c r="AV43" s="38">
        <f t="shared" si="16"/>
        <v>1</v>
      </c>
      <c r="AW43" s="38">
        <f>MAX(0,MIN(Inputs!$C$36,BB42,AX43+AY43+AZ43+Inputs!$C$6-BA42))</f>
        <v>0</v>
      </c>
      <c r="AX43" s="38">
        <f>Inputs!$C$27*(1+Inputs!$C$28)^($A43/12)*IF(Inputs!$B$71=1,$G43,1)*(1-Inputs!$C$71*$H43*(1-Inputs!$E$54*Inputs!$B$71))*(1+$I43)*IF(Inputs!$C$29=0,1,(MAX(BA42,0)/Inputs!$C$6)^Inputs!$C$29)</f>
        <v>10301.903938320604</v>
      </c>
      <c r="AY43" s="38">
        <f>Inputs!$C$32*BA42/Inputs!$C$6</f>
        <v>5496.5643234315539</v>
      </c>
      <c r="AZ43" s="38">
        <f>Inputs!$C$33</f>
        <v>2000</v>
      </c>
      <c r="BA43" s="38">
        <f t="shared" si="17"/>
        <v>633646.19229309878</v>
      </c>
      <c r="BB43" s="38">
        <f t="shared" si="18"/>
        <v>0</v>
      </c>
      <c r="BC43" s="38">
        <f>Inputs!$C$19*(1-Inputs!$C$71*$H43)+Inputs!$C$21+Inputs!$B$71*$J43</f>
        <v>501000</v>
      </c>
      <c r="BD43" s="38">
        <f t="shared" si="19"/>
        <v>132646.19229309878</v>
      </c>
      <c r="BE43" s="38">
        <f t="shared" si="20"/>
        <v>0</v>
      </c>
      <c r="BF43" s="38">
        <f>MAX(0,MIN(Inputs!$D$36,BK42,BG43+BH43+BI43+Inputs!$D$6-BJ42))</f>
        <v>13075.113033863599</v>
      </c>
      <c r="BG43" s="38">
        <f>Inputs!$D$27*(1+Inputs!$D$28)^($A43/12)*IF(Inputs!$B$71=1,$G43,1)*(1-Inputs!$C$71*$H43*(1-Inputs!$E$54*Inputs!$B$71))*(1+$I43)*IF(Inputs!$D$29=0,1,(MAX(BJ42,0)/Inputs!$D$6)^Inputs!$D$29)</f>
        <v>7375.1130338635458</v>
      </c>
      <c r="BH43" s="38">
        <f>Inputs!$D$32*BJ42/Inputs!$D$6</f>
        <v>4200</v>
      </c>
      <c r="BI43" s="38">
        <f>Inputs!$D$33</f>
        <v>1500</v>
      </c>
      <c r="BJ43" s="38">
        <f t="shared" si="21"/>
        <v>880000</v>
      </c>
      <c r="BK43" s="38">
        <f t="shared" si="22"/>
        <v>371537.86526978191</v>
      </c>
      <c r="BL43" s="38">
        <f>Inputs!$D$19*(1-Inputs!$C$71*$H43)+Inputs!$D$21+Inputs!$B$71*$J43</f>
        <v>410800</v>
      </c>
      <c r="BM43" s="38">
        <f t="shared" si="23"/>
        <v>469200</v>
      </c>
      <c r="BN43" s="38">
        <f t="shared" si="24"/>
        <v>0</v>
      </c>
      <c r="BO43" s="38">
        <f>MAX(0,MIN(Inputs!$B$36,BT42,BP43+BQ43+BR43+Inputs!$B$6-BS42))</f>
        <v>0</v>
      </c>
      <c r="BP43" s="38">
        <f>Inputs!$B$27*(1+Inputs!$B$28)^($A43/12)*IF(Inputs!$B$72=1,$G43,1)*(1-Inputs!$C$72*$H43*(1-Inputs!$E$54*Inputs!$B$72))*(1+$I43)*IF(Inputs!$B$29=0,1,(MAX(BS42,0)/Inputs!$B$6)^Inputs!$B$29)</f>
        <v>16603.856174537668</v>
      </c>
      <c r="BQ43" s="38">
        <f>Inputs!$B$32*BS42/Inputs!$B$6</f>
        <v>1492.8614769181459</v>
      </c>
      <c r="BR43" s="38">
        <f>Inputs!$B$33</f>
        <v>2500</v>
      </c>
      <c r="BS43" s="38">
        <f t="shared" si="25"/>
        <v>73398.264228575601</v>
      </c>
      <c r="BT43" s="38">
        <f t="shared" si="26"/>
        <v>0</v>
      </c>
      <c r="BU43" s="38">
        <f>Inputs!$B$19*(1-Inputs!$C$72*$H43)+Inputs!$B$21+Inputs!$B$72*$J43</f>
        <v>581145.83333333337</v>
      </c>
      <c r="BV43" s="38">
        <f t="shared" si="27"/>
        <v>-507747.56910475774</v>
      </c>
      <c r="BW43" s="38">
        <f t="shared" si="28"/>
        <v>1</v>
      </c>
      <c r="BX43" s="38">
        <f>MAX(0,MIN(Inputs!$C$36,CC42,BY43+BZ43+CA43+Inputs!$C$6-CB42))</f>
        <v>0</v>
      </c>
      <c r="BY43" s="38">
        <f>Inputs!$C$27*(1+Inputs!$C$28)^($A43/12)*IF(Inputs!$B$72=1,$G43,1)*(1-Inputs!$C$72*$H43*(1-Inputs!$E$54*Inputs!$B$72))*(1+$I43)*IF(Inputs!$C$29=0,1,(MAX(CB42,0)/Inputs!$C$6)^Inputs!$C$29)</f>
        <v>11148.975766791049</v>
      </c>
      <c r="BZ43" s="38">
        <f>Inputs!$C$32*CB42/Inputs!$C$6</f>
        <v>5278.7437475398674</v>
      </c>
      <c r="CA43" s="38">
        <f>Inputs!$C$33</f>
        <v>2000</v>
      </c>
      <c r="CB43" s="38">
        <f t="shared" si="29"/>
        <v>607201.16908298689</v>
      </c>
      <c r="CC43" s="38">
        <f t="shared" si="30"/>
        <v>0</v>
      </c>
      <c r="CD43" s="38">
        <f>Inputs!$C$19*(1-Inputs!$C$72*$H43)+Inputs!$C$21+Inputs!$B$72*$J43</f>
        <v>483125</v>
      </c>
      <c r="CE43" s="38">
        <f t="shared" si="31"/>
        <v>124076.16908298689</v>
      </c>
      <c r="CF43" s="38">
        <f t="shared" si="32"/>
        <v>0</v>
      </c>
      <c r="CG43" s="38">
        <f>MAX(0,MIN(Inputs!$D$36,CL42,CH43+CI43+CJ43+Inputs!$D$6-CK42))</f>
        <v>13762.622758373618</v>
      </c>
      <c r="CH43" s="38">
        <f>Inputs!$D$27*(1+Inputs!$D$28)^($A43/12)*IF(Inputs!$B$72=1,$G43,1)*(1-Inputs!$C$72*$H43*(1-Inputs!$E$54*Inputs!$B$72))*(1+$I43)*IF(Inputs!$D$29=0,1,(MAX(CK42,0)/Inputs!$D$6)^Inputs!$D$29)</f>
        <v>8062.6227583736681</v>
      </c>
      <c r="CI43" s="38">
        <f>Inputs!$D$32*CK42/Inputs!$D$6</f>
        <v>4200</v>
      </c>
      <c r="CJ43" s="38">
        <f>Inputs!$D$33</f>
        <v>1500</v>
      </c>
      <c r="CK43" s="38">
        <f t="shared" si="33"/>
        <v>880000</v>
      </c>
      <c r="CL43" s="38">
        <f t="shared" si="34"/>
        <v>350437.9947770657</v>
      </c>
      <c r="CM43" s="38">
        <f>Inputs!$D$19*(1-Inputs!$C$72*$H43)+Inputs!$D$21+Inputs!$B$72*$J43</f>
        <v>394785.41666666669</v>
      </c>
      <c r="CN43" s="38">
        <f t="shared" si="35"/>
        <v>485214.58333333331</v>
      </c>
      <c r="CO43" s="38">
        <f t="shared" si="36"/>
        <v>0</v>
      </c>
      <c r="CP43" s="38">
        <f>MAX(0,MIN(Inputs!$B$36,CU42,CQ43+CR43+CS43+Inputs!$B$6-CT42))</f>
        <v>0</v>
      </c>
      <c r="CQ43" s="38">
        <f>Inputs!$B$27*(1+Inputs!$B$28)^($A43/12)*IF(Inputs!$B$73=1,$G43,1)*(1-Inputs!$C$73*$H43*(1-Inputs!$E$54*Inputs!$B$73))*(1+$I43)*IF(Inputs!$B$29=0,1,(MAX(CT42,0)/Inputs!$B$6)^Inputs!$B$29)</f>
        <v>14586.832351549983</v>
      </c>
      <c r="CR43" s="38">
        <f>Inputs!$B$32*CT42/Inputs!$B$6</f>
        <v>2122.7799283388772</v>
      </c>
      <c r="CS43" s="38">
        <f>Inputs!$B$33</f>
        <v>2500</v>
      </c>
      <c r="CT43" s="38">
        <f t="shared" si="37"/>
        <v>114446.90172663305</v>
      </c>
      <c r="CU43" s="38">
        <f t="shared" si="38"/>
        <v>0</v>
      </c>
      <c r="CV43" s="38">
        <f>Inputs!$B$19*(1-Inputs!$C$73*$H43)+Inputs!$B$21+Inputs!$B$73*$J43</f>
        <v>587145.83333333337</v>
      </c>
      <c r="CW43" s="38">
        <f t="shared" si="39"/>
        <v>-472698.93160670029</v>
      </c>
      <c r="CX43" s="38">
        <f t="shared" si="40"/>
        <v>1</v>
      </c>
      <c r="CY43" s="38">
        <f>MAX(0,MIN(Inputs!$C$36,DD42,CZ43+DA43+DB43+Inputs!$C$6-DC42))</f>
        <v>0</v>
      </c>
      <c r="CZ43" s="38">
        <f>Inputs!$C$27*(1+Inputs!$C$28)^($A43/12)*IF(Inputs!$B$73=1,$G43,1)*(1-Inputs!$C$73*$H43*(1-Inputs!$E$54*Inputs!$B$73))*(1+$I43)*IF(Inputs!$C$29=0,1,(MAX(DC42,0)/Inputs!$C$6)^Inputs!$C$29)</f>
        <v>9922.8569825875147</v>
      </c>
      <c r="DA43" s="38">
        <f>Inputs!$C$32*DC42/Inputs!$C$6</f>
        <v>5560.7005276451346</v>
      </c>
      <c r="DB43" s="38">
        <f>Inputs!$C$33</f>
        <v>2000</v>
      </c>
      <c r="DC43" s="38">
        <f t="shared" si="41"/>
        <v>641562.430951413</v>
      </c>
      <c r="DD43" s="38">
        <f t="shared" si="42"/>
        <v>0</v>
      </c>
      <c r="DE43" s="38">
        <f>Inputs!$C$19*(1-Inputs!$C$73*$H43)+Inputs!$C$21+Inputs!$B$73*$J43</f>
        <v>489125</v>
      </c>
      <c r="DF43" s="38">
        <f t="shared" si="43"/>
        <v>152437.430951413</v>
      </c>
      <c r="DG43" s="38">
        <f t="shared" si="44"/>
        <v>0</v>
      </c>
      <c r="DH43" s="38">
        <f>MAX(0,MIN(Inputs!$D$36,DM42,DI43+DJ43+DK43+Inputs!$D$6-DL42))</f>
        <v>12783.181476273108</v>
      </c>
      <c r="DI43" s="38">
        <f>Inputs!$D$27*(1+Inputs!$D$28)^($A43/12)*IF(Inputs!$B$73=1,$G43,1)*(1-Inputs!$C$73*$H43*(1-Inputs!$E$54*Inputs!$B$73))*(1+$I43)*IF(Inputs!$D$29=0,1,(MAX(DL42,0)/Inputs!$D$6)^Inputs!$D$29)</f>
        <v>7083.1814762731137</v>
      </c>
      <c r="DJ43" s="38">
        <f>Inputs!$D$32*DL42/Inputs!$D$6</f>
        <v>4200</v>
      </c>
      <c r="DK43" s="38">
        <f>Inputs!$D$33</f>
        <v>1500</v>
      </c>
      <c r="DL43" s="38">
        <f t="shared" si="45"/>
        <v>880000</v>
      </c>
      <c r="DM43" s="38">
        <f t="shared" si="46"/>
        <v>377739.87756228331</v>
      </c>
      <c r="DN43" s="38">
        <f>Inputs!$D$19*(1-Inputs!$C$73*$H43)+Inputs!$D$21+Inputs!$B$73*$J43</f>
        <v>400785.41666666669</v>
      </c>
      <c r="DO43" s="38">
        <f t="shared" si="47"/>
        <v>479214.58333333331</v>
      </c>
      <c r="DP43" s="38">
        <f t="shared" si="48"/>
        <v>0</v>
      </c>
    </row>
    <row r="44" spans="1:120" x14ac:dyDescent="0.35">
      <c r="A44" s="29">
        <v>39</v>
      </c>
      <c r="B44" s="34">
        <f>EDATE(Inputs!$B$67,$A44)</f>
        <v>47453</v>
      </c>
      <c r="C44" s="35">
        <f>IF(Inputs!$E$47&lt;=0,Inputs!$E$46,Inputs!$E$44+(Inputs!$E$46-Inputs!$E$44)*MIN($A44/Inputs!$E$47,1))</f>
        <v>0.7</v>
      </c>
      <c r="D44" s="35">
        <f>MIN(Inputs!$E$57,Inputs!$E$55*(1+Inputs!$E$56)^($A44/12))*Inputs!$E$58*(1+Inputs!$E$59)^($A44/12)/Inputs!$E$45</f>
        <v>1.2536185399465929</v>
      </c>
      <c r="E44" s="35">
        <f>MAX(Inputs!$E$44,MIN(C44,D44))</f>
        <v>0.7</v>
      </c>
      <c r="F44" s="35">
        <f>IF(Inputs!$E$50&lt;=0,Inputs!$E$49,Inputs!$E$48+(Inputs!$E$49-Inputs!$E$48)*MIN($A44/Inputs!$E$50,1))</f>
        <v>0.12</v>
      </c>
      <c r="G44" s="36">
        <f>(Inputs!$E$41*(1-E44*Inputs!$E$51)+Inputs!$E$42*(1-F44*Inputs!$E$51))/(Inputs!$E$41*(1-Inputs!$E$44*Inputs!$E$51)+Inputs!$E$42*(1-Inputs!$E$48*Inputs!$E$51))</f>
        <v>0.8423127463863338</v>
      </c>
      <c r="H44" s="35">
        <f>IF(Inputs!$E$53&lt;=0,Inputs!$E$52,Inputs!$E$52*MIN($A44/Inputs!$E$53,1))</f>
        <v>8.1250000000000003E-2</v>
      </c>
      <c r="I44" s="35">
        <f>IF(Inputs!$E$64&lt;=0,Inputs!$E$63,Inputs!$E$62+(Inputs!$E$63-Inputs!$E$62)*MIN($A44/Inputs!$E$64,1))</f>
        <v>0.03</v>
      </c>
      <c r="J44" s="37">
        <f>(E44-Inputs!$E$44)*Inputs!$E$45/Inputs!$E$60*Inputs!$E$61</f>
        <v>5999.9999999999991</v>
      </c>
      <c r="K44" s="29">
        <f t="shared" si="0"/>
        <v>0</v>
      </c>
      <c r="L44" s="29"/>
      <c r="M44" s="38">
        <f>MAX(0,MIN(Inputs!$B$36,R43,N44+O44+P44+Inputs!$B$6-Q43))</f>
        <v>0</v>
      </c>
      <c r="N44" s="38">
        <f>Inputs!$B$27*(1+Inputs!$B$28)^($A44/12)*IF(Inputs!$B$70=1,$G44,1)*(1-Inputs!$C$70*$H44*(1-Inputs!$E$54*Inputs!$B$70))*(1+$I44)*IF(Inputs!$B$29=0,1,(MAX(Q43,0)/Inputs!$B$6)^Inputs!$B$29)</f>
        <v>18104.798921135167</v>
      </c>
      <c r="O44" s="38">
        <f>Inputs!$B$32*Q43/Inputs!$B$6</f>
        <v>816.03814569430278</v>
      </c>
      <c r="P44" s="38">
        <f>Inputs!$B$33</f>
        <v>2500</v>
      </c>
      <c r="Q44" s="38">
        <f t="shared" si="1"/>
        <v>29959.342476885893</v>
      </c>
      <c r="R44" s="38">
        <f t="shared" si="2"/>
        <v>0</v>
      </c>
      <c r="S44" s="38">
        <f>Inputs!$B$19*(1-Inputs!$C$70*$H44)+Inputs!$B$21+Inputs!$B$70*$J44</f>
        <v>595000</v>
      </c>
      <c r="T44" s="38">
        <f t="shared" si="3"/>
        <v>-565040.65752311412</v>
      </c>
      <c r="U44" s="38">
        <f t="shared" si="4"/>
        <v>1</v>
      </c>
      <c r="V44" s="38">
        <f>MAX(0,MIN(Inputs!$C$36,AA43,W44+X44+Y44+Inputs!$C$6-Z43))</f>
        <v>0</v>
      </c>
      <c r="W44" s="38">
        <f>Inputs!$C$27*(1+Inputs!$C$28)^($A44/12)*IF(Inputs!$B$70=1,$G44,1)*(1-Inputs!$C$70*$H44*(1-Inputs!$E$54*Inputs!$B$70))*(1+$I44)*IF(Inputs!$C$29=0,1,(MAX(Z43,0)/Inputs!$C$6)^Inputs!$C$29)</f>
        <v>11928.389204934152</v>
      </c>
      <c r="X44" s="38">
        <f>Inputs!$C$32*Z43/Inputs!$C$6</f>
        <v>4973.269865971688</v>
      </c>
      <c r="Y44" s="38">
        <f>Inputs!$C$33</f>
        <v>2000</v>
      </c>
      <c r="Z44" s="38">
        <f t="shared" si="5"/>
        <v>570522.91763684992</v>
      </c>
      <c r="AA44" s="38">
        <f t="shared" si="6"/>
        <v>0</v>
      </c>
      <c r="AB44" s="38">
        <f>Inputs!$C$19*(1-Inputs!$C$70*$H44)+Inputs!$C$21+Inputs!$B$70*$J44</f>
        <v>495000</v>
      </c>
      <c r="AC44" s="38">
        <f t="shared" si="7"/>
        <v>75522.917636849917</v>
      </c>
      <c r="AD44" s="38">
        <f t="shared" si="8"/>
        <v>0</v>
      </c>
      <c r="AE44" s="38">
        <f>MAX(0,MIN(Inputs!$D$36,AJ43,AF44+AG44+AH44+Inputs!$D$6-AI43))</f>
        <v>14418.443187829107</v>
      </c>
      <c r="AF44" s="38">
        <f>Inputs!$D$27*(1+Inputs!$D$28)^($A44/12)*IF(Inputs!$B$70=1,$G44,1)*(1-Inputs!$C$70*$H44*(1-Inputs!$E$54*Inputs!$B$70))*(1+$I44)*IF(Inputs!$D$29=0,1,(MAX(AI43,0)/Inputs!$D$6)^Inputs!$D$29)</f>
        <v>8718.4431878291289</v>
      </c>
      <c r="AG44" s="38">
        <f>Inputs!$D$32*AI43/Inputs!$D$6</f>
        <v>4200</v>
      </c>
      <c r="AH44" s="38">
        <f>Inputs!$D$33</f>
        <v>1500</v>
      </c>
      <c r="AI44" s="38">
        <f t="shared" si="9"/>
        <v>880000</v>
      </c>
      <c r="AJ44" s="38">
        <f t="shared" si="10"/>
        <v>321817.23873795848</v>
      </c>
      <c r="AK44" s="38">
        <f>Inputs!$D$19*(1-Inputs!$C$70*$H44)+Inputs!$D$21+Inputs!$B$70*$J44</f>
        <v>404800</v>
      </c>
      <c r="AL44" s="38">
        <f t="shared" si="11"/>
        <v>475200</v>
      </c>
      <c r="AM44" s="38">
        <f t="shared" si="12"/>
        <v>0</v>
      </c>
      <c r="AN44" s="38">
        <f>MAX(0,MIN(Inputs!$B$36,AS43,AO44+AP44+AQ44+Inputs!$B$6-AR43))</f>
        <v>0</v>
      </c>
      <c r="AO44" s="38">
        <f>Inputs!$B$27*(1+Inputs!$B$28)^($A44/12)*IF(Inputs!$B$71=1,$G44,1)*(1-Inputs!$C$71*$H44*(1-Inputs!$E$54*Inputs!$B$71))*(1+$I44)*IF(Inputs!$B$29=0,1,(MAX(AR43,0)/Inputs!$B$6)^Inputs!$B$29)</f>
        <v>15249.902902033695</v>
      </c>
      <c r="AP44" s="38">
        <f>Inputs!$B$32*AR43/Inputs!$B$6</f>
        <v>1666.1875568212126</v>
      </c>
      <c r="AQ44" s="38">
        <f>Inputs!$B$33</f>
        <v>2500</v>
      </c>
      <c r="AR44" s="38">
        <f t="shared" si="13"/>
        <v>85492.014970628865</v>
      </c>
      <c r="AS44" s="38">
        <f t="shared" si="14"/>
        <v>0</v>
      </c>
      <c r="AT44" s="38">
        <f>Inputs!$B$19*(1-Inputs!$C$71*$H44)+Inputs!$B$21+Inputs!$B$71*$J44</f>
        <v>601000</v>
      </c>
      <c r="AU44" s="38">
        <f t="shared" si="15"/>
        <v>-515507.98502937111</v>
      </c>
      <c r="AV44" s="38">
        <f t="shared" si="16"/>
        <v>1</v>
      </c>
      <c r="AW44" s="38">
        <f>MAX(0,MIN(Inputs!$C$36,BB43,AX44+AY44+AZ44+Inputs!$C$6-BA43))</f>
        <v>0</v>
      </c>
      <c r="AX44" s="38">
        <f>Inputs!$C$27*(1+Inputs!$C$28)^($A44/12)*IF(Inputs!$B$71=1,$G44,1)*(1-Inputs!$C$71*$H44*(1-Inputs!$E$54*Inputs!$B$71))*(1+$I44)*IF(Inputs!$C$29=0,1,(MAX(BA43,0)/Inputs!$C$6)^Inputs!$C$29)</f>
        <v>10230.805330286687</v>
      </c>
      <c r="AY44" s="38">
        <f>Inputs!$C$32*BA43/Inputs!$C$6</f>
        <v>5346.3897474730202</v>
      </c>
      <c r="AZ44" s="38">
        <f>Inputs!$C$33</f>
        <v>2000</v>
      </c>
      <c r="BA44" s="38">
        <f t="shared" si="17"/>
        <v>616068.99721533898</v>
      </c>
      <c r="BB44" s="38">
        <f t="shared" si="18"/>
        <v>0</v>
      </c>
      <c r="BC44" s="38">
        <f>Inputs!$C$19*(1-Inputs!$C$71*$H44)+Inputs!$C$21+Inputs!$B$71*$J44</f>
        <v>501000</v>
      </c>
      <c r="BD44" s="38">
        <f t="shared" si="19"/>
        <v>115068.99721533898</v>
      </c>
      <c r="BE44" s="38">
        <f t="shared" si="20"/>
        <v>0</v>
      </c>
      <c r="BF44" s="38">
        <f>MAX(0,MIN(Inputs!$D$36,BK43,BG44+BH44+BI44+Inputs!$D$6-BJ43))</f>
        <v>13043.65582575358</v>
      </c>
      <c r="BG44" s="38">
        <f>Inputs!$D$27*(1+Inputs!$D$28)^($A44/12)*IF(Inputs!$B$71=1,$G44,1)*(1-Inputs!$C$71*$H44*(1-Inputs!$E$54*Inputs!$B$71))*(1+$I44)*IF(Inputs!$D$29=0,1,(MAX(BJ43,0)/Inputs!$D$6)^Inputs!$D$29)</f>
        <v>7343.6558257535762</v>
      </c>
      <c r="BH44" s="38">
        <f>Inputs!$D$32*BJ43/Inputs!$D$6</f>
        <v>4200</v>
      </c>
      <c r="BI44" s="38">
        <f>Inputs!$D$33</f>
        <v>1500</v>
      </c>
      <c r="BJ44" s="38">
        <f t="shared" si="21"/>
        <v>880000</v>
      </c>
      <c r="BK44" s="38">
        <f t="shared" si="22"/>
        <v>358494.20944402833</v>
      </c>
      <c r="BL44" s="38">
        <f>Inputs!$D$19*(1-Inputs!$C$71*$H44)+Inputs!$D$21+Inputs!$B$71*$J44</f>
        <v>410800</v>
      </c>
      <c r="BM44" s="38">
        <f t="shared" si="23"/>
        <v>469200</v>
      </c>
      <c r="BN44" s="38">
        <f t="shared" si="24"/>
        <v>0</v>
      </c>
      <c r="BO44" s="38">
        <f>MAX(0,MIN(Inputs!$B$36,BT43,BP44+BQ44+BR44+Inputs!$B$6-BS43))</f>
        <v>0</v>
      </c>
      <c r="BP44" s="38">
        <f>Inputs!$B$27*(1+Inputs!$B$28)^($A44/12)*IF(Inputs!$B$72=1,$G44,1)*(1-Inputs!$C$72*$H44*(1-Inputs!$E$54*Inputs!$B$72))*(1+$I44)*IF(Inputs!$B$29=0,1,(MAX(BS43,0)/Inputs!$B$6)^Inputs!$B$29)</f>
        <v>16633.784008792933</v>
      </c>
      <c r="BQ44" s="38">
        <f>Inputs!$B$32*BS43/Inputs!$B$6</f>
        <v>1165.7371377479656</v>
      </c>
      <c r="BR44" s="38">
        <f>Inputs!$B$33</f>
        <v>2500</v>
      </c>
      <c r="BS44" s="38">
        <f t="shared" si="25"/>
        <v>53098.7430820347</v>
      </c>
      <c r="BT44" s="38">
        <f t="shared" si="26"/>
        <v>0</v>
      </c>
      <c r="BU44" s="38">
        <f>Inputs!$B$19*(1-Inputs!$C$72*$H44)+Inputs!$B$21+Inputs!$B$72*$J44</f>
        <v>580781.25</v>
      </c>
      <c r="BV44" s="38">
        <f t="shared" si="27"/>
        <v>-527682.50691796525</v>
      </c>
      <c r="BW44" s="38">
        <f t="shared" si="28"/>
        <v>1</v>
      </c>
      <c r="BX44" s="38">
        <f>MAX(0,MIN(Inputs!$C$36,CC43,BY44+BZ44+CA44+Inputs!$C$6-CB43))</f>
        <v>0</v>
      </c>
      <c r="BY44" s="38">
        <f>Inputs!$C$27*(1+Inputs!$C$28)^($A44/12)*IF(Inputs!$B$72=1,$G44,1)*(1-Inputs!$C$72*$H44*(1-Inputs!$E$54*Inputs!$B$72))*(1+$I44)*IF(Inputs!$C$29=0,1,(MAX(CB43,0)/Inputs!$C$6)^Inputs!$C$29)</f>
        <v>11040.91948471117</v>
      </c>
      <c r="BZ44" s="38">
        <f>Inputs!$C$32*CB43/Inputs!$C$6</f>
        <v>5123.2598641377017</v>
      </c>
      <c r="CA44" s="38">
        <f>Inputs!$C$33</f>
        <v>2000</v>
      </c>
      <c r="CB44" s="38">
        <f t="shared" si="29"/>
        <v>589036.98973413801</v>
      </c>
      <c r="CC44" s="38">
        <f t="shared" si="30"/>
        <v>0</v>
      </c>
      <c r="CD44" s="38">
        <f>Inputs!$C$19*(1-Inputs!$C$72*$H44)+Inputs!$C$21+Inputs!$B$72*$J44</f>
        <v>482812.5</v>
      </c>
      <c r="CE44" s="38">
        <f t="shared" si="31"/>
        <v>106224.48973413801</v>
      </c>
      <c r="CF44" s="38">
        <f t="shared" si="32"/>
        <v>0</v>
      </c>
      <c r="CG44" s="38">
        <f>MAX(0,MIN(Inputs!$D$36,CL43,CH44+CI44+CJ44+Inputs!$D$6-CK43))</f>
        <v>13710.069678817992</v>
      </c>
      <c r="CH44" s="38">
        <f>Inputs!$D$27*(1+Inputs!$D$28)^($A44/12)*IF(Inputs!$B$72=1,$G44,1)*(1-Inputs!$C$72*$H44*(1-Inputs!$E$54*Inputs!$B$72))*(1+$I44)*IF(Inputs!$D$29=0,1,(MAX(CK43,0)/Inputs!$D$6)^Inputs!$D$29)</f>
        <v>8010.0696788180112</v>
      </c>
      <c r="CI44" s="38">
        <f>Inputs!$D$32*CK43/Inputs!$D$6</f>
        <v>4200</v>
      </c>
      <c r="CJ44" s="38">
        <f>Inputs!$D$33</f>
        <v>1500</v>
      </c>
      <c r="CK44" s="38">
        <f t="shared" si="33"/>
        <v>880000</v>
      </c>
      <c r="CL44" s="38">
        <f t="shared" si="34"/>
        <v>336727.92509824771</v>
      </c>
      <c r="CM44" s="38">
        <f>Inputs!$D$19*(1-Inputs!$C$72*$H44)+Inputs!$D$21+Inputs!$B$72*$J44</f>
        <v>394521.875</v>
      </c>
      <c r="CN44" s="38">
        <f t="shared" si="35"/>
        <v>485478.125</v>
      </c>
      <c r="CO44" s="38">
        <f t="shared" si="36"/>
        <v>0</v>
      </c>
      <c r="CP44" s="38">
        <f>MAX(0,MIN(Inputs!$B$36,CU43,CQ44+CR44+CS44+Inputs!$B$6-CT43))</f>
        <v>0</v>
      </c>
      <c r="CQ44" s="38">
        <f>Inputs!$B$27*(1+Inputs!$B$28)^($A44/12)*IF(Inputs!$B$73=1,$G44,1)*(1-Inputs!$C$73*$H44*(1-Inputs!$E$54*Inputs!$B$73))*(1+$I44)*IF(Inputs!$B$29=0,1,(MAX(CT43,0)/Inputs!$B$6)^Inputs!$B$29)</f>
        <v>14630.375596638576</v>
      </c>
      <c r="CR44" s="38">
        <f>Inputs!$B$32*CT43/Inputs!$B$6</f>
        <v>1817.6860862465248</v>
      </c>
      <c r="CS44" s="38">
        <f>Inputs!$B$33</f>
        <v>2500</v>
      </c>
      <c r="CT44" s="38">
        <f t="shared" si="37"/>
        <v>95498.840043747943</v>
      </c>
      <c r="CU44" s="38">
        <f t="shared" si="38"/>
        <v>0</v>
      </c>
      <c r="CV44" s="38">
        <f>Inputs!$B$19*(1-Inputs!$C$73*$H44)+Inputs!$B$21+Inputs!$B$73*$J44</f>
        <v>586781.25</v>
      </c>
      <c r="CW44" s="38">
        <f t="shared" si="39"/>
        <v>-491282.40995625209</v>
      </c>
      <c r="CX44" s="38">
        <f t="shared" si="40"/>
        <v>1</v>
      </c>
      <c r="CY44" s="38">
        <f>MAX(0,MIN(Inputs!$C$36,DD43,CZ44+DA44+DB44+Inputs!$C$6-DC43))</f>
        <v>0</v>
      </c>
      <c r="CZ44" s="38">
        <f>Inputs!$C$27*(1+Inputs!$C$28)^($A44/12)*IF(Inputs!$B$73=1,$G44,1)*(1-Inputs!$C$73*$H44*(1-Inputs!$E$54*Inputs!$B$73))*(1+$I44)*IF(Inputs!$C$29=0,1,(MAX(DC43,0)/Inputs!$C$6)^Inputs!$C$29)</f>
        <v>9845.6919140882255</v>
      </c>
      <c r="DA44" s="38">
        <f>Inputs!$C$32*DC43/Inputs!$C$6</f>
        <v>5413.183011152546</v>
      </c>
      <c r="DB44" s="38">
        <f>Inputs!$C$33</f>
        <v>2000</v>
      </c>
      <c r="DC44" s="38">
        <f t="shared" si="41"/>
        <v>624303.55602617224</v>
      </c>
      <c r="DD44" s="38">
        <f t="shared" si="42"/>
        <v>0</v>
      </c>
      <c r="DE44" s="38">
        <f>Inputs!$C$19*(1-Inputs!$C$73*$H44)+Inputs!$C$21+Inputs!$B$73*$J44</f>
        <v>488812.5</v>
      </c>
      <c r="DF44" s="38">
        <f t="shared" si="43"/>
        <v>135491.05602617224</v>
      </c>
      <c r="DG44" s="38">
        <f t="shared" si="44"/>
        <v>0</v>
      </c>
      <c r="DH44" s="38">
        <f>MAX(0,MIN(Inputs!$D$36,DM43,DI44+DJ44+DK44+Inputs!$D$6-DL43))</f>
        <v>12745.319807832362</v>
      </c>
      <c r="DI44" s="38">
        <f>Inputs!$D$27*(1+Inputs!$D$28)^($A44/12)*IF(Inputs!$B$73=1,$G44,1)*(1-Inputs!$C$73*$H44*(1-Inputs!$E$54*Inputs!$B$73))*(1+$I44)*IF(Inputs!$D$29=0,1,(MAX(DL43,0)/Inputs!$D$6)^Inputs!$D$29)</f>
        <v>7045.3198078323376</v>
      </c>
      <c r="DJ44" s="38">
        <f>Inputs!$D$32*DL43/Inputs!$D$6</f>
        <v>4200</v>
      </c>
      <c r="DK44" s="38">
        <f>Inputs!$D$33</f>
        <v>1500</v>
      </c>
      <c r="DL44" s="38">
        <f t="shared" si="45"/>
        <v>880000</v>
      </c>
      <c r="DM44" s="38">
        <f t="shared" si="46"/>
        <v>364994.55775445094</v>
      </c>
      <c r="DN44" s="38">
        <f>Inputs!$D$19*(1-Inputs!$C$73*$H44)+Inputs!$D$21+Inputs!$B$73*$J44</f>
        <v>400521.875</v>
      </c>
      <c r="DO44" s="38">
        <f t="shared" si="47"/>
        <v>479478.125</v>
      </c>
      <c r="DP44" s="38">
        <f t="shared" si="48"/>
        <v>0</v>
      </c>
    </row>
    <row r="45" spans="1:120" x14ac:dyDescent="0.35">
      <c r="A45" s="29">
        <v>40</v>
      </c>
      <c r="B45" s="34">
        <f>EDATE(Inputs!$B$67,$A45)</f>
        <v>47484</v>
      </c>
      <c r="C45" s="35">
        <f>IF(Inputs!$E$47&lt;=0,Inputs!$E$46,Inputs!$E$44+(Inputs!$E$46-Inputs!$E$44)*MIN($A45/Inputs!$E$47,1))</f>
        <v>0.7</v>
      </c>
      <c r="D45" s="35">
        <f>MIN(Inputs!$E$57,Inputs!$E$55*(1+Inputs!$E$56)^($A45/12))*Inputs!$E$58*(1+Inputs!$E$59)^($A45/12)/Inputs!$E$45</f>
        <v>1.2892666319699679</v>
      </c>
      <c r="E45" s="35">
        <f>MAX(Inputs!$E$44,MIN(C45,D45))</f>
        <v>0.7</v>
      </c>
      <c r="F45" s="35">
        <f>IF(Inputs!$E$50&lt;=0,Inputs!$E$49,Inputs!$E$48+(Inputs!$E$49-Inputs!$E$48)*MIN($A45/Inputs!$E$50,1))</f>
        <v>0.12</v>
      </c>
      <c r="G45" s="36">
        <f>(Inputs!$E$41*(1-E45*Inputs!$E$51)+Inputs!$E$42*(1-F45*Inputs!$E$51))/(Inputs!$E$41*(1-Inputs!$E$44*Inputs!$E$51)+Inputs!$E$42*(1-Inputs!$E$48*Inputs!$E$51))</f>
        <v>0.8423127463863338</v>
      </c>
      <c r="H45" s="35">
        <f>IF(Inputs!$E$53&lt;=0,Inputs!$E$52,Inputs!$E$52*MIN($A45/Inputs!$E$53,1))</f>
        <v>8.3333333333333343E-2</v>
      </c>
      <c r="I45" s="35">
        <f>IF(Inputs!$E$64&lt;=0,Inputs!$E$63,Inputs!$E$62+(Inputs!$E$63-Inputs!$E$62)*MIN($A45/Inputs!$E$64,1))</f>
        <v>0.03</v>
      </c>
      <c r="J45" s="37">
        <f>(E45-Inputs!$E$44)*Inputs!$E$45/Inputs!$E$60*Inputs!$E$61</f>
        <v>5999.9999999999991</v>
      </c>
      <c r="K45" s="29">
        <f t="shared" si="0"/>
        <v>0</v>
      </c>
      <c r="L45" s="29"/>
      <c r="M45" s="38">
        <f>MAX(0,MIN(Inputs!$B$36,R44,N45+O45+P45+Inputs!$B$6-Q44))</f>
        <v>0</v>
      </c>
      <c r="N45" s="38">
        <f>Inputs!$B$27*(1+Inputs!$B$28)^($A45/12)*IF(Inputs!$B$70=1,$G45,1)*(1-Inputs!$C$70*$H45*(1-Inputs!$E$54*Inputs!$B$70))*(1+$I45)*IF(Inputs!$B$29=0,1,(MAX(Q44,0)/Inputs!$B$6)^Inputs!$B$29)</f>
        <v>18178.560113017931</v>
      </c>
      <c r="O45" s="38">
        <f>Inputs!$B$32*Q44/Inputs!$B$6</f>
        <v>475.82485110348182</v>
      </c>
      <c r="P45" s="38">
        <f>Inputs!$B$33</f>
        <v>2500</v>
      </c>
      <c r="Q45" s="38">
        <f t="shared" si="1"/>
        <v>8804.9575127644803</v>
      </c>
      <c r="R45" s="38">
        <f t="shared" si="2"/>
        <v>0</v>
      </c>
      <c r="S45" s="38">
        <f>Inputs!$B$19*(1-Inputs!$C$70*$H45)+Inputs!$B$21+Inputs!$B$70*$J45</f>
        <v>595000</v>
      </c>
      <c r="T45" s="38">
        <f t="shared" si="3"/>
        <v>-586195.04248723551</v>
      </c>
      <c r="U45" s="38">
        <f t="shared" si="4"/>
        <v>1</v>
      </c>
      <c r="V45" s="38">
        <f>MAX(0,MIN(Inputs!$C$36,AA44,W45+X45+Y45+Inputs!$C$6-Z44))</f>
        <v>0</v>
      </c>
      <c r="W45" s="38">
        <f>Inputs!$C$27*(1+Inputs!$C$28)^($A45/12)*IF(Inputs!$B$70=1,$G45,1)*(1-Inputs!$C$70*$H45*(1-Inputs!$E$54*Inputs!$B$70))*(1+$I45)*IF(Inputs!$C$29=0,1,(MAX(Z44,0)/Inputs!$C$6)^Inputs!$C$29)</f>
        <v>11831.587355946715</v>
      </c>
      <c r="X45" s="38">
        <f>Inputs!$C$32*Z44/Inputs!$C$6</f>
        <v>4813.7871175609207</v>
      </c>
      <c r="Y45" s="38">
        <f>Inputs!$C$33</f>
        <v>2000</v>
      </c>
      <c r="Z45" s="38">
        <f t="shared" si="5"/>
        <v>551877.54316334228</v>
      </c>
      <c r="AA45" s="38">
        <f t="shared" si="6"/>
        <v>0</v>
      </c>
      <c r="AB45" s="38">
        <f>Inputs!$C$19*(1-Inputs!$C$70*$H45)+Inputs!$C$21+Inputs!$B$70*$J45</f>
        <v>495000</v>
      </c>
      <c r="AC45" s="38">
        <f t="shared" si="7"/>
        <v>56877.543163342285</v>
      </c>
      <c r="AD45" s="38">
        <f t="shared" si="8"/>
        <v>0</v>
      </c>
      <c r="AE45" s="38">
        <f>MAX(0,MIN(Inputs!$D$36,AJ44,AF45+AG45+AH45+Inputs!$D$6-AI44))</f>
        <v>14381.256248389021</v>
      </c>
      <c r="AF45" s="38">
        <f>Inputs!$D$27*(1+Inputs!$D$28)^($A45/12)*IF(Inputs!$B$70=1,$G45,1)*(1-Inputs!$C$70*$H45*(1-Inputs!$E$54*Inputs!$B$70))*(1+$I45)*IF(Inputs!$D$29=0,1,(MAX(AI44,0)/Inputs!$D$6)^Inputs!$D$29)</f>
        <v>8681.2562483889833</v>
      </c>
      <c r="AG45" s="38">
        <f>Inputs!$D$32*AI44/Inputs!$D$6</f>
        <v>4200</v>
      </c>
      <c r="AH45" s="38">
        <f>Inputs!$D$33</f>
        <v>1500</v>
      </c>
      <c r="AI45" s="38">
        <f t="shared" si="9"/>
        <v>880000</v>
      </c>
      <c r="AJ45" s="38">
        <f t="shared" si="10"/>
        <v>307435.98248956946</v>
      </c>
      <c r="AK45" s="38">
        <f>Inputs!$D$19*(1-Inputs!$C$70*$H45)+Inputs!$D$21+Inputs!$B$70*$J45</f>
        <v>404800</v>
      </c>
      <c r="AL45" s="38">
        <f t="shared" si="11"/>
        <v>475200</v>
      </c>
      <c r="AM45" s="38">
        <f t="shared" si="12"/>
        <v>0</v>
      </c>
      <c r="AN45" s="38">
        <f>MAX(0,MIN(Inputs!$B$36,AS44,AO45+AP45+AQ45+Inputs!$B$6-AR44))</f>
        <v>0</v>
      </c>
      <c r="AO45" s="38">
        <f>Inputs!$B$27*(1+Inputs!$B$28)^($A45/12)*IF(Inputs!$B$71=1,$G45,1)*(1-Inputs!$C$71*$H45*(1-Inputs!$E$54*Inputs!$B$71))*(1+$I45)*IF(Inputs!$B$29=0,1,(MAX(AR44,0)/Inputs!$B$6)^Inputs!$B$29)</f>
        <v>15312.032894145197</v>
      </c>
      <c r="AP45" s="38">
        <f>Inputs!$B$32*AR44/Inputs!$B$6</f>
        <v>1357.8143554158701</v>
      </c>
      <c r="AQ45" s="38">
        <f>Inputs!$B$33</f>
        <v>2500</v>
      </c>
      <c r="AR45" s="38">
        <f t="shared" si="13"/>
        <v>66322.167721067788</v>
      </c>
      <c r="AS45" s="38">
        <f t="shared" si="14"/>
        <v>0</v>
      </c>
      <c r="AT45" s="38">
        <f>Inputs!$B$19*(1-Inputs!$C$71*$H45)+Inputs!$B$21+Inputs!$B$71*$J45</f>
        <v>601000</v>
      </c>
      <c r="AU45" s="38">
        <f t="shared" si="15"/>
        <v>-534677.83227893221</v>
      </c>
      <c r="AV45" s="38">
        <f t="shared" si="16"/>
        <v>1</v>
      </c>
      <c r="AW45" s="38">
        <f>MAX(0,MIN(Inputs!$C$36,BB44,AX45+AY45+AZ45+Inputs!$C$6-BA44))</f>
        <v>0</v>
      </c>
      <c r="AX45" s="38">
        <f>Inputs!$C$27*(1+Inputs!$C$28)^($A45/12)*IF(Inputs!$B$71=1,$G45,1)*(1-Inputs!$C$71*$H45*(1-Inputs!$E$54*Inputs!$B$71))*(1+$I45)*IF(Inputs!$C$29=0,1,(MAX(BA44,0)/Inputs!$C$6)^Inputs!$C$29)</f>
        <v>10159.105075225358</v>
      </c>
      <c r="AY45" s="38">
        <f>Inputs!$C$32*BA44/Inputs!$C$6</f>
        <v>5198.0821640044214</v>
      </c>
      <c r="AZ45" s="38">
        <f>Inputs!$C$33</f>
        <v>2000</v>
      </c>
      <c r="BA45" s="38">
        <f t="shared" si="17"/>
        <v>598711.80997610919</v>
      </c>
      <c r="BB45" s="38">
        <f t="shared" si="18"/>
        <v>0</v>
      </c>
      <c r="BC45" s="38">
        <f>Inputs!$C$19*(1-Inputs!$C$71*$H45)+Inputs!$C$21+Inputs!$B$71*$J45</f>
        <v>501000</v>
      </c>
      <c r="BD45" s="38">
        <f t="shared" si="19"/>
        <v>97711.809976109187</v>
      </c>
      <c r="BE45" s="38">
        <f t="shared" si="20"/>
        <v>0</v>
      </c>
      <c r="BF45" s="38">
        <f>MAX(0,MIN(Inputs!$D$36,BK44,BG45+BH45+BI45+Inputs!$D$6-BJ44))</f>
        <v>13012.332792664063</v>
      </c>
      <c r="BG45" s="38">
        <f>Inputs!$D$27*(1+Inputs!$D$28)^($A45/12)*IF(Inputs!$B$71=1,$G45,1)*(1-Inputs!$C$71*$H45*(1-Inputs!$E$54*Inputs!$B$71))*(1+$I45)*IF(Inputs!$D$29=0,1,(MAX(BJ44,0)/Inputs!$D$6)^Inputs!$D$29)</f>
        <v>7312.3327926640459</v>
      </c>
      <c r="BH45" s="38">
        <f>Inputs!$D$32*BJ44/Inputs!$D$6</f>
        <v>4200</v>
      </c>
      <c r="BI45" s="38">
        <f>Inputs!$D$33</f>
        <v>1500</v>
      </c>
      <c r="BJ45" s="38">
        <f t="shared" si="21"/>
        <v>880000</v>
      </c>
      <c r="BK45" s="38">
        <f t="shared" si="22"/>
        <v>345481.87665136426</v>
      </c>
      <c r="BL45" s="38">
        <f>Inputs!$D$19*(1-Inputs!$C$71*$H45)+Inputs!$D$21+Inputs!$B$71*$J45</f>
        <v>410800</v>
      </c>
      <c r="BM45" s="38">
        <f t="shared" si="23"/>
        <v>469200</v>
      </c>
      <c r="BN45" s="38">
        <f t="shared" si="24"/>
        <v>0</v>
      </c>
      <c r="BO45" s="38">
        <f>MAX(0,MIN(Inputs!$B$36,BT44,BP45+BQ45+BR45+Inputs!$B$6-BS44))</f>
        <v>0</v>
      </c>
      <c r="BP45" s="38">
        <f>Inputs!$B$27*(1+Inputs!$B$28)^($A45/12)*IF(Inputs!$B$72=1,$G45,1)*(1-Inputs!$C$72*$H45*(1-Inputs!$E$54*Inputs!$B$72))*(1+$I45)*IF(Inputs!$B$29=0,1,(MAX(BS44,0)/Inputs!$B$6)^Inputs!$B$29)</f>
        <v>16663.680103599771</v>
      </c>
      <c r="BQ45" s="38">
        <f>Inputs!$B$32*BS44/Inputs!$B$6</f>
        <v>843.33297836172756</v>
      </c>
      <c r="BR45" s="38">
        <f>Inputs!$B$33</f>
        <v>2500</v>
      </c>
      <c r="BS45" s="38">
        <f t="shared" si="25"/>
        <v>33091.730000073199</v>
      </c>
      <c r="BT45" s="38">
        <f t="shared" si="26"/>
        <v>0</v>
      </c>
      <c r="BU45" s="38">
        <f>Inputs!$B$19*(1-Inputs!$C$72*$H45)+Inputs!$B$21+Inputs!$B$72*$J45</f>
        <v>580416.66666666663</v>
      </c>
      <c r="BV45" s="38">
        <f t="shared" si="27"/>
        <v>-547324.93666659342</v>
      </c>
      <c r="BW45" s="38">
        <f t="shared" si="28"/>
        <v>1</v>
      </c>
      <c r="BX45" s="38">
        <f>MAX(0,MIN(Inputs!$C$36,CC44,BY45+BZ45+CA45+Inputs!$C$6-CB44))</f>
        <v>0</v>
      </c>
      <c r="BY45" s="38">
        <f>Inputs!$C$27*(1+Inputs!$C$28)^($A45/12)*IF(Inputs!$B$72=1,$G45,1)*(1-Inputs!$C$72*$H45*(1-Inputs!$E$54*Inputs!$B$72))*(1+$I45)*IF(Inputs!$C$29=0,1,(MAX(CB44,0)/Inputs!$C$6)^Inputs!$C$29)</f>
        <v>10932.55880591043</v>
      </c>
      <c r="BZ45" s="38">
        <f>Inputs!$C$32*CB44/Inputs!$C$6</f>
        <v>4969.9996008817889</v>
      </c>
      <c r="CA45" s="38">
        <f>Inputs!$C$33</f>
        <v>2000</v>
      </c>
      <c r="CB45" s="38">
        <f t="shared" si="29"/>
        <v>571134.43132734578</v>
      </c>
      <c r="CC45" s="38">
        <f t="shared" si="30"/>
        <v>0</v>
      </c>
      <c r="CD45" s="38">
        <f>Inputs!$C$19*(1-Inputs!$C$72*$H45)+Inputs!$C$21+Inputs!$B$72*$J45</f>
        <v>482500</v>
      </c>
      <c r="CE45" s="38">
        <f t="shared" si="31"/>
        <v>88634.431327345781</v>
      </c>
      <c r="CF45" s="38">
        <f t="shared" si="32"/>
        <v>0</v>
      </c>
      <c r="CG45" s="38">
        <f>MAX(0,MIN(Inputs!$D$36,CL44,CH45+CI45+CJ45+Inputs!$D$6-CK44))</f>
        <v>13657.818227689946</v>
      </c>
      <c r="CH45" s="38">
        <f>Inputs!$D$27*(1+Inputs!$D$28)^($A45/12)*IF(Inputs!$B$72=1,$G45,1)*(1-Inputs!$C$72*$H45*(1-Inputs!$E$54*Inputs!$B$72))*(1+$I45)*IF(Inputs!$D$29=0,1,(MAX(CK44,0)/Inputs!$D$6)^Inputs!$D$29)</f>
        <v>7957.8182276899015</v>
      </c>
      <c r="CI45" s="38">
        <f>Inputs!$D$32*CK44/Inputs!$D$6</f>
        <v>4200</v>
      </c>
      <c r="CJ45" s="38">
        <f>Inputs!$D$33</f>
        <v>1500</v>
      </c>
      <c r="CK45" s="38">
        <f t="shared" si="33"/>
        <v>880000</v>
      </c>
      <c r="CL45" s="38">
        <f t="shared" si="34"/>
        <v>323070.10687055776</v>
      </c>
      <c r="CM45" s="38">
        <f>Inputs!$D$19*(1-Inputs!$C$72*$H45)+Inputs!$D$21+Inputs!$B$72*$J45</f>
        <v>394258.33333333331</v>
      </c>
      <c r="CN45" s="38">
        <f t="shared" si="35"/>
        <v>485741.66666666669</v>
      </c>
      <c r="CO45" s="38">
        <f t="shared" si="36"/>
        <v>0</v>
      </c>
      <c r="CP45" s="38">
        <f>MAX(0,MIN(Inputs!$B$36,CU44,CQ45+CR45+CS45+Inputs!$B$6-CT44))</f>
        <v>0</v>
      </c>
      <c r="CQ45" s="38">
        <f>Inputs!$B$27*(1+Inputs!$B$28)^($A45/12)*IF(Inputs!$B$73=1,$G45,1)*(1-Inputs!$C$73*$H45*(1-Inputs!$E$54*Inputs!$B$73))*(1+$I45)*IF(Inputs!$B$29=0,1,(MAX(CT44,0)/Inputs!$B$6)^Inputs!$B$29)</f>
        <v>14674.031523555816</v>
      </c>
      <c r="CR45" s="38">
        <f>Inputs!$B$32*CT44/Inputs!$B$6</f>
        <v>1516.7462830477614</v>
      </c>
      <c r="CS45" s="38">
        <f>Inputs!$B$33</f>
        <v>2500</v>
      </c>
      <c r="CT45" s="38">
        <f t="shared" si="37"/>
        <v>76808.062237144375</v>
      </c>
      <c r="CU45" s="38">
        <f t="shared" si="38"/>
        <v>0</v>
      </c>
      <c r="CV45" s="38">
        <f>Inputs!$B$19*(1-Inputs!$C$73*$H45)+Inputs!$B$21+Inputs!$B$73*$J45</f>
        <v>586416.66666666663</v>
      </c>
      <c r="CW45" s="38">
        <f t="shared" si="39"/>
        <v>-509608.60442952224</v>
      </c>
      <c r="CX45" s="38">
        <f t="shared" si="40"/>
        <v>1</v>
      </c>
      <c r="CY45" s="38">
        <f>MAX(0,MIN(Inputs!$C$36,DD44,CZ45+DA45+DB45+Inputs!$C$6-DC44))</f>
        <v>0</v>
      </c>
      <c r="CZ45" s="38">
        <f>Inputs!$C$27*(1+Inputs!$C$28)^($A45/12)*IF(Inputs!$B$73=1,$G45,1)*(1-Inputs!$C$73*$H45*(1-Inputs!$E$54*Inputs!$B$73))*(1+$I45)*IF(Inputs!$C$29=0,1,(MAX(DC44,0)/Inputs!$C$6)^Inputs!$C$29)</f>
        <v>9768.1801429493426</v>
      </c>
      <c r="DA45" s="38">
        <f>Inputs!$C$32*DC44/Inputs!$C$6</f>
        <v>5267.5612539708272</v>
      </c>
      <c r="DB45" s="38">
        <f>Inputs!$C$33</f>
        <v>2000</v>
      </c>
      <c r="DC45" s="38">
        <f t="shared" si="41"/>
        <v>607267.81462925207</v>
      </c>
      <c r="DD45" s="38">
        <f t="shared" si="42"/>
        <v>0</v>
      </c>
      <c r="DE45" s="38">
        <f>Inputs!$C$19*(1-Inputs!$C$73*$H45)+Inputs!$C$21+Inputs!$B$73*$J45</f>
        <v>488500</v>
      </c>
      <c r="DF45" s="38">
        <f t="shared" si="43"/>
        <v>118767.81462925207</v>
      </c>
      <c r="DG45" s="38">
        <f t="shared" si="44"/>
        <v>0</v>
      </c>
      <c r="DH45" s="38">
        <f>MAX(0,MIN(Inputs!$D$36,DM44,DI45+DJ45+DK45+Inputs!$D$6-DL44))</f>
        <v>12707.652259636321</v>
      </c>
      <c r="DI45" s="38">
        <f>Inputs!$D$27*(1+Inputs!$D$28)^($A45/12)*IF(Inputs!$B$73=1,$G45,1)*(1-Inputs!$C$73*$H45*(1-Inputs!$E$54*Inputs!$B$73))*(1+$I45)*IF(Inputs!$D$29=0,1,(MAX(DL44,0)/Inputs!$D$6)^Inputs!$D$29)</f>
        <v>7007.6522596363775</v>
      </c>
      <c r="DJ45" s="38">
        <f>Inputs!$D$32*DL44/Inputs!$D$6</f>
        <v>4200</v>
      </c>
      <c r="DK45" s="38">
        <f>Inputs!$D$33</f>
        <v>1500</v>
      </c>
      <c r="DL45" s="38">
        <f t="shared" si="45"/>
        <v>880000</v>
      </c>
      <c r="DM45" s="38">
        <f t="shared" si="46"/>
        <v>352286.90549481462</v>
      </c>
      <c r="DN45" s="38">
        <f>Inputs!$D$19*(1-Inputs!$C$73*$H45)+Inputs!$D$21+Inputs!$B$73*$J45</f>
        <v>400258.33333333331</v>
      </c>
      <c r="DO45" s="38">
        <f t="shared" si="47"/>
        <v>479741.66666666669</v>
      </c>
      <c r="DP45" s="38">
        <f t="shared" si="48"/>
        <v>0</v>
      </c>
    </row>
    <row r="46" spans="1:120" x14ac:dyDescent="0.35">
      <c r="A46" s="29">
        <v>41</v>
      </c>
      <c r="B46" s="34">
        <f>EDATE(Inputs!$B$67,$A46)</f>
        <v>47515</v>
      </c>
      <c r="C46" s="35">
        <f>IF(Inputs!$E$47&lt;=0,Inputs!$E$46,Inputs!$E$44+(Inputs!$E$46-Inputs!$E$44)*MIN($A46/Inputs!$E$47,1))</f>
        <v>0.7</v>
      </c>
      <c r="D46" s="35">
        <f>MIN(Inputs!$E$57,Inputs!$E$55*(1+Inputs!$E$56)^($A46/12))*Inputs!$E$58*(1+Inputs!$E$59)^($A46/12)/Inputs!$E$45</f>
        <v>1.3259284186894673</v>
      </c>
      <c r="E46" s="35">
        <f>MAX(Inputs!$E$44,MIN(C46,D46))</f>
        <v>0.7</v>
      </c>
      <c r="F46" s="35">
        <f>IF(Inputs!$E$50&lt;=0,Inputs!$E$49,Inputs!$E$48+(Inputs!$E$49-Inputs!$E$48)*MIN($A46/Inputs!$E$50,1))</f>
        <v>0.12</v>
      </c>
      <c r="G46" s="36">
        <f>(Inputs!$E$41*(1-E46*Inputs!$E$51)+Inputs!$E$42*(1-F46*Inputs!$E$51))/(Inputs!$E$41*(1-Inputs!$E$44*Inputs!$E$51)+Inputs!$E$42*(1-Inputs!$E$48*Inputs!$E$51))</f>
        <v>0.8423127463863338</v>
      </c>
      <c r="H46" s="35">
        <f>IF(Inputs!$E$53&lt;=0,Inputs!$E$52,Inputs!$E$52*MIN($A46/Inputs!$E$53,1))</f>
        <v>8.5416666666666669E-2</v>
      </c>
      <c r="I46" s="35">
        <f>IF(Inputs!$E$64&lt;=0,Inputs!$E$63,Inputs!$E$62+(Inputs!$E$63-Inputs!$E$62)*MIN($A46/Inputs!$E$64,1))</f>
        <v>0.03</v>
      </c>
      <c r="J46" s="37">
        <f>(E46-Inputs!$E$44)*Inputs!$E$45/Inputs!$E$60*Inputs!$E$61</f>
        <v>5999.9999999999991</v>
      </c>
      <c r="K46" s="29">
        <f t="shared" si="0"/>
        <v>0</v>
      </c>
      <c r="L46" s="29"/>
      <c r="M46" s="38">
        <f>MAX(0,MIN(Inputs!$B$36,R45,N46+O46+P46+Inputs!$B$6-Q45))</f>
        <v>0</v>
      </c>
      <c r="N46" s="38">
        <f>Inputs!$B$27*(1+Inputs!$B$28)^($A46/12)*IF(Inputs!$B$70=1,$G46,1)*(1-Inputs!$C$70*$H46*(1-Inputs!$E$54*Inputs!$B$70))*(1+$I46)*IF(Inputs!$B$29=0,1,(MAX(Q45,0)/Inputs!$B$6)^Inputs!$B$29)</f>
        <v>18252.621817126859</v>
      </c>
      <c r="O46" s="38">
        <f>Inputs!$B$32*Q45/Inputs!$B$6</f>
        <v>139.8434428497888</v>
      </c>
      <c r="P46" s="38">
        <f>Inputs!$B$33</f>
        <v>2500</v>
      </c>
      <c r="Q46" s="38">
        <f t="shared" si="1"/>
        <v>0</v>
      </c>
      <c r="R46" s="38">
        <f t="shared" si="2"/>
        <v>0</v>
      </c>
      <c r="S46" s="38">
        <f>Inputs!$B$19*(1-Inputs!$C$70*$H46)+Inputs!$B$21+Inputs!$B$70*$J46</f>
        <v>595000</v>
      </c>
      <c r="T46" s="38">
        <f t="shared" si="3"/>
        <v>-595000</v>
      </c>
      <c r="U46" s="38">
        <f t="shared" si="4"/>
        <v>1</v>
      </c>
      <c r="V46" s="38">
        <f>MAX(0,MIN(Inputs!$C$36,AA45,W46+X46+Y46+Inputs!$C$6-Z45))</f>
        <v>0</v>
      </c>
      <c r="W46" s="38">
        <f>Inputs!$C$27*(1+Inputs!$C$28)^($A46/12)*IF(Inputs!$B$70=1,$G46,1)*(1-Inputs!$C$70*$H46*(1-Inputs!$E$54*Inputs!$B$70))*(1+$I46)*IF(Inputs!$C$29=0,1,(MAX(Z45,0)/Inputs!$C$6)^Inputs!$C$29)</f>
        <v>11733.711922359586</v>
      </c>
      <c r="X46" s="38">
        <f>Inputs!$C$32*Z45/Inputs!$C$6</f>
        <v>4656.4667704407002</v>
      </c>
      <c r="Y46" s="38">
        <f>Inputs!$C$33</f>
        <v>2000</v>
      </c>
      <c r="Z46" s="38">
        <f t="shared" si="5"/>
        <v>533487.36447054206</v>
      </c>
      <c r="AA46" s="38">
        <f t="shared" si="6"/>
        <v>0</v>
      </c>
      <c r="AB46" s="38">
        <f>Inputs!$C$19*(1-Inputs!$C$70*$H46)+Inputs!$C$21+Inputs!$B$70*$J46</f>
        <v>495000</v>
      </c>
      <c r="AC46" s="38">
        <f t="shared" si="7"/>
        <v>38487.364470542059</v>
      </c>
      <c r="AD46" s="38">
        <f t="shared" si="8"/>
        <v>0</v>
      </c>
      <c r="AE46" s="38">
        <f>MAX(0,MIN(Inputs!$D$36,AJ45,AF46+AG46+AH46+Inputs!$D$6-AI45))</f>
        <v>14344.227923099883</v>
      </c>
      <c r="AF46" s="38">
        <f>Inputs!$D$27*(1+Inputs!$D$28)^($A46/12)*IF(Inputs!$B$70=1,$G46,1)*(1-Inputs!$C$70*$H46*(1-Inputs!$E$54*Inputs!$B$70))*(1+$I46)*IF(Inputs!$D$29=0,1,(MAX(AI45,0)/Inputs!$D$6)^Inputs!$D$29)</f>
        <v>8644.2279230999156</v>
      </c>
      <c r="AG46" s="38">
        <f>Inputs!$D$32*AI45/Inputs!$D$6</f>
        <v>4200</v>
      </c>
      <c r="AH46" s="38">
        <f>Inputs!$D$33</f>
        <v>1500</v>
      </c>
      <c r="AI46" s="38">
        <f t="shared" si="9"/>
        <v>880000</v>
      </c>
      <c r="AJ46" s="38">
        <f t="shared" si="10"/>
        <v>293091.75456646958</v>
      </c>
      <c r="AK46" s="38">
        <f>Inputs!$D$19*(1-Inputs!$C$70*$H46)+Inputs!$D$21+Inputs!$B$70*$J46</f>
        <v>404800</v>
      </c>
      <c r="AL46" s="38">
        <f t="shared" si="11"/>
        <v>475200</v>
      </c>
      <c r="AM46" s="38">
        <f t="shared" si="12"/>
        <v>0</v>
      </c>
      <c r="AN46" s="38">
        <f>MAX(0,MIN(Inputs!$B$36,AS45,AO46+AP46+AQ46+Inputs!$B$6-AR45))</f>
        <v>0</v>
      </c>
      <c r="AO46" s="38">
        <f>Inputs!$B$27*(1+Inputs!$B$28)^($A46/12)*IF(Inputs!$B$71=1,$G46,1)*(1-Inputs!$C$71*$H46*(1-Inputs!$E$54*Inputs!$B$71))*(1+$I46)*IF(Inputs!$B$29=0,1,(MAX(AR45,0)/Inputs!$B$6)^Inputs!$B$29)</f>
        <v>15374.416011535237</v>
      </c>
      <c r="AP46" s="38">
        <f>Inputs!$B$32*AR45/Inputs!$B$6</f>
        <v>1053.3520755699001</v>
      </c>
      <c r="AQ46" s="38">
        <f>Inputs!$B$33</f>
        <v>2500</v>
      </c>
      <c r="AR46" s="38">
        <f t="shared" si="13"/>
        <v>47394.399633962654</v>
      </c>
      <c r="AS46" s="38">
        <f t="shared" si="14"/>
        <v>0</v>
      </c>
      <c r="AT46" s="38">
        <f>Inputs!$B$19*(1-Inputs!$C$71*$H46)+Inputs!$B$21+Inputs!$B$71*$J46</f>
        <v>601000</v>
      </c>
      <c r="AU46" s="38">
        <f t="shared" si="15"/>
        <v>-553605.60036603734</v>
      </c>
      <c r="AV46" s="38">
        <f t="shared" si="16"/>
        <v>1</v>
      </c>
      <c r="AW46" s="38">
        <f>MAX(0,MIN(Inputs!$C$36,BB45,AX46+AY46+AZ46+Inputs!$C$6-BA45))</f>
        <v>0</v>
      </c>
      <c r="AX46" s="38">
        <f>Inputs!$C$27*(1+Inputs!$C$28)^($A46/12)*IF(Inputs!$B$71=1,$G46,1)*(1-Inputs!$C$71*$H46*(1-Inputs!$E$54*Inputs!$B$71))*(1+$I46)*IF(Inputs!$C$29=0,1,(MAX(BA45,0)/Inputs!$C$6)^Inputs!$C$29)</f>
        <v>10086.780494759294</v>
      </c>
      <c r="AY46" s="38">
        <f>Inputs!$C$32*BA45/Inputs!$C$6</f>
        <v>5051.6308966734205</v>
      </c>
      <c r="AZ46" s="38">
        <f>Inputs!$C$33</f>
        <v>2000</v>
      </c>
      <c r="BA46" s="38">
        <f t="shared" si="17"/>
        <v>581573.39858467644</v>
      </c>
      <c r="BB46" s="38">
        <f t="shared" si="18"/>
        <v>0</v>
      </c>
      <c r="BC46" s="38">
        <f>Inputs!$C$19*(1-Inputs!$C$71*$H46)+Inputs!$C$21+Inputs!$B$71*$J46</f>
        <v>501000</v>
      </c>
      <c r="BD46" s="38">
        <f t="shared" si="19"/>
        <v>80573.398584676441</v>
      </c>
      <c r="BE46" s="38">
        <f t="shared" si="20"/>
        <v>0</v>
      </c>
      <c r="BF46" s="38">
        <f>MAX(0,MIN(Inputs!$D$36,BK45,BG46+BH46+BI46+Inputs!$D$6-BJ45))</f>
        <v>12981.143362295697</v>
      </c>
      <c r="BG46" s="38">
        <f>Inputs!$D$27*(1+Inputs!$D$28)^($A46/12)*IF(Inputs!$B$71=1,$G46,1)*(1-Inputs!$C$71*$H46*(1-Inputs!$E$54*Inputs!$B$71))*(1+$I46)*IF(Inputs!$D$29=0,1,(MAX(BJ45,0)/Inputs!$D$6)^Inputs!$D$29)</f>
        <v>7281.1433622957238</v>
      </c>
      <c r="BH46" s="38">
        <f>Inputs!$D$32*BJ45/Inputs!$D$6</f>
        <v>4200</v>
      </c>
      <c r="BI46" s="38">
        <f>Inputs!$D$33</f>
        <v>1500</v>
      </c>
      <c r="BJ46" s="38">
        <f t="shared" si="21"/>
        <v>880000</v>
      </c>
      <c r="BK46" s="38">
        <f t="shared" si="22"/>
        <v>332500.73328906856</v>
      </c>
      <c r="BL46" s="38">
        <f>Inputs!$D$19*(1-Inputs!$C$71*$H46)+Inputs!$D$21+Inputs!$B$71*$J46</f>
        <v>410800</v>
      </c>
      <c r="BM46" s="38">
        <f t="shared" si="23"/>
        <v>469200</v>
      </c>
      <c r="BN46" s="38">
        <f t="shared" si="24"/>
        <v>0</v>
      </c>
      <c r="BO46" s="38">
        <f>MAX(0,MIN(Inputs!$B$36,BT45,BP46+BQ46+BR46+Inputs!$B$6-BS45))</f>
        <v>0</v>
      </c>
      <c r="BP46" s="38">
        <f>Inputs!$B$27*(1+Inputs!$B$28)^($A46/12)*IF(Inputs!$B$72=1,$G46,1)*(1-Inputs!$C$72*$H46*(1-Inputs!$E$54*Inputs!$B$72))*(1+$I46)*IF(Inputs!$B$29=0,1,(MAX(BS45,0)/Inputs!$B$6)^Inputs!$B$29)</f>
        <v>16693.543703580606</v>
      </c>
      <c r="BQ46" s="38">
        <f>Inputs!$B$32*BS45/Inputs!$B$6</f>
        <v>525.57453529528016</v>
      </c>
      <c r="BR46" s="38">
        <f>Inputs!$B$33</f>
        <v>2500</v>
      </c>
      <c r="BS46" s="38">
        <f t="shared" si="25"/>
        <v>13372.611761197313</v>
      </c>
      <c r="BT46" s="38">
        <f t="shared" si="26"/>
        <v>0</v>
      </c>
      <c r="BU46" s="38">
        <f>Inputs!$B$19*(1-Inputs!$C$72*$H46)+Inputs!$B$21+Inputs!$B$72*$J46</f>
        <v>580052.08333333326</v>
      </c>
      <c r="BV46" s="38">
        <f t="shared" si="27"/>
        <v>-566679.47157213592</v>
      </c>
      <c r="BW46" s="38">
        <f t="shared" si="28"/>
        <v>1</v>
      </c>
      <c r="BX46" s="38">
        <f>MAX(0,MIN(Inputs!$C$36,CC45,BY46+BZ46+CA46+Inputs!$C$6-CB45))</f>
        <v>0</v>
      </c>
      <c r="BY46" s="38">
        <f>Inputs!$C$27*(1+Inputs!$C$28)^($A46/12)*IF(Inputs!$B$72=1,$G46,1)*(1-Inputs!$C$72*$H46*(1-Inputs!$E$54*Inputs!$B$72))*(1+$I46)*IF(Inputs!$C$29=0,1,(MAX(CB45,0)/Inputs!$C$6)^Inputs!$C$29)</f>
        <v>10823.871046589962</v>
      </c>
      <c r="BZ46" s="38">
        <f>Inputs!$C$32*CB45/Inputs!$C$6</f>
        <v>4818.9467643244789</v>
      </c>
      <c r="CA46" s="38">
        <f>Inputs!$C$33</f>
        <v>2000</v>
      </c>
      <c r="CB46" s="38">
        <f t="shared" si="29"/>
        <v>553491.61351643142</v>
      </c>
      <c r="CC46" s="38">
        <f t="shared" si="30"/>
        <v>0</v>
      </c>
      <c r="CD46" s="38">
        <f>Inputs!$C$19*(1-Inputs!$C$72*$H46)+Inputs!$C$21+Inputs!$B$72*$J46</f>
        <v>482187.5</v>
      </c>
      <c r="CE46" s="38">
        <f t="shared" si="31"/>
        <v>71304.113516431418</v>
      </c>
      <c r="CF46" s="38">
        <f t="shared" si="32"/>
        <v>0</v>
      </c>
      <c r="CG46" s="38">
        <f>MAX(0,MIN(Inputs!$D$36,CL45,CH46+CI46+CJ46+Inputs!$D$6-CK45))</f>
        <v>13605.866788001847</v>
      </c>
      <c r="CH46" s="38">
        <f>Inputs!$D$27*(1+Inputs!$D$28)^($A46/12)*IF(Inputs!$B$72=1,$G46,1)*(1-Inputs!$C$72*$H46*(1-Inputs!$E$54*Inputs!$B$72))*(1+$I46)*IF(Inputs!$D$29=0,1,(MAX(CK45,0)/Inputs!$D$6)^Inputs!$D$29)</f>
        <v>7905.8667880017974</v>
      </c>
      <c r="CI46" s="38">
        <f>Inputs!$D$32*CK45/Inputs!$D$6</f>
        <v>4200</v>
      </c>
      <c r="CJ46" s="38">
        <f>Inputs!$D$33</f>
        <v>1500</v>
      </c>
      <c r="CK46" s="38">
        <f t="shared" si="33"/>
        <v>880000</v>
      </c>
      <c r="CL46" s="38">
        <f t="shared" si="34"/>
        <v>309464.24008255592</v>
      </c>
      <c r="CM46" s="38">
        <f>Inputs!$D$19*(1-Inputs!$C$72*$H46)+Inputs!$D$21+Inputs!$B$72*$J46</f>
        <v>393994.79166666663</v>
      </c>
      <c r="CN46" s="38">
        <f t="shared" si="35"/>
        <v>486005.20833333337</v>
      </c>
      <c r="CO46" s="38">
        <f t="shared" si="36"/>
        <v>0</v>
      </c>
      <c r="CP46" s="38">
        <f>MAX(0,MIN(Inputs!$B$36,CU45,CQ46+CR46+CS46+Inputs!$B$6-CT45))</f>
        <v>0</v>
      </c>
      <c r="CQ46" s="38">
        <f>Inputs!$B$27*(1+Inputs!$B$28)^($A46/12)*IF(Inputs!$B$73=1,$G46,1)*(1-Inputs!$C$73*$H46*(1-Inputs!$E$54*Inputs!$B$73))*(1+$I46)*IF(Inputs!$B$29=0,1,(MAX(CT45,0)/Inputs!$B$6)^Inputs!$B$29)</f>
        <v>14717.800327709252</v>
      </c>
      <c r="CR46" s="38">
        <f>Inputs!$B$32*CT45/Inputs!$B$6</f>
        <v>1219.8927531781753</v>
      </c>
      <c r="CS46" s="38">
        <f>Inputs!$B$33</f>
        <v>2500</v>
      </c>
      <c r="CT46" s="38">
        <f t="shared" si="37"/>
        <v>58370.369156256951</v>
      </c>
      <c r="CU46" s="38">
        <f t="shared" si="38"/>
        <v>0</v>
      </c>
      <c r="CV46" s="38">
        <f>Inputs!$B$19*(1-Inputs!$C$73*$H46)+Inputs!$B$21+Inputs!$B$73*$J46</f>
        <v>586052.08333333326</v>
      </c>
      <c r="CW46" s="38">
        <f t="shared" si="39"/>
        <v>-527681.71417707636</v>
      </c>
      <c r="CX46" s="38">
        <f t="shared" si="40"/>
        <v>1</v>
      </c>
      <c r="CY46" s="38">
        <f>MAX(0,MIN(Inputs!$C$36,DD45,CZ46+DA46+DB46+Inputs!$C$6-DC45))</f>
        <v>0</v>
      </c>
      <c r="CZ46" s="38">
        <f>Inputs!$C$27*(1+Inputs!$C$28)^($A46/12)*IF(Inputs!$B$73=1,$G46,1)*(1-Inputs!$C$73*$H46*(1-Inputs!$E$54*Inputs!$B$73))*(1+$I46)*IF(Inputs!$C$29=0,1,(MAX(DC45,0)/Inputs!$C$6)^Inputs!$C$29)</f>
        <v>9690.3052561573713</v>
      </c>
      <c r="DA46" s="38">
        <f>Inputs!$C$32*DC45/Inputs!$C$6</f>
        <v>5123.8221859343139</v>
      </c>
      <c r="DB46" s="38">
        <f>Inputs!$C$33</f>
        <v>2000</v>
      </c>
      <c r="DC46" s="38">
        <f t="shared" si="41"/>
        <v>590453.68718716037</v>
      </c>
      <c r="DD46" s="38">
        <f t="shared" si="42"/>
        <v>0</v>
      </c>
      <c r="DE46" s="38">
        <f>Inputs!$C$19*(1-Inputs!$C$73*$H46)+Inputs!$C$21+Inputs!$B$73*$J46</f>
        <v>488187.5</v>
      </c>
      <c r="DF46" s="38">
        <f t="shared" si="43"/>
        <v>102266.18718716037</v>
      </c>
      <c r="DG46" s="38">
        <f t="shared" si="44"/>
        <v>0</v>
      </c>
      <c r="DH46" s="38">
        <f>MAX(0,MIN(Inputs!$D$36,DM45,DI46+DJ46+DK46+Inputs!$D$6-DL45))</f>
        <v>12670.177864531055</v>
      </c>
      <c r="DI46" s="38">
        <f>Inputs!$D$27*(1+Inputs!$D$28)^($A46/12)*IF(Inputs!$B$73=1,$G46,1)*(1-Inputs!$C$73*$H46*(1-Inputs!$E$54*Inputs!$B$73))*(1+$I46)*IF(Inputs!$D$29=0,1,(MAX(DL45,0)/Inputs!$D$6)^Inputs!$D$29)</f>
        <v>6970.1778645310096</v>
      </c>
      <c r="DJ46" s="38">
        <f>Inputs!$D$32*DL45/Inputs!$D$6</f>
        <v>4200</v>
      </c>
      <c r="DK46" s="38">
        <f>Inputs!$D$33</f>
        <v>1500</v>
      </c>
      <c r="DL46" s="38">
        <f t="shared" si="45"/>
        <v>880000</v>
      </c>
      <c r="DM46" s="38">
        <f t="shared" si="46"/>
        <v>339616.72763028357</v>
      </c>
      <c r="DN46" s="38">
        <f>Inputs!$D$19*(1-Inputs!$C$73*$H46)+Inputs!$D$21+Inputs!$B$73*$J46</f>
        <v>399994.79166666663</v>
      </c>
      <c r="DO46" s="38">
        <f t="shared" si="47"/>
        <v>480005.20833333337</v>
      </c>
      <c r="DP46" s="38">
        <f t="shared" si="48"/>
        <v>0</v>
      </c>
    </row>
    <row r="47" spans="1:120" x14ac:dyDescent="0.35">
      <c r="A47" s="29">
        <v>42</v>
      </c>
      <c r="B47" s="34">
        <f>EDATE(Inputs!$B$67,$A47)</f>
        <v>47543</v>
      </c>
      <c r="C47" s="35">
        <f>IF(Inputs!$E$47&lt;=0,Inputs!$E$46,Inputs!$E$44+(Inputs!$E$46-Inputs!$E$44)*MIN($A47/Inputs!$E$47,1))</f>
        <v>0.7</v>
      </c>
      <c r="D47" s="35">
        <f>MIN(Inputs!$E$57,Inputs!$E$55*(1+Inputs!$E$56)^($A47/12))*Inputs!$E$58*(1+Inputs!$E$59)^($A47/12)/Inputs!$E$45</f>
        <v>1.3636327256853289</v>
      </c>
      <c r="E47" s="35">
        <f>MAX(Inputs!$E$44,MIN(C47,D47))</f>
        <v>0.7</v>
      </c>
      <c r="F47" s="35">
        <f>IF(Inputs!$E$50&lt;=0,Inputs!$E$49,Inputs!$E$48+(Inputs!$E$49-Inputs!$E$48)*MIN($A47/Inputs!$E$50,1))</f>
        <v>0.12</v>
      </c>
      <c r="G47" s="36">
        <f>(Inputs!$E$41*(1-E47*Inputs!$E$51)+Inputs!$E$42*(1-F47*Inputs!$E$51))/(Inputs!$E$41*(1-Inputs!$E$44*Inputs!$E$51)+Inputs!$E$42*(1-Inputs!$E$48*Inputs!$E$51))</f>
        <v>0.8423127463863338</v>
      </c>
      <c r="H47" s="35">
        <f>IF(Inputs!$E$53&lt;=0,Inputs!$E$52,Inputs!$E$52*MIN($A47/Inputs!$E$53,1))</f>
        <v>8.7500000000000008E-2</v>
      </c>
      <c r="I47" s="35">
        <f>IF(Inputs!$E$64&lt;=0,Inputs!$E$63,Inputs!$E$62+(Inputs!$E$63-Inputs!$E$62)*MIN($A47/Inputs!$E$64,1))</f>
        <v>0.03</v>
      </c>
      <c r="J47" s="37">
        <f>(E47-Inputs!$E$44)*Inputs!$E$45/Inputs!$E$60*Inputs!$E$61</f>
        <v>5999.9999999999991</v>
      </c>
      <c r="K47" s="29">
        <f t="shared" si="0"/>
        <v>0</v>
      </c>
      <c r="L47" s="29"/>
      <c r="M47" s="38">
        <f>MAX(0,MIN(Inputs!$B$36,R46,N47+O47+P47+Inputs!$B$6-Q46))</f>
        <v>0</v>
      </c>
      <c r="N47" s="38">
        <f>Inputs!$B$27*(1+Inputs!$B$28)^($A47/12)*IF(Inputs!$B$70=1,$G47,1)*(1-Inputs!$C$70*$H47*(1-Inputs!$E$54*Inputs!$B$70))*(1+$I47)*IF(Inputs!$B$29=0,1,(MAX(Q46,0)/Inputs!$B$6)^Inputs!$B$29)</f>
        <v>18326.985257785953</v>
      </c>
      <c r="O47" s="38">
        <f>Inputs!$B$32*Q46/Inputs!$B$6</f>
        <v>0</v>
      </c>
      <c r="P47" s="38">
        <f>Inputs!$B$33</f>
        <v>2500</v>
      </c>
      <c r="Q47" s="38">
        <f t="shared" si="1"/>
        <v>0</v>
      </c>
      <c r="R47" s="38">
        <f t="shared" si="2"/>
        <v>0</v>
      </c>
      <c r="S47" s="38">
        <f>Inputs!$B$19*(1-Inputs!$C$70*$H47)+Inputs!$B$21+Inputs!$B$70*$J47</f>
        <v>595000</v>
      </c>
      <c r="T47" s="38">
        <f t="shared" si="3"/>
        <v>-595000</v>
      </c>
      <c r="U47" s="38">
        <f t="shared" si="4"/>
        <v>1</v>
      </c>
      <c r="V47" s="38">
        <f>MAX(0,MIN(Inputs!$C$36,AA46,W47+X47+Y47+Inputs!$C$6-Z46))</f>
        <v>0</v>
      </c>
      <c r="W47" s="38">
        <f>Inputs!$C$27*(1+Inputs!$C$28)^($A47/12)*IF(Inputs!$B$70=1,$G47,1)*(1-Inputs!$C$70*$H47*(1-Inputs!$E$54*Inputs!$B$70))*(1+$I47)*IF(Inputs!$C$29=0,1,(MAX(Z46,0)/Inputs!$C$6)^Inputs!$C$29)</f>
        <v>11634.715695730561</v>
      </c>
      <c r="X47" s="38">
        <f>Inputs!$C$32*Z46/Inputs!$C$6</f>
        <v>4501.299637720198</v>
      </c>
      <c r="Y47" s="38">
        <f>Inputs!$C$33</f>
        <v>2000</v>
      </c>
      <c r="Z47" s="38">
        <f t="shared" si="5"/>
        <v>515351.34913709125</v>
      </c>
      <c r="AA47" s="38">
        <f t="shared" si="6"/>
        <v>0</v>
      </c>
      <c r="AB47" s="38">
        <f>Inputs!$C$19*(1-Inputs!$C$70*$H47)+Inputs!$C$21+Inputs!$B$70*$J47</f>
        <v>495000</v>
      </c>
      <c r="AC47" s="38">
        <f t="shared" si="7"/>
        <v>20351.349137091252</v>
      </c>
      <c r="AD47" s="38">
        <f t="shared" si="8"/>
        <v>0</v>
      </c>
      <c r="AE47" s="38">
        <f>MAX(0,MIN(Inputs!$D$36,AJ46,AF47+AG47+AH47+Inputs!$D$6-AI46))</f>
        <v>14307.357535421965</v>
      </c>
      <c r="AF47" s="38">
        <f>Inputs!$D$27*(1+Inputs!$D$28)^($A47/12)*IF(Inputs!$B$70=1,$G47,1)*(1-Inputs!$C$70*$H47*(1-Inputs!$E$54*Inputs!$B$70))*(1+$I47)*IF(Inputs!$D$29=0,1,(MAX(AI46,0)/Inputs!$D$6)^Inputs!$D$29)</f>
        <v>8607.3575354220011</v>
      </c>
      <c r="AG47" s="38">
        <f>Inputs!$D$32*AI46/Inputs!$D$6</f>
        <v>4200</v>
      </c>
      <c r="AH47" s="38">
        <f>Inputs!$D$33</f>
        <v>1500</v>
      </c>
      <c r="AI47" s="38">
        <f t="shared" si="9"/>
        <v>880000</v>
      </c>
      <c r="AJ47" s="38">
        <f t="shared" si="10"/>
        <v>278784.39703104761</v>
      </c>
      <c r="AK47" s="38">
        <f>Inputs!$D$19*(1-Inputs!$C$70*$H47)+Inputs!$D$21+Inputs!$B$70*$J47</f>
        <v>404800</v>
      </c>
      <c r="AL47" s="38">
        <f t="shared" si="11"/>
        <v>475200</v>
      </c>
      <c r="AM47" s="38">
        <f t="shared" si="12"/>
        <v>0</v>
      </c>
      <c r="AN47" s="38">
        <f>MAX(0,MIN(Inputs!$B$36,AS46,AO47+AP47+AQ47+Inputs!$B$6-AR46))</f>
        <v>0</v>
      </c>
      <c r="AO47" s="38">
        <f>Inputs!$B$27*(1+Inputs!$B$28)^($A47/12)*IF(Inputs!$B$71=1,$G47,1)*(1-Inputs!$C$71*$H47*(1-Inputs!$E$54*Inputs!$B$71))*(1+$I47)*IF(Inputs!$B$29=0,1,(MAX(AR46,0)/Inputs!$B$6)^Inputs!$B$29)</f>
        <v>15437.053285467538</v>
      </c>
      <c r="AP47" s="38">
        <f>Inputs!$B$32*AR46/Inputs!$B$6</f>
        <v>752.7345824217598</v>
      </c>
      <c r="AQ47" s="38">
        <f>Inputs!$B$33</f>
        <v>2500</v>
      </c>
      <c r="AR47" s="38">
        <f t="shared" si="13"/>
        <v>28704.611766073354</v>
      </c>
      <c r="AS47" s="38">
        <f t="shared" si="14"/>
        <v>0</v>
      </c>
      <c r="AT47" s="38">
        <f>Inputs!$B$19*(1-Inputs!$C$71*$H47)+Inputs!$B$21+Inputs!$B$71*$J47</f>
        <v>601000</v>
      </c>
      <c r="AU47" s="38">
        <f t="shared" si="15"/>
        <v>-572295.38823392661</v>
      </c>
      <c r="AV47" s="38">
        <f t="shared" si="16"/>
        <v>1</v>
      </c>
      <c r="AW47" s="38">
        <f>MAX(0,MIN(Inputs!$C$36,BB46,AX47+AY47+AZ47+Inputs!$C$6-BA46))</f>
        <v>0</v>
      </c>
      <c r="AX47" s="38">
        <f>Inputs!$C$27*(1+Inputs!$C$28)^($A47/12)*IF(Inputs!$B$71=1,$G47,1)*(1-Inputs!$C$71*$H47*(1-Inputs!$E$54*Inputs!$B$71))*(1+$I47)*IF(Inputs!$C$29=0,1,(MAX(BA46,0)/Inputs!$C$6)^Inputs!$C$29)</f>
        <v>10013.807697934892</v>
      </c>
      <c r="AY47" s="38">
        <f>Inputs!$C$32*BA46/Inputs!$C$6</f>
        <v>4907.0255505582072</v>
      </c>
      <c r="AZ47" s="38">
        <f>Inputs!$C$33</f>
        <v>2000</v>
      </c>
      <c r="BA47" s="38">
        <f t="shared" si="17"/>
        <v>564652.5653361833</v>
      </c>
      <c r="BB47" s="38">
        <f t="shared" si="18"/>
        <v>0</v>
      </c>
      <c r="BC47" s="38">
        <f>Inputs!$C$19*(1-Inputs!$C$71*$H47)+Inputs!$C$21+Inputs!$B$71*$J47</f>
        <v>501000</v>
      </c>
      <c r="BD47" s="38">
        <f t="shared" si="19"/>
        <v>63652.565336183296</v>
      </c>
      <c r="BE47" s="38">
        <f t="shared" si="20"/>
        <v>0</v>
      </c>
      <c r="BF47" s="38">
        <f>MAX(0,MIN(Inputs!$D$36,BK46,BG47+BH47+BI47+Inputs!$D$6-BJ46))</f>
        <v>12950.08696479036</v>
      </c>
      <c r="BG47" s="38">
        <f>Inputs!$D$27*(1+Inputs!$D$28)^($A47/12)*IF(Inputs!$B$71=1,$G47,1)*(1-Inputs!$C$71*$H47*(1-Inputs!$E$54*Inputs!$B$71))*(1+$I47)*IF(Inputs!$D$29=0,1,(MAX(BJ46,0)/Inputs!$D$6)^Inputs!$D$29)</f>
        <v>7250.086964790411</v>
      </c>
      <c r="BH47" s="38">
        <f>Inputs!$D$32*BJ46/Inputs!$D$6</f>
        <v>4200</v>
      </c>
      <c r="BI47" s="38">
        <f>Inputs!$D$33</f>
        <v>1500</v>
      </c>
      <c r="BJ47" s="38">
        <f t="shared" si="21"/>
        <v>880000</v>
      </c>
      <c r="BK47" s="38">
        <f t="shared" si="22"/>
        <v>319550.6463242782</v>
      </c>
      <c r="BL47" s="38">
        <f>Inputs!$D$19*(1-Inputs!$C$71*$H47)+Inputs!$D$21+Inputs!$B$71*$J47</f>
        <v>410800</v>
      </c>
      <c r="BM47" s="38">
        <f t="shared" si="23"/>
        <v>469200</v>
      </c>
      <c r="BN47" s="38">
        <f t="shared" si="24"/>
        <v>0</v>
      </c>
      <c r="BO47" s="38">
        <f>MAX(0,MIN(Inputs!$B$36,BT46,BP47+BQ47+BR47+Inputs!$B$6-BS46))</f>
        <v>0</v>
      </c>
      <c r="BP47" s="38">
        <f>Inputs!$B$27*(1+Inputs!$B$28)^($A47/12)*IF(Inputs!$B$72=1,$G47,1)*(1-Inputs!$C$72*$H47*(1-Inputs!$E$54*Inputs!$B$72))*(1+$I47)*IF(Inputs!$B$29=0,1,(MAX(BS46,0)/Inputs!$B$6)^Inputs!$B$29)</f>
        <v>16723.374047729681</v>
      </c>
      <c r="BQ47" s="38">
        <f>Inputs!$B$32*BS46/Inputs!$B$6</f>
        <v>212.3885397366632</v>
      </c>
      <c r="BR47" s="38">
        <f>Inputs!$B$33</f>
        <v>2500</v>
      </c>
      <c r="BS47" s="38">
        <f t="shared" si="25"/>
        <v>0</v>
      </c>
      <c r="BT47" s="38">
        <f t="shared" si="26"/>
        <v>0</v>
      </c>
      <c r="BU47" s="38">
        <f>Inputs!$B$19*(1-Inputs!$C$72*$H47)+Inputs!$B$21+Inputs!$B$72*$J47</f>
        <v>579687.5</v>
      </c>
      <c r="BV47" s="38">
        <f t="shared" si="27"/>
        <v>-579687.5</v>
      </c>
      <c r="BW47" s="38">
        <f t="shared" si="28"/>
        <v>1</v>
      </c>
      <c r="BX47" s="38">
        <f>MAX(0,MIN(Inputs!$C$36,CC46,BY47+BZ47+CA47+Inputs!$C$6-CB46))</f>
        <v>0</v>
      </c>
      <c r="BY47" s="38">
        <f>Inputs!$C$27*(1+Inputs!$C$28)^($A47/12)*IF(Inputs!$B$72=1,$G47,1)*(1-Inputs!$C$72*$H47*(1-Inputs!$E$54*Inputs!$B$72))*(1+$I47)*IF(Inputs!$C$29=0,1,(MAX(CB46,0)/Inputs!$C$6)^Inputs!$C$29)</f>
        <v>10714.83222860049</v>
      </c>
      <c r="BZ47" s="38">
        <f>Inputs!$C$32*CB46/Inputs!$C$6</f>
        <v>4670.0854890448891</v>
      </c>
      <c r="CA47" s="38">
        <f>Inputs!$C$33</f>
        <v>2000</v>
      </c>
      <c r="CB47" s="38">
        <f t="shared" si="29"/>
        <v>536106.69579878601</v>
      </c>
      <c r="CC47" s="38">
        <f t="shared" si="30"/>
        <v>0</v>
      </c>
      <c r="CD47" s="38">
        <f>Inputs!$C$19*(1-Inputs!$C$72*$H47)+Inputs!$C$21+Inputs!$B$72*$J47</f>
        <v>481875</v>
      </c>
      <c r="CE47" s="38">
        <f t="shared" si="31"/>
        <v>54231.695798786008</v>
      </c>
      <c r="CF47" s="38">
        <f t="shared" si="32"/>
        <v>0</v>
      </c>
      <c r="CG47" s="38">
        <f>MAX(0,MIN(Inputs!$D$36,CL46,CH47+CI47+CJ47+Inputs!$D$6-CK46))</f>
        <v>13554.21375107253</v>
      </c>
      <c r="CH47" s="38">
        <f>Inputs!$D$27*(1+Inputs!$D$28)^($A47/12)*IF(Inputs!$B$72=1,$G47,1)*(1-Inputs!$C$72*$H47*(1-Inputs!$E$54*Inputs!$B$72))*(1+$I47)*IF(Inputs!$D$29=0,1,(MAX(CK46,0)/Inputs!$D$6)^Inputs!$D$29)</f>
        <v>7854.2137510725761</v>
      </c>
      <c r="CI47" s="38">
        <f>Inputs!$D$32*CK46/Inputs!$D$6</f>
        <v>4200</v>
      </c>
      <c r="CJ47" s="38">
        <f>Inputs!$D$33</f>
        <v>1500</v>
      </c>
      <c r="CK47" s="38">
        <f t="shared" si="33"/>
        <v>880000</v>
      </c>
      <c r="CL47" s="38">
        <f t="shared" si="34"/>
        <v>295910.02633148339</v>
      </c>
      <c r="CM47" s="38">
        <f>Inputs!$D$19*(1-Inputs!$C$72*$H47)+Inputs!$D$21+Inputs!$B$72*$J47</f>
        <v>393731.25</v>
      </c>
      <c r="CN47" s="38">
        <f t="shared" si="35"/>
        <v>486268.75</v>
      </c>
      <c r="CO47" s="38">
        <f t="shared" si="36"/>
        <v>0</v>
      </c>
      <c r="CP47" s="38">
        <f>MAX(0,MIN(Inputs!$B$36,CU46,CQ47+CR47+CS47+Inputs!$B$6-CT46))</f>
        <v>0</v>
      </c>
      <c r="CQ47" s="38">
        <f>Inputs!$B$27*(1+Inputs!$B$28)^($A47/12)*IF(Inputs!$B$73=1,$G47,1)*(1-Inputs!$C$73*$H47*(1-Inputs!$E$54*Inputs!$B$73))*(1+$I47)*IF(Inputs!$B$29=0,1,(MAX(CT46,0)/Inputs!$B$6)^Inputs!$B$29)</f>
        <v>14761.682204228335</v>
      </c>
      <c r="CR47" s="38">
        <f>Inputs!$B$32*CT46/Inputs!$B$6</f>
        <v>927.05880424643385</v>
      </c>
      <c r="CS47" s="38">
        <f>Inputs!$B$33</f>
        <v>2500</v>
      </c>
      <c r="CT47" s="38">
        <f t="shared" si="37"/>
        <v>40181.628147782176</v>
      </c>
      <c r="CU47" s="38">
        <f t="shared" si="38"/>
        <v>0</v>
      </c>
      <c r="CV47" s="38">
        <f>Inputs!$B$19*(1-Inputs!$C$73*$H47)+Inputs!$B$21+Inputs!$B$73*$J47</f>
        <v>585687.5</v>
      </c>
      <c r="CW47" s="38">
        <f t="shared" si="39"/>
        <v>-545505.87185221782</v>
      </c>
      <c r="CX47" s="38">
        <f t="shared" si="40"/>
        <v>1</v>
      </c>
      <c r="CY47" s="38">
        <f>MAX(0,MIN(Inputs!$C$36,DD46,CZ47+DA47+DB47+Inputs!$C$6-DC46))</f>
        <v>0</v>
      </c>
      <c r="CZ47" s="38">
        <f>Inputs!$C$27*(1+Inputs!$C$28)^($A47/12)*IF(Inputs!$B$73=1,$G47,1)*(1-Inputs!$C$73*$H47*(1-Inputs!$E$54*Inputs!$B$73))*(1+$I47)*IF(Inputs!$C$29=0,1,(MAX(DC46,0)/Inputs!$C$6)^Inputs!$C$29)</f>
        <v>9612.0500080965594</v>
      </c>
      <c r="DA47" s="38">
        <f>Inputs!$C$32*DC46/Inputs!$C$6</f>
        <v>4981.9529856416648</v>
      </c>
      <c r="DB47" s="38">
        <f>Inputs!$C$33</f>
        <v>2000</v>
      </c>
      <c r="DC47" s="38">
        <f t="shared" si="41"/>
        <v>573859.68419342209</v>
      </c>
      <c r="DD47" s="38">
        <f t="shared" si="42"/>
        <v>0</v>
      </c>
      <c r="DE47" s="38">
        <f>Inputs!$C$19*(1-Inputs!$C$73*$H47)+Inputs!$C$21+Inputs!$B$73*$J47</f>
        <v>487875</v>
      </c>
      <c r="DF47" s="38">
        <f t="shared" si="43"/>
        <v>85984.684193422087</v>
      </c>
      <c r="DG47" s="38">
        <f t="shared" si="44"/>
        <v>0</v>
      </c>
      <c r="DH47" s="38">
        <f>MAX(0,MIN(Inputs!$D$36,DM46,DI47+DJ47+DK47+Inputs!$D$6-DL46))</f>
        <v>12632.895660080831</v>
      </c>
      <c r="DI47" s="38">
        <f>Inputs!$D$27*(1+Inputs!$D$28)^($A47/12)*IF(Inputs!$B$73=1,$G47,1)*(1-Inputs!$C$73*$H47*(1-Inputs!$E$54*Inputs!$B$73))*(1+$I47)*IF(Inputs!$D$29=0,1,(MAX(DL46,0)/Inputs!$D$6)^Inputs!$D$29)</f>
        <v>6932.8956600808306</v>
      </c>
      <c r="DJ47" s="38">
        <f>Inputs!$D$32*DL46/Inputs!$D$6</f>
        <v>4200</v>
      </c>
      <c r="DK47" s="38">
        <f>Inputs!$D$33</f>
        <v>1500</v>
      </c>
      <c r="DL47" s="38">
        <f t="shared" si="45"/>
        <v>880000</v>
      </c>
      <c r="DM47" s="38">
        <f t="shared" si="46"/>
        <v>326983.83197020274</v>
      </c>
      <c r="DN47" s="38">
        <f>Inputs!$D$19*(1-Inputs!$C$73*$H47)+Inputs!$D$21+Inputs!$B$73*$J47</f>
        <v>399731.25</v>
      </c>
      <c r="DO47" s="38">
        <f t="shared" si="47"/>
        <v>480268.75</v>
      </c>
      <c r="DP47" s="38">
        <f t="shared" si="48"/>
        <v>0</v>
      </c>
    </row>
    <row r="48" spans="1:120" x14ac:dyDescent="0.35">
      <c r="A48" s="29">
        <v>43</v>
      </c>
      <c r="B48" s="34">
        <f>EDATE(Inputs!$B$67,$A48)</f>
        <v>47574</v>
      </c>
      <c r="C48" s="35">
        <f>IF(Inputs!$E$47&lt;=0,Inputs!$E$46,Inputs!$E$44+(Inputs!$E$46-Inputs!$E$44)*MIN($A48/Inputs!$E$47,1))</f>
        <v>0.7</v>
      </c>
      <c r="D48" s="35">
        <f>MIN(Inputs!$E$57,Inputs!$E$55*(1+Inputs!$E$56)^($A48/12))*Inputs!$E$58*(1+Inputs!$E$59)^($A48/12)/Inputs!$E$45</f>
        <v>1.4024091982264795</v>
      </c>
      <c r="E48" s="35">
        <f>MAX(Inputs!$E$44,MIN(C48,D48))</f>
        <v>0.7</v>
      </c>
      <c r="F48" s="35">
        <f>IF(Inputs!$E$50&lt;=0,Inputs!$E$49,Inputs!$E$48+(Inputs!$E$49-Inputs!$E$48)*MIN($A48/Inputs!$E$50,1))</f>
        <v>0.12</v>
      </c>
      <c r="G48" s="36">
        <f>(Inputs!$E$41*(1-E48*Inputs!$E$51)+Inputs!$E$42*(1-F48*Inputs!$E$51))/(Inputs!$E$41*(1-Inputs!$E$44*Inputs!$E$51)+Inputs!$E$42*(1-Inputs!$E$48*Inputs!$E$51))</f>
        <v>0.8423127463863338</v>
      </c>
      <c r="H48" s="35">
        <f>IF(Inputs!$E$53&lt;=0,Inputs!$E$52,Inputs!$E$52*MIN($A48/Inputs!$E$53,1))</f>
        <v>8.9583333333333348E-2</v>
      </c>
      <c r="I48" s="35">
        <f>IF(Inputs!$E$64&lt;=0,Inputs!$E$63,Inputs!$E$62+(Inputs!$E$63-Inputs!$E$62)*MIN($A48/Inputs!$E$64,1))</f>
        <v>0.03</v>
      </c>
      <c r="J48" s="37">
        <f>(E48-Inputs!$E$44)*Inputs!$E$45/Inputs!$E$60*Inputs!$E$61</f>
        <v>5999.9999999999991</v>
      </c>
      <c r="K48" s="29">
        <f t="shared" si="0"/>
        <v>0</v>
      </c>
      <c r="L48" s="29"/>
      <c r="M48" s="38">
        <f>MAX(0,MIN(Inputs!$B$36,R47,N48+O48+P48+Inputs!$B$6-Q47))</f>
        <v>0</v>
      </c>
      <c r="N48" s="38">
        <f>Inputs!$B$27*(1+Inputs!$B$28)^($A48/12)*IF(Inputs!$B$70=1,$G48,1)*(1-Inputs!$C$70*$H48*(1-Inputs!$E$54*Inputs!$B$70))*(1+$I48)*IF(Inputs!$B$29=0,1,(MAX(Q47,0)/Inputs!$B$6)^Inputs!$B$29)</f>
        <v>18401.651664307275</v>
      </c>
      <c r="O48" s="38">
        <f>Inputs!$B$32*Q47/Inputs!$B$6</f>
        <v>0</v>
      </c>
      <c r="P48" s="38">
        <f>Inputs!$B$33</f>
        <v>2500</v>
      </c>
      <c r="Q48" s="38">
        <f t="shared" si="1"/>
        <v>0</v>
      </c>
      <c r="R48" s="38">
        <f t="shared" si="2"/>
        <v>0</v>
      </c>
      <c r="S48" s="38">
        <f>Inputs!$B$19*(1-Inputs!$C$70*$H48)+Inputs!$B$21+Inputs!$B$70*$J48</f>
        <v>595000</v>
      </c>
      <c r="T48" s="38">
        <f t="shared" si="3"/>
        <v>-595000</v>
      </c>
      <c r="U48" s="38">
        <f t="shared" si="4"/>
        <v>1</v>
      </c>
      <c r="V48" s="38">
        <f>MAX(0,MIN(Inputs!$C$36,AA47,W48+X48+Y48+Inputs!$C$6-Z47))</f>
        <v>0</v>
      </c>
      <c r="W48" s="38">
        <f>Inputs!$C$27*(1+Inputs!$C$28)^($A48/12)*IF(Inputs!$B$70=1,$G48,1)*(1-Inputs!$C$70*$H48*(1-Inputs!$E$54*Inputs!$B$70))*(1+$I48)*IF(Inputs!$C$29=0,1,(MAX(Z47,0)/Inputs!$C$6)^Inputs!$C$29)</f>
        <v>11534.548388826031</v>
      </c>
      <c r="X48" s="38">
        <f>Inputs!$C$32*Z47/Inputs!$C$6</f>
        <v>4348.2770083442065</v>
      </c>
      <c r="Y48" s="38">
        <f>Inputs!$C$33</f>
        <v>2000</v>
      </c>
      <c r="Z48" s="38">
        <f t="shared" si="5"/>
        <v>497468.52373992105</v>
      </c>
      <c r="AA48" s="38">
        <f t="shared" si="6"/>
        <v>0</v>
      </c>
      <c r="AB48" s="38">
        <f>Inputs!$C$19*(1-Inputs!$C$70*$H48)+Inputs!$C$21+Inputs!$B$70*$J48</f>
        <v>495000</v>
      </c>
      <c r="AC48" s="38">
        <f t="shared" si="7"/>
        <v>2468.5237399210455</v>
      </c>
      <c r="AD48" s="38">
        <f t="shared" si="8"/>
        <v>0</v>
      </c>
      <c r="AE48" s="38">
        <f>MAX(0,MIN(Inputs!$D$36,AJ47,AF48+AG48+AH48+Inputs!$D$6-AI47))</f>
        <v>14270.644411701011</v>
      </c>
      <c r="AF48" s="38">
        <f>Inputs!$D$27*(1+Inputs!$D$28)^($A48/12)*IF(Inputs!$B$70=1,$G48,1)*(1-Inputs!$C$70*$H48*(1-Inputs!$E$54*Inputs!$B$70))*(1+$I48)*IF(Inputs!$D$29=0,1,(MAX(AI47,0)/Inputs!$D$6)^Inputs!$D$29)</f>
        <v>8570.6444117009869</v>
      </c>
      <c r="AG48" s="38">
        <f>Inputs!$D$32*AI47/Inputs!$D$6</f>
        <v>4200</v>
      </c>
      <c r="AH48" s="38">
        <f>Inputs!$D$33</f>
        <v>1500</v>
      </c>
      <c r="AI48" s="38">
        <f t="shared" si="9"/>
        <v>880000</v>
      </c>
      <c r="AJ48" s="38">
        <f t="shared" si="10"/>
        <v>264513.7526193466</v>
      </c>
      <c r="AK48" s="38">
        <f>Inputs!$D$19*(1-Inputs!$C$70*$H48)+Inputs!$D$21+Inputs!$B$70*$J48</f>
        <v>404800</v>
      </c>
      <c r="AL48" s="38">
        <f t="shared" si="11"/>
        <v>475200</v>
      </c>
      <c r="AM48" s="38">
        <f t="shared" si="12"/>
        <v>0</v>
      </c>
      <c r="AN48" s="38">
        <f>MAX(0,MIN(Inputs!$B$36,AS47,AO48+AP48+AQ48+Inputs!$B$6-AR47))</f>
        <v>0</v>
      </c>
      <c r="AO48" s="38">
        <f>Inputs!$B$27*(1+Inputs!$B$28)^($A48/12)*IF(Inputs!$B$71=1,$G48,1)*(1-Inputs!$C$71*$H48*(1-Inputs!$E$54*Inputs!$B$71))*(1+$I48)*IF(Inputs!$B$29=0,1,(MAX(AR47,0)/Inputs!$B$6)^Inputs!$B$29)</f>
        <v>15499.945751407311</v>
      </c>
      <c r="AP48" s="38">
        <f>Inputs!$B$32*AR47/Inputs!$B$6</f>
        <v>455.89677510822389</v>
      </c>
      <c r="AQ48" s="38">
        <f>Inputs!$B$33</f>
        <v>2500</v>
      </c>
      <c r="AR48" s="38">
        <f t="shared" si="13"/>
        <v>10248.76923955782</v>
      </c>
      <c r="AS48" s="38">
        <f t="shared" si="14"/>
        <v>0</v>
      </c>
      <c r="AT48" s="38">
        <f>Inputs!$B$19*(1-Inputs!$C$71*$H48)+Inputs!$B$21+Inputs!$B$71*$J48</f>
        <v>601000</v>
      </c>
      <c r="AU48" s="38">
        <f t="shared" si="15"/>
        <v>-590751.23076044221</v>
      </c>
      <c r="AV48" s="38">
        <f t="shared" si="16"/>
        <v>1</v>
      </c>
      <c r="AW48" s="38">
        <f>MAX(0,MIN(Inputs!$C$36,BB47,AX48+AY48+AZ48+Inputs!$C$6-BA47))</f>
        <v>0</v>
      </c>
      <c r="AX48" s="38">
        <f>Inputs!$C$27*(1+Inputs!$C$28)^($A48/12)*IF(Inputs!$B$71=1,$G48,1)*(1-Inputs!$C$71*$H48*(1-Inputs!$E$54*Inputs!$B$71))*(1+$I48)*IF(Inputs!$C$29=0,1,(MAX(BA47,0)/Inputs!$C$6)^Inputs!$C$29)</f>
        <v>9940.1614902421661</v>
      </c>
      <c r="AY48" s="38">
        <f>Inputs!$C$32*BA47/Inputs!$C$6</f>
        <v>4764.2560200240459</v>
      </c>
      <c r="AZ48" s="38">
        <f>Inputs!$C$33</f>
        <v>2000</v>
      </c>
      <c r="BA48" s="38">
        <f t="shared" si="17"/>
        <v>547948.14782591711</v>
      </c>
      <c r="BB48" s="38">
        <f t="shared" si="18"/>
        <v>0</v>
      </c>
      <c r="BC48" s="38">
        <f>Inputs!$C$19*(1-Inputs!$C$71*$H48)+Inputs!$C$21+Inputs!$B$71*$J48</f>
        <v>501000</v>
      </c>
      <c r="BD48" s="38">
        <f t="shared" si="19"/>
        <v>46948.147825917113</v>
      </c>
      <c r="BE48" s="38">
        <f t="shared" si="20"/>
        <v>0</v>
      </c>
      <c r="BF48" s="38">
        <f>MAX(0,MIN(Inputs!$D$36,BK47,BG48+BH48+BI48+Inputs!$D$6-BJ47))</f>
        <v>12919.163032720564</v>
      </c>
      <c r="BG48" s="38">
        <f>Inputs!$D$27*(1+Inputs!$D$28)^($A48/12)*IF(Inputs!$B$71=1,$G48,1)*(1-Inputs!$C$71*$H48*(1-Inputs!$E$54*Inputs!$B$71))*(1+$I48)*IF(Inputs!$D$29=0,1,(MAX(BJ47,0)/Inputs!$D$6)^Inputs!$D$29)</f>
        <v>7219.1630327205421</v>
      </c>
      <c r="BH48" s="38">
        <f>Inputs!$D$32*BJ47/Inputs!$D$6</f>
        <v>4200</v>
      </c>
      <c r="BI48" s="38">
        <f>Inputs!$D$33</f>
        <v>1500</v>
      </c>
      <c r="BJ48" s="38">
        <f t="shared" si="21"/>
        <v>880000</v>
      </c>
      <c r="BK48" s="38">
        <f t="shared" si="22"/>
        <v>306631.48329155764</v>
      </c>
      <c r="BL48" s="38">
        <f>Inputs!$D$19*(1-Inputs!$C$71*$H48)+Inputs!$D$21+Inputs!$B$71*$J48</f>
        <v>410800</v>
      </c>
      <c r="BM48" s="38">
        <f t="shared" si="23"/>
        <v>469200</v>
      </c>
      <c r="BN48" s="38">
        <f t="shared" si="24"/>
        <v>0</v>
      </c>
      <c r="BO48" s="38">
        <f>MAX(0,MIN(Inputs!$B$36,BT47,BP48+BQ48+BR48+Inputs!$B$6-BS47))</f>
        <v>0</v>
      </c>
      <c r="BP48" s="38">
        <f>Inputs!$B$27*(1+Inputs!$B$28)^($A48/12)*IF(Inputs!$B$72=1,$G48,1)*(1-Inputs!$C$72*$H48*(1-Inputs!$E$54*Inputs!$B$72))*(1+$I48)*IF(Inputs!$B$29=0,1,(MAX(BS47,0)/Inputs!$B$6)^Inputs!$B$29)</f>
        <v>16753.170369379746</v>
      </c>
      <c r="BQ48" s="38">
        <f>Inputs!$B$32*BS47/Inputs!$B$6</f>
        <v>0</v>
      </c>
      <c r="BR48" s="38">
        <f>Inputs!$B$33</f>
        <v>2500</v>
      </c>
      <c r="BS48" s="38">
        <f t="shared" si="25"/>
        <v>0</v>
      </c>
      <c r="BT48" s="38">
        <f t="shared" si="26"/>
        <v>0</v>
      </c>
      <c r="BU48" s="38">
        <f>Inputs!$B$19*(1-Inputs!$C$72*$H48)+Inputs!$B$21+Inputs!$B$72*$J48</f>
        <v>579322.91666666663</v>
      </c>
      <c r="BV48" s="38">
        <f t="shared" si="27"/>
        <v>-579322.91666666663</v>
      </c>
      <c r="BW48" s="38">
        <f t="shared" si="28"/>
        <v>1</v>
      </c>
      <c r="BX48" s="38">
        <f>MAX(0,MIN(Inputs!$C$36,CC47,BY48+BZ48+CA48+Inputs!$C$6-CB47))</f>
        <v>0</v>
      </c>
      <c r="BY48" s="38">
        <f>Inputs!$C$27*(1+Inputs!$C$28)^($A48/12)*IF(Inputs!$B$72=1,$G48,1)*(1-Inputs!$C$72*$H48*(1-Inputs!$E$54*Inputs!$B$72))*(1+$I48)*IF(Inputs!$C$29=0,1,(MAX(CB47,0)/Inputs!$C$6)^Inputs!$C$29)</f>
        <v>10605.416975127311</v>
      </c>
      <c r="BZ48" s="38">
        <f>Inputs!$C$32*CB47/Inputs!$C$6</f>
        <v>4523.4002458022569</v>
      </c>
      <c r="CA48" s="38">
        <f>Inputs!$C$33</f>
        <v>2000</v>
      </c>
      <c r="CB48" s="38">
        <f t="shared" si="29"/>
        <v>518977.87857785646</v>
      </c>
      <c r="CC48" s="38">
        <f t="shared" si="30"/>
        <v>0</v>
      </c>
      <c r="CD48" s="38">
        <f>Inputs!$C$19*(1-Inputs!$C$72*$H48)+Inputs!$C$21+Inputs!$B$72*$J48</f>
        <v>481562.5</v>
      </c>
      <c r="CE48" s="38">
        <f t="shared" si="31"/>
        <v>37415.378577856463</v>
      </c>
      <c r="CF48" s="38">
        <f t="shared" si="32"/>
        <v>0</v>
      </c>
      <c r="CG48" s="38">
        <f>MAX(0,MIN(Inputs!$D$36,CL47,CH48+CI48+CJ48+Inputs!$D$6-CK47))</f>
        <v>13502.857516486081</v>
      </c>
      <c r="CH48" s="38">
        <f>Inputs!$D$27*(1+Inputs!$D$28)^($A48/12)*IF(Inputs!$B$72=1,$G48,1)*(1-Inputs!$C$72*$H48*(1-Inputs!$E$54*Inputs!$B$72))*(1+$I48)*IF(Inputs!$D$29=0,1,(MAX(CK47,0)/Inputs!$D$6)^Inputs!$D$29)</f>
        <v>7802.8575164861068</v>
      </c>
      <c r="CI48" s="38">
        <f>Inputs!$D$32*CK47/Inputs!$D$6</f>
        <v>4200</v>
      </c>
      <c r="CJ48" s="38">
        <f>Inputs!$D$33</f>
        <v>1500</v>
      </c>
      <c r="CK48" s="38">
        <f t="shared" si="33"/>
        <v>880000</v>
      </c>
      <c r="CL48" s="38">
        <f t="shared" si="34"/>
        <v>282407.16881499731</v>
      </c>
      <c r="CM48" s="38">
        <f>Inputs!$D$19*(1-Inputs!$C$72*$H48)+Inputs!$D$21+Inputs!$B$72*$J48</f>
        <v>393467.70833333331</v>
      </c>
      <c r="CN48" s="38">
        <f t="shared" si="35"/>
        <v>486532.29166666669</v>
      </c>
      <c r="CO48" s="38">
        <f t="shared" si="36"/>
        <v>0</v>
      </c>
      <c r="CP48" s="38">
        <f>MAX(0,MIN(Inputs!$B$36,CU47,CQ48+CR48+CS48+Inputs!$B$6-CT47))</f>
        <v>0</v>
      </c>
      <c r="CQ48" s="38">
        <f>Inputs!$B$27*(1+Inputs!$B$28)^($A48/12)*IF(Inputs!$B$73=1,$G48,1)*(1-Inputs!$C$73*$H48*(1-Inputs!$E$54*Inputs!$B$73))*(1+$I48)*IF(Inputs!$B$29=0,1,(MAX(CT47,0)/Inputs!$B$6)^Inputs!$B$29)</f>
        <v>14805.677347958857</v>
      </c>
      <c r="CR48" s="38">
        <f>Inputs!$B$32*CT47/Inputs!$B$6</f>
        <v>638.17879999418744</v>
      </c>
      <c r="CS48" s="38">
        <f>Inputs!$B$33</f>
        <v>2500</v>
      </c>
      <c r="CT48" s="38">
        <f t="shared" si="37"/>
        <v>22237.771999829129</v>
      </c>
      <c r="CU48" s="38">
        <f t="shared" si="38"/>
        <v>0</v>
      </c>
      <c r="CV48" s="38">
        <f>Inputs!$B$19*(1-Inputs!$C$73*$H48)+Inputs!$B$21+Inputs!$B$73*$J48</f>
        <v>585322.91666666663</v>
      </c>
      <c r="CW48" s="38">
        <f t="shared" si="39"/>
        <v>-563085.14466683753</v>
      </c>
      <c r="CX48" s="38">
        <f t="shared" si="40"/>
        <v>1</v>
      </c>
      <c r="CY48" s="38">
        <f>MAX(0,MIN(Inputs!$C$36,DD47,CZ48+DA48+DB48+Inputs!$C$6-DC47))</f>
        <v>0</v>
      </c>
      <c r="CZ48" s="38">
        <f>Inputs!$C$27*(1+Inputs!$C$28)^($A48/12)*IF(Inputs!$B$73=1,$G48,1)*(1-Inputs!$C$73*$H48*(1-Inputs!$E$54*Inputs!$B$73))*(1+$I48)*IF(Inputs!$C$29=0,1,(MAX(DC47,0)/Inputs!$C$6)^Inputs!$C$29)</f>
        <v>9533.3962609918071</v>
      </c>
      <c r="DA48" s="38">
        <f>Inputs!$C$32*DC47/Inputs!$C$6</f>
        <v>4841.9410853819982</v>
      </c>
      <c r="DB48" s="38">
        <f>Inputs!$C$33</f>
        <v>2000</v>
      </c>
      <c r="DC48" s="38">
        <f t="shared" si="41"/>
        <v>557484.34684704826</v>
      </c>
      <c r="DD48" s="38">
        <f t="shared" si="42"/>
        <v>0</v>
      </c>
      <c r="DE48" s="38">
        <f>Inputs!$C$19*(1-Inputs!$C$73*$H48)+Inputs!$C$21+Inputs!$B$73*$J48</f>
        <v>487562.5</v>
      </c>
      <c r="DF48" s="38">
        <f t="shared" si="43"/>
        <v>69921.846847048262</v>
      </c>
      <c r="DG48" s="38">
        <f t="shared" si="44"/>
        <v>0</v>
      </c>
      <c r="DH48" s="38">
        <f>MAX(0,MIN(Inputs!$D$36,DM47,DI48+DJ48+DK48+Inputs!$D$6-DL47))</f>
        <v>12595.804688546574</v>
      </c>
      <c r="DI48" s="38">
        <f>Inputs!$D$27*(1+Inputs!$D$28)^($A48/12)*IF(Inputs!$B$73=1,$G48,1)*(1-Inputs!$C$73*$H48*(1-Inputs!$E$54*Inputs!$B$73))*(1+$I48)*IF(Inputs!$D$29=0,1,(MAX(DL47,0)/Inputs!$D$6)^Inputs!$D$29)</f>
        <v>6895.804688546601</v>
      </c>
      <c r="DJ48" s="38">
        <f>Inputs!$D$32*DL47/Inputs!$D$6</f>
        <v>4200</v>
      </c>
      <c r="DK48" s="38">
        <f>Inputs!$D$33</f>
        <v>1500</v>
      </c>
      <c r="DL48" s="38">
        <f t="shared" si="45"/>
        <v>880000</v>
      </c>
      <c r="DM48" s="38">
        <f t="shared" si="46"/>
        <v>314388.02728165616</v>
      </c>
      <c r="DN48" s="38">
        <f>Inputs!$D$19*(1-Inputs!$C$73*$H48)+Inputs!$D$21+Inputs!$B$73*$J48</f>
        <v>399467.70833333331</v>
      </c>
      <c r="DO48" s="38">
        <f t="shared" si="47"/>
        <v>480532.29166666669</v>
      </c>
      <c r="DP48" s="38">
        <f t="shared" si="48"/>
        <v>0</v>
      </c>
    </row>
    <row r="49" spans="1:120" x14ac:dyDescent="0.35">
      <c r="A49" s="29">
        <v>44</v>
      </c>
      <c r="B49" s="34">
        <f>EDATE(Inputs!$B$67,$A49)</f>
        <v>47604</v>
      </c>
      <c r="C49" s="35">
        <f>IF(Inputs!$E$47&lt;=0,Inputs!$E$46,Inputs!$E$44+(Inputs!$E$46-Inputs!$E$44)*MIN($A49/Inputs!$E$47,1))</f>
        <v>0.7</v>
      </c>
      <c r="D49" s="35">
        <f>MIN(Inputs!$E$57,Inputs!$E$55*(1+Inputs!$E$56)^($A49/12))*Inputs!$E$58*(1+Inputs!$E$59)^($A49/12)/Inputs!$E$45</f>
        <v>1.442288324579329</v>
      </c>
      <c r="E49" s="35">
        <f>MAX(Inputs!$E$44,MIN(C49,D49))</f>
        <v>0.7</v>
      </c>
      <c r="F49" s="35">
        <f>IF(Inputs!$E$50&lt;=0,Inputs!$E$49,Inputs!$E$48+(Inputs!$E$49-Inputs!$E$48)*MIN($A49/Inputs!$E$50,1))</f>
        <v>0.12</v>
      </c>
      <c r="G49" s="36">
        <f>(Inputs!$E$41*(1-E49*Inputs!$E$51)+Inputs!$E$42*(1-F49*Inputs!$E$51))/(Inputs!$E$41*(1-Inputs!$E$44*Inputs!$E$51)+Inputs!$E$42*(1-Inputs!$E$48*Inputs!$E$51))</f>
        <v>0.8423127463863338</v>
      </c>
      <c r="H49" s="35">
        <f>IF(Inputs!$E$53&lt;=0,Inputs!$E$52,Inputs!$E$52*MIN($A49/Inputs!$E$53,1))</f>
        <v>9.1666666666666674E-2</v>
      </c>
      <c r="I49" s="35">
        <f>IF(Inputs!$E$64&lt;=0,Inputs!$E$63,Inputs!$E$62+(Inputs!$E$63-Inputs!$E$62)*MIN($A49/Inputs!$E$64,1))</f>
        <v>0.03</v>
      </c>
      <c r="J49" s="37">
        <f>(E49-Inputs!$E$44)*Inputs!$E$45/Inputs!$E$60*Inputs!$E$61</f>
        <v>5999.9999999999991</v>
      </c>
      <c r="K49" s="29">
        <f t="shared" si="0"/>
        <v>0</v>
      </c>
      <c r="L49" s="29"/>
      <c r="M49" s="38">
        <f>MAX(0,MIN(Inputs!$B$36,R48,N49+O49+P49+Inputs!$B$6-Q48))</f>
        <v>0</v>
      </c>
      <c r="N49" s="38">
        <f>Inputs!$B$27*(1+Inputs!$B$28)^($A49/12)*IF(Inputs!$B$70=1,$G49,1)*(1-Inputs!$C$70*$H49*(1-Inputs!$E$54*Inputs!$B$70))*(1+$I49)*IF(Inputs!$B$29=0,1,(MAX(Q48,0)/Inputs!$B$6)^Inputs!$B$29)</f>
        <v>18476.622271011234</v>
      </c>
      <c r="O49" s="38">
        <f>Inputs!$B$32*Q48/Inputs!$B$6</f>
        <v>0</v>
      </c>
      <c r="P49" s="38">
        <f>Inputs!$B$33</f>
        <v>2500</v>
      </c>
      <c r="Q49" s="38">
        <f t="shared" si="1"/>
        <v>0</v>
      </c>
      <c r="R49" s="38">
        <f t="shared" si="2"/>
        <v>0</v>
      </c>
      <c r="S49" s="38">
        <f>Inputs!$B$19*(1-Inputs!$C$70*$H49)+Inputs!$B$21+Inputs!$B$70*$J49</f>
        <v>595000</v>
      </c>
      <c r="T49" s="38">
        <f t="shared" si="3"/>
        <v>-595000</v>
      </c>
      <c r="U49" s="38">
        <f t="shared" si="4"/>
        <v>1</v>
      </c>
      <c r="V49" s="38">
        <f>MAX(0,MIN(Inputs!$C$36,AA48,W49+X49+Y49+Inputs!$C$6-Z48))</f>
        <v>0</v>
      </c>
      <c r="W49" s="38">
        <f>Inputs!$C$27*(1+Inputs!$C$28)^($A49/12)*IF(Inputs!$B$70=1,$G49,1)*(1-Inputs!$C$70*$H49*(1-Inputs!$E$54*Inputs!$B$70))*(1+$I49)*IF(Inputs!$C$29=0,1,(MAX(Z48,0)/Inputs!$C$6)^Inputs!$C$29)</f>
        <v>11433.156353130767</v>
      </c>
      <c r="X49" s="38">
        <f>Inputs!$C$32*Z48/Inputs!$C$6</f>
        <v>4197.3906690555832</v>
      </c>
      <c r="Y49" s="38">
        <f>Inputs!$C$33</f>
        <v>2000</v>
      </c>
      <c r="Z49" s="38">
        <f t="shared" si="5"/>
        <v>479837.97671773471</v>
      </c>
      <c r="AA49" s="38">
        <f t="shared" si="6"/>
        <v>0</v>
      </c>
      <c r="AB49" s="38">
        <f>Inputs!$C$19*(1-Inputs!$C$70*$H49)+Inputs!$C$21+Inputs!$B$70*$J49</f>
        <v>495000</v>
      </c>
      <c r="AC49" s="38">
        <f t="shared" si="7"/>
        <v>-15162.023282265291</v>
      </c>
      <c r="AD49" s="38">
        <f t="shared" si="8"/>
        <v>1</v>
      </c>
      <c r="AE49" s="38">
        <f>MAX(0,MIN(Inputs!$D$36,AJ48,AF49+AG49+AH49+Inputs!$D$6-AI48))</f>
        <v>14234.087881156011</v>
      </c>
      <c r="AF49" s="38">
        <f>Inputs!$D$27*(1+Inputs!$D$28)^($A49/12)*IF(Inputs!$B$70=1,$G49,1)*(1-Inputs!$C$70*$H49*(1-Inputs!$E$54*Inputs!$B$70))*(1+$I49)*IF(Inputs!$D$29=0,1,(MAX(AI48,0)/Inputs!$D$6)^Inputs!$D$29)</f>
        <v>8534.0878811559651</v>
      </c>
      <c r="AG49" s="38">
        <f>Inputs!$D$32*AI48/Inputs!$D$6</f>
        <v>4200</v>
      </c>
      <c r="AH49" s="38">
        <f>Inputs!$D$33</f>
        <v>1500</v>
      </c>
      <c r="AI49" s="38">
        <f t="shared" si="9"/>
        <v>880000</v>
      </c>
      <c r="AJ49" s="38">
        <f t="shared" si="10"/>
        <v>250279.66473819059</v>
      </c>
      <c r="AK49" s="38">
        <f>Inputs!$D$19*(1-Inputs!$C$70*$H49)+Inputs!$D$21+Inputs!$B$70*$J49</f>
        <v>404800</v>
      </c>
      <c r="AL49" s="38">
        <f t="shared" si="11"/>
        <v>475200</v>
      </c>
      <c r="AM49" s="38">
        <f t="shared" si="12"/>
        <v>0</v>
      </c>
      <c r="AN49" s="38">
        <f>MAX(0,MIN(Inputs!$B$36,AS48,AO49+AP49+AQ49+Inputs!$B$6-AR48))</f>
        <v>0</v>
      </c>
      <c r="AO49" s="38">
        <f>Inputs!$B$27*(1+Inputs!$B$28)^($A49/12)*IF(Inputs!$B$71=1,$G49,1)*(1-Inputs!$C$71*$H49*(1-Inputs!$E$54*Inputs!$B$71))*(1+$I49)*IF(Inputs!$B$29=0,1,(MAX(AR48,0)/Inputs!$B$6)^Inputs!$B$29)</f>
        <v>15563.094449038374</v>
      </c>
      <c r="AP49" s="38">
        <f>Inputs!$B$32*AR48/Inputs!$B$6</f>
        <v>162.77457027533009</v>
      </c>
      <c r="AQ49" s="38">
        <f>Inputs!$B$33</f>
        <v>2500</v>
      </c>
      <c r="AR49" s="38">
        <f t="shared" si="13"/>
        <v>0</v>
      </c>
      <c r="AS49" s="38">
        <f t="shared" si="14"/>
        <v>0</v>
      </c>
      <c r="AT49" s="38">
        <f>Inputs!$B$19*(1-Inputs!$C$71*$H49)+Inputs!$B$21+Inputs!$B$71*$J49</f>
        <v>601000</v>
      </c>
      <c r="AU49" s="38">
        <f t="shared" si="15"/>
        <v>-601000</v>
      </c>
      <c r="AV49" s="38">
        <f t="shared" si="16"/>
        <v>1</v>
      </c>
      <c r="AW49" s="38">
        <f>MAX(0,MIN(Inputs!$C$36,BB48,AX49+AY49+AZ49+Inputs!$C$6-BA48))</f>
        <v>0</v>
      </c>
      <c r="AX49" s="38">
        <f>Inputs!$C$27*(1+Inputs!$C$28)^($A49/12)*IF(Inputs!$B$71=1,$G49,1)*(1-Inputs!$C$71*$H49*(1-Inputs!$E$54*Inputs!$B$71))*(1+$I49)*IF(Inputs!$C$29=0,1,(MAX(BA48,0)/Inputs!$C$6)^Inputs!$C$29)</f>
        <v>9865.8152737954242</v>
      </c>
      <c r="AY49" s="38">
        <f>Inputs!$C$32*BA48/Inputs!$C$6</f>
        <v>4623.3124972811756</v>
      </c>
      <c r="AZ49" s="38">
        <f>Inputs!$C$33</f>
        <v>2000</v>
      </c>
      <c r="BA49" s="38">
        <f t="shared" si="17"/>
        <v>531459.0200548406</v>
      </c>
      <c r="BB49" s="38">
        <f t="shared" si="18"/>
        <v>0</v>
      </c>
      <c r="BC49" s="38">
        <f>Inputs!$C$19*(1-Inputs!$C$71*$H49)+Inputs!$C$21+Inputs!$B$71*$J49</f>
        <v>501000</v>
      </c>
      <c r="BD49" s="38">
        <f t="shared" si="19"/>
        <v>30459.020054840599</v>
      </c>
      <c r="BE49" s="38">
        <f t="shared" si="20"/>
        <v>0</v>
      </c>
      <c r="BF49" s="38">
        <f>MAX(0,MIN(Inputs!$D$36,BK48,BG49+BH49+BI49+Inputs!$D$6-BJ48))</f>
        <v>12888.371001078864</v>
      </c>
      <c r="BG49" s="38">
        <f>Inputs!$D$27*(1+Inputs!$D$28)^($A49/12)*IF(Inputs!$B$71=1,$G49,1)*(1-Inputs!$C$71*$H49*(1-Inputs!$E$54*Inputs!$B$71))*(1+$I49)*IF(Inputs!$D$29=0,1,(MAX(BJ48,0)/Inputs!$D$6)^Inputs!$D$29)</f>
        <v>7188.3710010788091</v>
      </c>
      <c r="BH49" s="38">
        <f>Inputs!$D$32*BJ48/Inputs!$D$6</f>
        <v>4200</v>
      </c>
      <c r="BI49" s="38">
        <f>Inputs!$D$33</f>
        <v>1500</v>
      </c>
      <c r="BJ49" s="38">
        <f t="shared" si="21"/>
        <v>880000</v>
      </c>
      <c r="BK49" s="38">
        <f t="shared" si="22"/>
        <v>293743.11229047878</v>
      </c>
      <c r="BL49" s="38">
        <f>Inputs!$D$19*(1-Inputs!$C$71*$H49)+Inputs!$D$21+Inputs!$B$71*$J49</f>
        <v>410800</v>
      </c>
      <c r="BM49" s="38">
        <f t="shared" si="23"/>
        <v>469200</v>
      </c>
      <c r="BN49" s="38">
        <f t="shared" si="24"/>
        <v>0</v>
      </c>
      <c r="BO49" s="38">
        <f>MAX(0,MIN(Inputs!$B$36,BT48,BP49+BQ49+BR49+Inputs!$B$6-BS48))</f>
        <v>0</v>
      </c>
      <c r="BP49" s="38">
        <f>Inputs!$B$27*(1+Inputs!$B$28)^($A49/12)*IF(Inputs!$B$72=1,$G49,1)*(1-Inputs!$C$72*$H49*(1-Inputs!$E$54*Inputs!$B$72))*(1+$I49)*IF(Inputs!$B$29=0,1,(MAX(BS48,0)/Inputs!$B$6)^Inputs!$B$29)</f>
        <v>16782.931896168539</v>
      </c>
      <c r="BQ49" s="38">
        <f>Inputs!$B$32*BS48/Inputs!$B$6</f>
        <v>0</v>
      </c>
      <c r="BR49" s="38">
        <f>Inputs!$B$33</f>
        <v>2500</v>
      </c>
      <c r="BS49" s="38">
        <f t="shared" si="25"/>
        <v>0</v>
      </c>
      <c r="BT49" s="38">
        <f t="shared" si="26"/>
        <v>0</v>
      </c>
      <c r="BU49" s="38">
        <f>Inputs!$B$19*(1-Inputs!$C$72*$H49)+Inputs!$B$21+Inputs!$B$72*$J49</f>
        <v>578958.33333333337</v>
      </c>
      <c r="BV49" s="38">
        <f t="shared" si="27"/>
        <v>-578958.33333333337</v>
      </c>
      <c r="BW49" s="38">
        <f t="shared" si="28"/>
        <v>1</v>
      </c>
      <c r="BX49" s="38">
        <f>MAX(0,MIN(Inputs!$C$36,CC48,BY49+BZ49+CA49+Inputs!$C$6-CB48))</f>
        <v>0</v>
      </c>
      <c r="BY49" s="38">
        <f>Inputs!$C$27*(1+Inputs!$C$28)^($A49/12)*IF(Inputs!$B$72=1,$G49,1)*(1-Inputs!$C$72*$H49*(1-Inputs!$E$54*Inputs!$B$72))*(1+$I49)*IF(Inputs!$C$29=0,1,(MAX(CB48,0)/Inputs!$C$6)^Inputs!$C$29)</f>
        <v>10495.59839557801</v>
      </c>
      <c r="BZ49" s="38">
        <f>Inputs!$C$32*CB48/Inputs!$C$6</f>
        <v>4378.8758505006635</v>
      </c>
      <c r="CA49" s="38">
        <f>Inputs!$C$33</f>
        <v>2000</v>
      </c>
      <c r="CB49" s="38">
        <f t="shared" si="29"/>
        <v>502103.40433177783</v>
      </c>
      <c r="CC49" s="38">
        <f t="shared" si="30"/>
        <v>0</v>
      </c>
      <c r="CD49" s="38">
        <f>Inputs!$C$19*(1-Inputs!$C$72*$H49)+Inputs!$C$21+Inputs!$B$72*$J49</f>
        <v>481250</v>
      </c>
      <c r="CE49" s="38">
        <f t="shared" si="31"/>
        <v>20853.404331777827</v>
      </c>
      <c r="CF49" s="38">
        <f t="shared" si="32"/>
        <v>0</v>
      </c>
      <c r="CG49" s="38">
        <f>MAX(0,MIN(Inputs!$D$36,CL48,CH49+CI49+CJ49+Inputs!$D$6-CK48))</f>
        <v>13451.796492050053</v>
      </c>
      <c r="CH49" s="38">
        <f>Inputs!$D$27*(1+Inputs!$D$28)^($A49/12)*IF(Inputs!$B$72=1,$G49,1)*(1-Inputs!$C$72*$H49*(1-Inputs!$E$54*Inputs!$B$72))*(1+$I49)*IF(Inputs!$D$29=0,1,(MAX(CK48,0)/Inputs!$D$6)^Inputs!$D$29)</f>
        <v>7751.7964920500008</v>
      </c>
      <c r="CI49" s="38">
        <f>Inputs!$D$32*CK48/Inputs!$D$6</f>
        <v>4200</v>
      </c>
      <c r="CJ49" s="38">
        <f>Inputs!$D$33</f>
        <v>1500</v>
      </c>
      <c r="CK49" s="38">
        <f t="shared" si="33"/>
        <v>880000</v>
      </c>
      <c r="CL49" s="38">
        <f t="shared" si="34"/>
        <v>268955.37232294725</v>
      </c>
      <c r="CM49" s="38">
        <f>Inputs!$D$19*(1-Inputs!$C$72*$H49)+Inputs!$D$21+Inputs!$B$72*$J49</f>
        <v>393204.16666666669</v>
      </c>
      <c r="CN49" s="38">
        <f t="shared" si="35"/>
        <v>486795.83333333331</v>
      </c>
      <c r="CO49" s="38">
        <f t="shared" si="36"/>
        <v>0</v>
      </c>
      <c r="CP49" s="38">
        <f>MAX(0,MIN(Inputs!$B$36,CU48,CQ49+CR49+CS49+Inputs!$B$6-CT48))</f>
        <v>0</v>
      </c>
      <c r="CQ49" s="38">
        <f>Inputs!$B$27*(1+Inputs!$B$28)^($A49/12)*IF(Inputs!$B$73=1,$G49,1)*(1-Inputs!$C$73*$H49*(1-Inputs!$E$54*Inputs!$B$73))*(1+$I49)*IF(Inputs!$B$29=0,1,(MAX(CT48,0)/Inputs!$B$6)^Inputs!$B$29)</f>
        <v>14849.785953457447</v>
      </c>
      <c r="CR49" s="38">
        <f>Inputs!$B$32*CT48/Inputs!$B$6</f>
        <v>353.1881435266979</v>
      </c>
      <c r="CS49" s="38">
        <f>Inputs!$B$33</f>
        <v>2500</v>
      </c>
      <c r="CT49" s="38">
        <f t="shared" si="37"/>
        <v>4534.7979028449836</v>
      </c>
      <c r="CU49" s="38">
        <f t="shared" si="38"/>
        <v>0</v>
      </c>
      <c r="CV49" s="38">
        <f>Inputs!$B$19*(1-Inputs!$C$73*$H49)+Inputs!$B$21+Inputs!$B$73*$J49</f>
        <v>584958.33333333337</v>
      </c>
      <c r="CW49" s="38">
        <f t="shared" si="39"/>
        <v>-580423.53543048841</v>
      </c>
      <c r="CX49" s="38">
        <f t="shared" si="40"/>
        <v>1</v>
      </c>
      <c r="CY49" s="38">
        <f>MAX(0,MIN(Inputs!$C$36,DD48,CZ49+DA49+DB49+Inputs!$C$6-DC48))</f>
        <v>0</v>
      </c>
      <c r="CZ49" s="38">
        <f>Inputs!$C$27*(1+Inputs!$C$28)^($A49/12)*IF(Inputs!$B$73=1,$G49,1)*(1-Inputs!$C$73*$H49*(1-Inputs!$E$54*Inputs!$B$73))*(1+$I49)*IF(Inputs!$C$29=0,1,(MAX(DC48,0)/Inputs!$C$6)^Inputs!$C$29)</f>
        <v>9454.3249198700378</v>
      </c>
      <c r="DA49" s="38">
        <f>Inputs!$C$32*DC48/Inputs!$C$6</f>
        <v>4703.7741765219689</v>
      </c>
      <c r="DB49" s="38">
        <f>Inputs!$C$33</f>
        <v>2000</v>
      </c>
      <c r="DC49" s="38">
        <f t="shared" si="41"/>
        <v>541326.24775065633</v>
      </c>
      <c r="DD49" s="38">
        <f t="shared" si="42"/>
        <v>0</v>
      </c>
      <c r="DE49" s="38">
        <f>Inputs!$C$19*(1-Inputs!$C$73*$H49)+Inputs!$C$21+Inputs!$B$73*$J49</f>
        <v>487250</v>
      </c>
      <c r="DF49" s="38">
        <f t="shared" si="43"/>
        <v>54076.24775065633</v>
      </c>
      <c r="DG49" s="38">
        <f t="shared" si="44"/>
        <v>0</v>
      </c>
      <c r="DH49" s="38">
        <f>MAX(0,MIN(Inputs!$D$36,DM48,DI49+DJ49+DK49+Inputs!$D$6-DL48))</f>
        <v>12558.903996862704</v>
      </c>
      <c r="DI49" s="38">
        <f>Inputs!$D$27*(1+Inputs!$D$28)^($A49/12)*IF(Inputs!$B$73=1,$G49,1)*(1-Inputs!$C$73*$H49*(1-Inputs!$E$54*Inputs!$B$73))*(1+$I49)*IF(Inputs!$D$29=0,1,(MAX(DL48,0)/Inputs!$D$6)^Inputs!$D$29)</f>
        <v>6858.9039968626967</v>
      </c>
      <c r="DJ49" s="38">
        <f>Inputs!$D$32*DL48/Inputs!$D$6</f>
        <v>4200</v>
      </c>
      <c r="DK49" s="38">
        <f>Inputs!$D$33</f>
        <v>1500</v>
      </c>
      <c r="DL49" s="38">
        <f t="shared" si="45"/>
        <v>880000</v>
      </c>
      <c r="DM49" s="38">
        <f t="shared" si="46"/>
        <v>301829.12328479346</v>
      </c>
      <c r="DN49" s="38">
        <f>Inputs!$D$19*(1-Inputs!$C$73*$H49)+Inputs!$D$21+Inputs!$B$73*$J49</f>
        <v>399204.16666666669</v>
      </c>
      <c r="DO49" s="38">
        <f t="shared" si="47"/>
        <v>480795.83333333331</v>
      </c>
      <c r="DP49" s="38">
        <f t="shared" si="48"/>
        <v>0</v>
      </c>
    </row>
    <row r="50" spans="1:120" x14ac:dyDescent="0.35">
      <c r="A50" s="29">
        <v>45</v>
      </c>
      <c r="B50" s="34">
        <f>EDATE(Inputs!$B$67,$A50)</f>
        <v>47635</v>
      </c>
      <c r="C50" s="35">
        <f>IF(Inputs!$E$47&lt;=0,Inputs!$E$46,Inputs!$E$44+(Inputs!$E$46-Inputs!$E$44)*MIN($A50/Inputs!$E$47,1))</f>
        <v>0.7</v>
      </c>
      <c r="D50" s="35">
        <f>MIN(Inputs!$E$57,Inputs!$E$55*(1+Inputs!$E$56)^($A50/12))*Inputs!$E$58*(1+Inputs!$E$59)^($A50/12)/Inputs!$E$45</f>
        <v>1.4833014599793795</v>
      </c>
      <c r="E50" s="35">
        <f>MAX(Inputs!$E$44,MIN(C50,D50))</f>
        <v>0.7</v>
      </c>
      <c r="F50" s="35">
        <f>IF(Inputs!$E$50&lt;=0,Inputs!$E$49,Inputs!$E$48+(Inputs!$E$49-Inputs!$E$48)*MIN($A50/Inputs!$E$50,1))</f>
        <v>0.12</v>
      </c>
      <c r="G50" s="36">
        <f>(Inputs!$E$41*(1-E50*Inputs!$E$51)+Inputs!$E$42*(1-F50*Inputs!$E$51))/(Inputs!$E$41*(1-Inputs!$E$44*Inputs!$E$51)+Inputs!$E$42*(1-Inputs!$E$48*Inputs!$E$51))</f>
        <v>0.8423127463863338</v>
      </c>
      <c r="H50" s="35">
        <f>IF(Inputs!$E$53&lt;=0,Inputs!$E$52,Inputs!$E$52*MIN($A50/Inputs!$E$53,1))</f>
        <v>9.375E-2</v>
      </c>
      <c r="I50" s="35">
        <f>IF(Inputs!$E$64&lt;=0,Inputs!$E$63,Inputs!$E$62+(Inputs!$E$63-Inputs!$E$62)*MIN($A50/Inputs!$E$64,1))</f>
        <v>0.03</v>
      </c>
      <c r="J50" s="37">
        <f>(E50-Inputs!$E$44)*Inputs!$E$45/Inputs!$E$60*Inputs!$E$61</f>
        <v>5999.9999999999991</v>
      </c>
      <c r="K50" s="29">
        <f t="shared" si="0"/>
        <v>0</v>
      </c>
      <c r="L50" s="29"/>
      <c r="M50" s="38">
        <f>MAX(0,MIN(Inputs!$B$36,R49,N50+O50+P50+Inputs!$B$6-Q49))</f>
        <v>0</v>
      </c>
      <c r="N50" s="38">
        <f>Inputs!$B$27*(1+Inputs!$B$28)^($A50/12)*IF(Inputs!$B$70=1,$G50,1)*(1-Inputs!$C$70*$H50*(1-Inputs!$E$54*Inputs!$B$70))*(1+$I50)*IF(Inputs!$B$29=0,1,(MAX(Q49,0)/Inputs!$B$6)^Inputs!$B$29)</f>
        <v>18551.898317247047</v>
      </c>
      <c r="O50" s="38">
        <f>Inputs!$B$32*Q49/Inputs!$B$6</f>
        <v>0</v>
      </c>
      <c r="P50" s="38">
        <f>Inputs!$B$33</f>
        <v>2500</v>
      </c>
      <c r="Q50" s="38">
        <f t="shared" si="1"/>
        <v>0</v>
      </c>
      <c r="R50" s="38">
        <f t="shared" si="2"/>
        <v>0</v>
      </c>
      <c r="S50" s="38">
        <f>Inputs!$B$19*(1-Inputs!$C$70*$H50)+Inputs!$B$21+Inputs!$B$70*$J50</f>
        <v>595000</v>
      </c>
      <c r="T50" s="38">
        <f t="shared" si="3"/>
        <v>-595000</v>
      </c>
      <c r="U50" s="38">
        <f t="shared" si="4"/>
        <v>1</v>
      </c>
      <c r="V50" s="38">
        <f>MAX(0,MIN(Inputs!$C$36,AA49,W50+X50+Y50+Inputs!$C$6-Z49))</f>
        <v>0</v>
      </c>
      <c r="W50" s="38">
        <f>Inputs!$C$27*(1+Inputs!$C$28)^($A50/12)*IF(Inputs!$B$70=1,$G50,1)*(1-Inputs!$C$70*$H50*(1-Inputs!$E$54*Inputs!$B$70))*(1+$I50)*IF(Inputs!$C$29=0,1,(MAX(Z49,0)/Inputs!$C$6)^Inputs!$C$29)</f>
        <v>11330.482262611276</v>
      </c>
      <c r="X50" s="38">
        <f>Inputs!$C$32*Z49/Inputs!$C$6</f>
        <v>4048.6329285558863</v>
      </c>
      <c r="Y50" s="38">
        <f>Inputs!$C$33</f>
        <v>2000</v>
      </c>
      <c r="Z50" s="38">
        <f t="shared" si="5"/>
        <v>462458.86152656755</v>
      </c>
      <c r="AA50" s="38">
        <f t="shared" si="6"/>
        <v>0</v>
      </c>
      <c r="AB50" s="38">
        <f>Inputs!$C$19*(1-Inputs!$C$70*$H50)+Inputs!$C$21+Inputs!$B$70*$J50</f>
        <v>495000</v>
      </c>
      <c r="AC50" s="38">
        <f t="shared" si="7"/>
        <v>-32541.138473432453</v>
      </c>
      <c r="AD50" s="38">
        <f t="shared" si="8"/>
        <v>1</v>
      </c>
      <c r="AE50" s="38">
        <f>MAX(0,MIN(Inputs!$D$36,AJ49,AF50+AG50+AH50+Inputs!$D$6-AI49))</f>
        <v>14197.687275867094</v>
      </c>
      <c r="AF50" s="38">
        <f>Inputs!$D$27*(1+Inputs!$D$28)^($A50/12)*IF(Inputs!$B$70=1,$G50,1)*(1-Inputs!$C$70*$H50*(1-Inputs!$E$54*Inputs!$B$70))*(1+$I50)*IF(Inputs!$D$29=0,1,(MAX(AI49,0)/Inputs!$D$6)^Inputs!$D$29)</f>
        <v>8497.6872758671161</v>
      </c>
      <c r="AG50" s="38">
        <f>Inputs!$D$32*AI49/Inputs!$D$6</f>
        <v>4200</v>
      </c>
      <c r="AH50" s="38">
        <f>Inputs!$D$33</f>
        <v>1500</v>
      </c>
      <c r="AI50" s="38">
        <f t="shared" si="9"/>
        <v>880000</v>
      </c>
      <c r="AJ50" s="38">
        <f t="shared" si="10"/>
        <v>236081.9774623235</v>
      </c>
      <c r="AK50" s="38">
        <f>Inputs!$D$19*(1-Inputs!$C$70*$H50)+Inputs!$D$21+Inputs!$B$70*$J50</f>
        <v>404800</v>
      </c>
      <c r="AL50" s="38">
        <f t="shared" si="11"/>
        <v>475200</v>
      </c>
      <c r="AM50" s="38">
        <f t="shared" si="12"/>
        <v>0</v>
      </c>
      <c r="AN50" s="38">
        <f>MAX(0,MIN(Inputs!$B$36,AS49,AO50+AP50+AQ50+Inputs!$B$6-AR49))</f>
        <v>0</v>
      </c>
      <c r="AO50" s="38">
        <f>Inputs!$B$27*(1+Inputs!$B$28)^($A50/12)*IF(Inputs!$B$71=1,$G50,1)*(1-Inputs!$C$71*$H50*(1-Inputs!$E$54*Inputs!$B$71))*(1+$I50)*IF(Inputs!$B$29=0,1,(MAX(AR49,0)/Inputs!$B$6)^Inputs!$B$29)</f>
        <v>15626.500422280367</v>
      </c>
      <c r="AP50" s="38">
        <f>Inputs!$B$32*AR49/Inputs!$B$6</f>
        <v>0</v>
      </c>
      <c r="AQ50" s="38">
        <f>Inputs!$B$33</f>
        <v>2500</v>
      </c>
      <c r="AR50" s="38">
        <f t="shared" si="13"/>
        <v>0</v>
      </c>
      <c r="AS50" s="38">
        <f t="shared" si="14"/>
        <v>0</v>
      </c>
      <c r="AT50" s="38">
        <f>Inputs!$B$19*(1-Inputs!$C$71*$H50)+Inputs!$B$21+Inputs!$B$71*$J50</f>
        <v>601000</v>
      </c>
      <c r="AU50" s="38">
        <f t="shared" si="15"/>
        <v>-601000</v>
      </c>
      <c r="AV50" s="38">
        <f t="shared" si="16"/>
        <v>1</v>
      </c>
      <c r="AW50" s="38">
        <f>MAX(0,MIN(Inputs!$C$36,BB49,AX50+AY50+AZ50+Inputs!$C$6-BA49))</f>
        <v>0</v>
      </c>
      <c r="AX50" s="38">
        <f>Inputs!$C$27*(1+Inputs!$C$28)^($A50/12)*IF(Inputs!$B$71=1,$G50,1)*(1-Inputs!$C$71*$H50*(1-Inputs!$E$54*Inputs!$B$71))*(1+$I50)*IF(Inputs!$C$29=0,1,(MAX(BA49,0)/Inputs!$C$6)^Inputs!$C$29)</f>
        <v>9790.7409376113537</v>
      </c>
      <c r="AY50" s="38">
        <f>Inputs!$C$32*BA49/Inputs!$C$6</f>
        <v>4484.1854817127169</v>
      </c>
      <c r="AZ50" s="38">
        <f>Inputs!$C$33</f>
        <v>2000</v>
      </c>
      <c r="BA50" s="38">
        <f t="shared" si="17"/>
        <v>515184.09363551647</v>
      </c>
      <c r="BB50" s="38">
        <f t="shared" si="18"/>
        <v>0</v>
      </c>
      <c r="BC50" s="38">
        <f>Inputs!$C$19*(1-Inputs!$C$71*$H50)+Inputs!$C$21+Inputs!$B$71*$J50</f>
        <v>501000</v>
      </c>
      <c r="BD50" s="38">
        <f t="shared" si="19"/>
        <v>14184.093635516474</v>
      </c>
      <c r="BE50" s="38">
        <f t="shared" si="20"/>
        <v>0</v>
      </c>
      <c r="BF50" s="38">
        <f>MAX(0,MIN(Inputs!$D$36,BK49,BG50+BH50+BI50+Inputs!$D$6-BJ49))</f>
        <v>12857.710307267844</v>
      </c>
      <c r="BG50" s="38">
        <f>Inputs!$D$27*(1+Inputs!$D$28)^($A50/12)*IF(Inputs!$B$71=1,$G50,1)*(1-Inputs!$C$71*$H50*(1-Inputs!$E$54*Inputs!$B$71))*(1+$I50)*IF(Inputs!$D$29=0,1,(MAX(BJ49,0)/Inputs!$D$6)^Inputs!$D$29)</f>
        <v>7157.7103072678337</v>
      </c>
      <c r="BH50" s="38">
        <f>Inputs!$D$32*BJ49/Inputs!$D$6</f>
        <v>4200</v>
      </c>
      <c r="BI50" s="38">
        <f>Inputs!$D$33</f>
        <v>1500</v>
      </c>
      <c r="BJ50" s="38">
        <f t="shared" si="21"/>
        <v>880000</v>
      </c>
      <c r="BK50" s="38">
        <f t="shared" si="22"/>
        <v>280885.40198321093</v>
      </c>
      <c r="BL50" s="38">
        <f>Inputs!$D$19*(1-Inputs!$C$71*$H50)+Inputs!$D$21+Inputs!$B$71*$J50</f>
        <v>410800</v>
      </c>
      <c r="BM50" s="38">
        <f t="shared" si="23"/>
        <v>469200</v>
      </c>
      <c r="BN50" s="38">
        <f t="shared" si="24"/>
        <v>0</v>
      </c>
      <c r="BO50" s="38">
        <f>MAX(0,MIN(Inputs!$B$36,BT49,BP50+BQ50+BR50+Inputs!$B$6-BS49))</f>
        <v>0</v>
      </c>
      <c r="BP50" s="38">
        <f>Inputs!$B$27*(1+Inputs!$B$28)^($A50/12)*IF(Inputs!$B$72=1,$G50,1)*(1-Inputs!$C$72*$H50*(1-Inputs!$E$54*Inputs!$B$72))*(1+$I50)*IF(Inputs!$B$29=0,1,(MAX(BS49,0)/Inputs!$B$6)^Inputs!$B$29)</f>
        <v>16812.65785000514</v>
      </c>
      <c r="BQ50" s="38">
        <f>Inputs!$B$32*BS49/Inputs!$B$6</f>
        <v>0</v>
      </c>
      <c r="BR50" s="38">
        <f>Inputs!$B$33</f>
        <v>2500</v>
      </c>
      <c r="BS50" s="38">
        <f t="shared" si="25"/>
        <v>0</v>
      </c>
      <c r="BT50" s="38">
        <f t="shared" si="26"/>
        <v>0</v>
      </c>
      <c r="BU50" s="38">
        <f>Inputs!$B$19*(1-Inputs!$C$72*$H50)+Inputs!$B$21+Inputs!$B$72*$J50</f>
        <v>578593.75</v>
      </c>
      <c r="BV50" s="38">
        <f t="shared" si="27"/>
        <v>-578593.75</v>
      </c>
      <c r="BW50" s="38">
        <f t="shared" si="28"/>
        <v>1</v>
      </c>
      <c r="BX50" s="38">
        <f>MAX(0,MIN(Inputs!$C$36,CC49,BY50+BZ50+CA50+Inputs!$C$6-CB49))</f>
        <v>0</v>
      </c>
      <c r="BY50" s="38">
        <f>Inputs!$C$27*(1+Inputs!$C$28)^($A50/12)*IF(Inputs!$B$72=1,$G50,1)*(1-Inputs!$C$72*$H50*(1-Inputs!$E$54*Inputs!$B$72))*(1+$I50)*IF(Inputs!$C$29=0,1,(MAX(CB49,0)/Inputs!$C$6)^Inputs!$C$29)</f>
        <v>10385.347958292854</v>
      </c>
      <c r="BZ50" s="38">
        <f>Inputs!$C$32*CB49/Inputs!$C$6</f>
        <v>4236.4974740493753</v>
      </c>
      <c r="CA50" s="38">
        <f>Inputs!$C$33</f>
        <v>2000</v>
      </c>
      <c r="CB50" s="38">
        <f t="shared" si="29"/>
        <v>485481.55889943556</v>
      </c>
      <c r="CC50" s="38">
        <f t="shared" si="30"/>
        <v>0</v>
      </c>
      <c r="CD50" s="38">
        <f>Inputs!$C$19*(1-Inputs!$C$72*$H50)+Inputs!$C$21+Inputs!$B$72*$J50</f>
        <v>480937.5</v>
      </c>
      <c r="CE50" s="38">
        <f t="shared" si="31"/>
        <v>4544.0588994355639</v>
      </c>
      <c r="CF50" s="38">
        <f t="shared" si="32"/>
        <v>0</v>
      </c>
      <c r="CG50" s="38">
        <f>MAX(0,MIN(Inputs!$D$36,CL49,CH50+CI50+CJ50+Inputs!$D$6-CK49))</f>
        <v>13401.029093754594</v>
      </c>
      <c r="CH50" s="38">
        <f>Inputs!$D$27*(1+Inputs!$D$28)^($A50/12)*IF(Inputs!$B$72=1,$G50,1)*(1-Inputs!$C$72*$H50*(1-Inputs!$E$54*Inputs!$B$72))*(1+$I50)*IF(Inputs!$D$29=0,1,(MAX(CK49,0)/Inputs!$D$6)^Inputs!$D$29)</f>
        <v>7701.0290937545742</v>
      </c>
      <c r="CI50" s="38">
        <f>Inputs!$D$32*CK49/Inputs!$D$6</f>
        <v>4200</v>
      </c>
      <c r="CJ50" s="38">
        <f>Inputs!$D$33</f>
        <v>1500</v>
      </c>
      <c r="CK50" s="38">
        <f t="shared" si="33"/>
        <v>880000</v>
      </c>
      <c r="CL50" s="38">
        <f t="shared" si="34"/>
        <v>255554.34322919266</v>
      </c>
      <c r="CM50" s="38">
        <f>Inputs!$D$19*(1-Inputs!$C$72*$H50)+Inputs!$D$21+Inputs!$B$72*$J50</f>
        <v>392940.625</v>
      </c>
      <c r="CN50" s="38">
        <f t="shared" si="35"/>
        <v>487059.375</v>
      </c>
      <c r="CO50" s="38">
        <f t="shared" si="36"/>
        <v>0</v>
      </c>
      <c r="CP50" s="38">
        <f>MAX(0,MIN(Inputs!$B$36,CU49,CQ50+CR50+CS50+Inputs!$B$6-CT49))</f>
        <v>0</v>
      </c>
      <c r="CQ50" s="38">
        <f>Inputs!$B$27*(1+Inputs!$B$28)^($A50/12)*IF(Inputs!$B$73=1,$G50,1)*(1-Inputs!$C$73*$H50*(1-Inputs!$E$54*Inputs!$B$73))*(1+$I50)*IF(Inputs!$B$29=0,1,(MAX(CT49,0)/Inputs!$B$6)^Inputs!$B$29)</f>
        <v>14894.008214985975</v>
      </c>
      <c r="CR50" s="38">
        <f>Inputs!$B$32*CT49/Inputs!$B$6</f>
        <v>72.023260809890914</v>
      </c>
      <c r="CS50" s="38">
        <f>Inputs!$B$33</f>
        <v>2500</v>
      </c>
      <c r="CT50" s="38">
        <f t="shared" si="37"/>
        <v>0</v>
      </c>
      <c r="CU50" s="38">
        <f t="shared" si="38"/>
        <v>0</v>
      </c>
      <c r="CV50" s="38">
        <f>Inputs!$B$19*(1-Inputs!$C$73*$H50)+Inputs!$B$21+Inputs!$B$73*$J50</f>
        <v>584593.75</v>
      </c>
      <c r="CW50" s="38">
        <f t="shared" si="39"/>
        <v>-584593.75</v>
      </c>
      <c r="CX50" s="38">
        <f t="shared" si="40"/>
        <v>1</v>
      </c>
      <c r="CY50" s="38">
        <f>MAX(0,MIN(Inputs!$C$36,DD49,CZ50+DA50+DB50+Inputs!$C$6-DC49))</f>
        <v>0</v>
      </c>
      <c r="CZ50" s="38">
        <f>Inputs!$C$27*(1+Inputs!$C$28)^($A50/12)*IF(Inputs!$B$73=1,$G50,1)*(1-Inputs!$C$73*$H50*(1-Inputs!$E$54*Inputs!$B$73))*(1+$I50)*IF(Inputs!$C$29=0,1,(MAX(DC49,0)/Inputs!$C$6)^Inputs!$C$29)</f>
        <v>9374.8158614173626</v>
      </c>
      <c r="DA50" s="38">
        <f>Inputs!$C$32*DC49/Inputs!$C$6</f>
        <v>4567.4402153961619</v>
      </c>
      <c r="DB50" s="38">
        <f>Inputs!$C$33</f>
        <v>2000</v>
      </c>
      <c r="DC50" s="38">
        <f t="shared" si="41"/>
        <v>525383.99167384289</v>
      </c>
      <c r="DD50" s="38">
        <f t="shared" si="42"/>
        <v>0</v>
      </c>
      <c r="DE50" s="38">
        <f>Inputs!$C$19*(1-Inputs!$C$73*$H50)+Inputs!$C$21+Inputs!$B$73*$J50</f>
        <v>486937.5</v>
      </c>
      <c r="DF50" s="38">
        <f t="shared" si="43"/>
        <v>38446.491673842887</v>
      </c>
      <c r="DG50" s="38">
        <f t="shared" si="44"/>
        <v>0</v>
      </c>
      <c r="DH50" s="38">
        <f>MAX(0,MIN(Inputs!$D$36,DM49,DI50+DJ50+DK50+Inputs!$D$6-DL49))</f>
        <v>12522.192636614665</v>
      </c>
      <c r="DI50" s="38">
        <f>Inputs!$D$27*(1+Inputs!$D$28)^($A50/12)*IF(Inputs!$B$73=1,$G50,1)*(1-Inputs!$C$73*$H50*(1-Inputs!$E$54*Inputs!$B$73))*(1+$I50)*IF(Inputs!$D$29=0,1,(MAX(DL49,0)/Inputs!$D$6)^Inputs!$D$29)</f>
        <v>6822.1926366146545</v>
      </c>
      <c r="DJ50" s="38">
        <f>Inputs!$D$32*DL49/Inputs!$D$6</f>
        <v>4200</v>
      </c>
      <c r="DK50" s="38">
        <f>Inputs!$D$33</f>
        <v>1500</v>
      </c>
      <c r="DL50" s="38">
        <f t="shared" si="45"/>
        <v>880000</v>
      </c>
      <c r="DM50" s="38">
        <f t="shared" si="46"/>
        <v>289306.93064817879</v>
      </c>
      <c r="DN50" s="38">
        <f>Inputs!$D$19*(1-Inputs!$C$73*$H50)+Inputs!$D$21+Inputs!$B$73*$J50</f>
        <v>398940.625</v>
      </c>
      <c r="DO50" s="38">
        <f t="shared" si="47"/>
        <v>481059.375</v>
      </c>
      <c r="DP50" s="38">
        <f t="shared" si="48"/>
        <v>0</v>
      </c>
    </row>
    <row r="51" spans="1:120" x14ac:dyDescent="0.35">
      <c r="A51" s="29">
        <v>46</v>
      </c>
      <c r="B51" s="34">
        <f>EDATE(Inputs!$B$67,$A51)</f>
        <v>47665</v>
      </c>
      <c r="C51" s="35">
        <f>IF(Inputs!$E$47&lt;=0,Inputs!$E$46,Inputs!$E$44+(Inputs!$E$46-Inputs!$E$44)*MIN($A51/Inputs!$E$47,1))</f>
        <v>0.7</v>
      </c>
      <c r="D51" s="35">
        <f>MIN(Inputs!$E$57,Inputs!$E$55*(1+Inputs!$E$56)^($A51/12))*Inputs!$E$58*(1+Inputs!$E$59)^($A51/12)/Inputs!$E$45</f>
        <v>1.5</v>
      </c>
      <c r="E51" s="35">
        <f>MAX(Inputs!$E$44,MIN(C51,D51))</f>
        <v>0.7</v>
      </c>
      <c r="F51" s="35">
        <f>IF(Inputs!$E$50&lt;=0,Inputs!$E$49,Inputs!$E$48+(Inputs!$E$49-Inputs!$E$48)*MIN($A51/Inputs!$E$50,1))</f>
        <v>0.12</v>
      </c>
      <c r="G51" s="36">
        <f>(Inputs!$E$41*(1-E51*Inputs!$E$51)+Inputs!$E$42*(1-F51*Inputs!$E$51))/(Inputs!$E$41*(1-Inputs!$E$44*Inputs!$E$51)+Inputs!$E$42*(1-Inputs!$E$48*Inputs!$E$51))</f>
        <v>0.8423127463863338</v>
      </c>
      <c r="H51" s="35">
        <f>IF(Inputs!$E$53&lt;=0,Inputs!$E$52,Inputs!$E$52*MIN($A51/Inputs!$E$53,1))</f>
        <v>9.583333333333334E-2</v>
      </c>
      <c r="I51" s="35">
        <f>IF(Inputs!$E$64&lt;=0,Inputs!$E$63,Inputs!$E$62+(Inputs!$E$63-Inputs!$E$62)*MIN($A51/Inputs!$E$64,1))</f>
        <v>0.03</v>
      </c>
      <c r="J51" s="37">
        <f>(E51-Inputs!$E$44)*Inputs!$E$45/Inputs!$E$60*Inputs!$E$61</f>
        <v>5999.9999999999991</v>
      </c>
      <c r="K51" s="29">
        <f t="shared" si="0"/>
        <v>0</v>
      </c>
      <c r="L51" s="29"/>
      <c r="M51" s="38">
        <f>MAX(0,MIN(Inputs!$B$36,R50,N51+O51+P51+Inputs!$B$6-Q50))</f>
        <v>0</v>
      </c>
      <c r="N51" s="38">
        <f>Inputs!$B$27*(1+Inputs!$B$28)^($A51/12)*IF(Inputs!$B$70=1,$G51,1)*(1-Inputs!$C$70*$H51*(1-Inputs!$E$54*Inputs!$B$70))*(1+$I51)*IF(Inputs!$B$29=0,1,(MAX(Q50,0)/Inputs!$B$6)^Inputs!$B$29)</f>
        <v>18627.48104741317</v>
      </c>
      <c r="O51" s="38">
        <f>Inputs!$B$32*Q50/Inputs!$B$6</f>
        <v>0</v>
      </c>
      <c r="P51" s="38">
        <f>Inputs!$B$33</f>
        <v>2500</v>
      </c>
      <c r="Q51" s="38">
        <f t="shared" si="1"/>
        <v>0</v>
      </c>
      <c r="R51" s="38">
        <f t="shared" si="2"/>
        <v>0</v>
      </c>
      <c r="S51" s="38">
        <f>Inputs!$B$19*(1-Inputs!$C$70*$H51)+Inputs!$B$21+Inputs!$B$70*$J51</f>
        <v>595000</v>
      </c>
      <c r="T51" s="38">
        <f t="shared" si="3"/>
        <v>-595000</v>
      </c>
      <c r="U51" s="38">
        <f t="shared" si="4"/>
        <v>1</v>
      </c>
      <c r="V51" s="38">
        <f>MAX(0,MIN(Inputs!$C$36,AA50,W51+X51+Y51+Inputs!$C$6-Z50))</f>
        <v>0</v>
      </c>
      <c r="W51" s="38">
        <f>Inputs!$C$27*(1+Inputs!$C$28)^($A51/12)*IF(Inputs!$B$70=1,$G51,1)*(1-Inputs!$C$70*$H51*(1-Inputs!$E$54*Inputs!$B$70))*(1+$I51)*IF(Inputs!$C$29=0,1,(MAX(Z50,0)/Inputs!$C$6)^Inputs!$C$29)</f>
        <v>11226.464758714814</v>
      </c>
      <c r="X51" s="38">
        <f>Inputs!$C$32*Z50/Inputs!$C$6</f>
        <v>3901.9966441304127</v>
      </c>
      <c r="Y51" s="38">
        <f>Inputs!$C$33</f>
        <v>2000</v>
      </c>
      <c r="Z51" s="38">
        <f t="shared" si="5"/>
        <v>445330.40012372233</v>
      </c>
      <c r="AA51" s="38">
        <f t="shared" si="6"/>
        <v>0</v>
      </c>
      <c r="AB51" s="38">
        <f>Inputs!$C$19*(1-Inputs!$C$70*$H51)+Inputs!$C$21+Inputs!$B$70*$J51</f>
        <v>495000</v>
      </c>
      <c r="AC51" s="38">
        <f t="shared" si="7"/>
        <v>-49669.599876277673</v>
      </c>
      <c r="AD51" s="38">
        <f t="shared" si="8"/>
        <v>1</v>
      </c>
      <c r="AE51" s="38">
        <f>MAX(0,MIN(Inputs!$D$36,AJ50,AF51+AG51+AH51+Inputs!$D$6-AI50))</f>
        <v>14161.44193076354</v>
      </c>
      <c r="AF51" s="38">
        <f>Inputs!$D$27*(1+Inputs!$D$28)^($A51/12)*IF(Inputs!$B$70=1,$G51,1)*(1-Inputs!$C$70*$H51*(1-Inputs!$E$54*Inputs!$B$70))*(1+$I51)*IF(Inputs!$D$29=0,1,(MAX(AI50,0)/Inputs!$D$6)^Inputs!$D$29)</f>
        <v>8461.4419307635217</v>
      </c>
      <c r="AG51" s="38">
        <f>Inputs!$D$32*AI50/Inputs!$D$6</f>
        <v>4200</v>
      </c>
      <c r="AH51" s="38">
        <f>Inputs!$D$33</f>
        <v>1500</v>
      </c>
      <c r="AI51" s="38">
        <f t="shared" si="9"/>
        <v>880000</v>
      </c>
      <c r="AJ51" s="38">
        <f t="shared" si="10"/>
        <v>221920.53553155996</v>
      </c>
      <c r="AK51" s="38">
        <f>Inputs!$D$19*(1-Inputs!$C$70*$H51)+Inputs!$D$21+Inputs!$B$70*$J51</f>
        <v>404800</v>
      </c>
      <c r="AL51" s="38">
        <f t="shared" si="11"/>
        <v>475200</v>
      </c>
      <c r="AM51" s="38">
        <f t="shared" si="12"/>
        <v>0</v>
      </c>
      <c r="AN51" s="38">
        <f>MAX(0,MIN(Inputs!$B$36,AS50,AO51+AP51+AQ51+Inputs!$B$6-AR50))</f>
        <v>0</v>
      </c>
      <c r="AO51" s="38">
        <f>Inputs!$B$27*(1+Inputs!$B$28)^($A51/12)*IF(Inputs!$B$71=1,$G51,1)*(1-Inputs!$C$71*$H51*(1-Inputs!$E$54*Inputs!$B$71))*(1+$I51)*IF(Inputs!$B$29=0,1,(MAX(AR50,0)/Inputs!$B$6)^Inputs!$B$29)</f>
        <v>15690.164719305969</v>
      </c>
      <c r="AP51" s="38">
        <f>Inputs!$B$32*AR50/Inputs!$B$6</f>
        <v>0</v>
      </c>
      <c r="AQ51" s="38">
        <f>Inputs!$B$33</f>
        <v>2500</v>
      </c>
      <c r="AR51" s="38">
        <f t="shared" si="13"/>
        <v>0</v>
      </c>
      <c r="AS51" s="38">
        <f t="shared" si="14"/>
        <v>0</v>
      </c>
      <c r="AT51" s="38">
        <f>Inputs!$B$19*(1-Inputs!$C$71*$H51)+Inputs!$B$21+Inputs!$B$71*$J51</f>
        <v>601000</v>
      </c>
      <c r="AU51" s="38">
        <f t="shared" si="15"/>
        <v>-601000</v>
      </c>
      <c r="AV51" s="38">
        <f t="shared" si="16"/>
        <v>1</v>
      </c>
      <c r="AW51" s="38">
        <f>MAX(0,MIN(Inputs!$C$36,BB50,AX51+AY51+AZ51+Inputs!$C$6-BA50))</f>
        <v>0</v>
      </c>
      <c r="AX51" s="38">
        <f>Inputs!$C$27*(1+Inputs!$C$28)^($A51/12)*IF(Inputs!$B$71=1,$G51,1)*(1-Inputs!$C$71*$H51*(1-Inputs!$E$54*Inputs!$B$71))*(1+$I51)*IF(Inputs!$C$29=0,1,(MAX(BA50,0)/Inputs!$C$6)^Inputs!$C$29)</f>
        <v>9714.9087367677093</v>
      </c>
      <c r="AY51" s="38">
        <f>Inputs!$C$32*BA50/Inputs!$C$6</f>
        <v>4346.8657900496701</v>
      </c>
      <c r="AZ51" s="38">
        <f>Inputs!$C$33</f>
        <v>2000</v>
      </c>
      <c r="BA51" s="38">
        <f t="shared" si="17"/>
        <v>499122.3191086991</v>
      </c>
      <c r="BB51" s="38">
        <f t="shared" si="18"/>
        <v>0</v>
      </c>
      <c r="BC51" s="38">
        <f>Inputs!$C$19*(1-Inputs!$C$71*$H51)+Inputs!$C$21+Inputs!$B$71*$J51</f>
        <v>501000</v>
      </c>
      <c r="BD51" s="38">
        <f t="shared" si="19"/>
        <v>-1877.6808913009008</v>
      </c>
      <c r="BE51" s="38">
        <f t="shared" si="20"/>
        <v>1</v>
      </c>
      <c r="BF51" s="38">
        <f>MAX(0,MIN(Inputs!$D$36,BK50,BG51+BH51+BI51+Inputs!$D$6-BJ50))</f>
        <v>12827.180391089874</v>
      </c>
      <c r="BG51" s="38">
        <f>Inputs!$D$27*(1+Inputs!$D$28)^($A51/12)*IF(Inputs!$B$71=1,$G51,1)*(1-Inputs!$C$71*$H51*(1-Inputs!$E$54*Inputs!$B$71))*(1+$I51)*IF(Inputs!$D$29=0,1,(MAX(BJ50,0)/Inputs!$D$6)^Inputs!$D$29)</f>
        <v>7127.1803910899043</v>
      </c>
      <c r="BH51" s="38">
        <f>Inputs!$D$32*BJ50/Inputs!$D$6</f>
        <v>4200</v>
      </c>
      <c r="BI51" s="38">
        <f>Inputs!$D$33</f>
        <v>1500</v>
      </c>
      <c r="BJ51" s="38">
        <f t="shared" si="21"/>
        <v>880000</v>
      </c>
      <c r="BK51" s="38">
        <f t="shared" si="22"/>
        <v>268058.22159212106</v>
      </c>
      <c r="BL51" s="38">
        <f>Inputs!$D$19*(1-Inputs!$C$71*$H51)+Inputs!$D$21+Inputs!$B$71*$J51</f>
        <v>410800</v>
      </c>
      <c r="BM51" s="38">
        <f t="shared" si="23"/>
        <v>469200</v>
      </c>
      <c r="BN51" s="38">
        <f t="shared" si="24"/>
        <v>0</v>
      </c>
      <c r="BO51" s="38">
        <f>MAX(0,MIN(Inputs!$B$36,BT50,BP51+BQ51+BR51+Inputs!$B$6-BS50))</f>
        <v>0</v>
      </c>
      <c r="BP51" s="38">
        <f>Inputs!$B$27*(1+Inputs!$B$28)^($A51/12)*IF(Inputs!$B$72=1,$G51,1)*(1-Inputs!$C$72*$H51*(1-Inputs!$E$54*Inputs!$B$72))*(1+$I51)*IF(Inputs!$B$29=0,1,(MAX(BS50,0)/Inputs!$B$6)^Inputs!$B$29)</f>
        <v>16842.347447036074</v>
      </c>
      <c r="BQ51" s="38">
        <f>Inputs!$B$32*BS50/Inputs!$B$6</f>
        <v>0</v>
      </c>
      <c r="BR51" s="38">
        <f>Inputs!$B$33</f>
        <v>2500</v>
      </c>
      <c r="BS51" s="38">
        <f t="shared" si="25"/>
        <v>0</v>
      </c>
      <c r="BT51" s="38">
        <f t="shared" si="26"/>
        <v>0</v>
      </c>
      <c r="BU51" s="38">
        <f>Inputs!$B$19*(1-Inputs!$C$72*$H51)+Inputs!$B$21+Inputs!$B$72*$J51</f>
        <v>578229.16666666663</v>
      </c>
      <c r="BV51" s="38">
        <f t="shared" si="27"/>
        <v>-578229.16666666663</v>
      </c>
      <c r="BW51" s="38">
        <f t="shared" si="28"/>
        <v>1</v>
      </c>
      <c r="BX51" s="38">
        <f>MAX(0,MIN(Inputs!$C$36,CC50,BY51+BZ51+CA51+Inputs!$C$6-CB50))</f>
        <v>0</v>
      </c>
      <c r="BY51" s="38">
        <f>Inputs!$C$27*(1+Inputs!$C$28)^($A51/12)*IF(Inputs!$B$72=1,$G51,1)*(1-Inputs!$C$72*$H51*(1-Inputs!$E$54*Inputs!$B$72))*(1+$I51)*IF(Inputs!$C$29=0,1,(MAX(CB50,0)/Inputs!$C$6)^Inputs!$C$29)</f>
        <v>10274.635349486367</v>
      </c>
      <c r="BZ51" s="38">
        <f>Inputs!$C$32*CB50/Inputs!$C$6</f>
        <v>4096.2506532139869</v>
      </c>
      <c r="CA51" s="38">
        <f>Inputs!$C$33</f>
        <v>2000</v>
      </c>
      <c r="CB51" s="38">
        <f t="shared" si="29"/>
        <v>469110.6728967352</v>
      </c>
      <c r="CC51" s="38">
        <f t="shared" si="30"/>
        <v>0</v>
      </c>
      <c r="CD51" s="38">
        <f>Inputs!$C$19*(1-Inputs!$C$72*$H51)+Inputs!$C$21+Inputs!$B$72*$J51</f>
        <v>480625</v>
      </c>
      <c r="CE51" s="38">
        <f t="shared" si="31"/>
        <v>-11514.327103264804</v>
      </c>
      <c r="CF51" s="38">
        <f t="shared" si="32"/>
        <v>1</v>
      </c>
      <c r="CG51" s="38">
        <f>MAX(0,MIN(Inputs!$D$36,CL50,CH51+CI51+CJ51+Inputs!$D$6-CK50))</f>
        <v>13350.553745732061</v>
      </c>
      <c r="CH51" s="38">
        <f>Inputs!$D$27*(1+Inputs!$D$28)^($A51/12)*IF(Inputs!$B$72=1,$G51,1)*(1-Inputs!$C$72*$H51*(1-Inputs!$E$54*Inputs!$B$72))*(1+$I51)*IF(Inputs!$D$29=0,1,(MAX(CK50,0)/Inputs!$D$6)^Inputs!$D$29)</f>
        <v>7650.5537457320179</v>
      </c>
      <c r="CI51" s="38">
        <f>Inputs!$D$32*CK50/Inputs!$D$6</f>
        <v>4200</v>
      </c>
      <c r="CJ51" s="38">
        <f>Inputs!$D$33</f>
        <v>1500</v>
      </c>
      <c r="CK51" s="38">
        <f t="shared" si="33"/>
        <v>880000</v>
      </c>
      <c r="CL51" s="38">
        <f t="shared" si="34"/>
        <v>242203.7894834606</v>
      </c>
      <c r="CM51" s="38">
        <f>Inputs!$D$19*(1-Inputs!$C$72*$H51)+Inputs!$D$21+Inputs!$B$72*$J51</f>
        <v>392677.08333333331</v>
      </c>
      <c r="CN51" s="38">
        <f t="shared" si="35"/>
        <v>487322.91666666669</v>
      </c>
      <c r="CO51" s="38">
        <f t="shared" si="36"/>
        <v>0</v>
      </c>
      <c r="CP51" s="38">
        <f>MAX(0,MIN(Inputs!$B$36,CU50,CQ51+CR51+CS51+Inputs!$B$6-CT50))</f>
        <v>0</v>
      </c>
      <c r="CQ51" s="38">
        <f>Inputs!$B$27*(1+Inputs!$B$28)^($A51/12)*IF(Inputs!$B$73=1,$G51,1)*(1-Inputs!$C$73*$H51*(1-Inputs!$E$54*Inputs!$B$73))*(1+$I51)*IF(Inputs!$B$29=0,1,(MAX(CT50,0)/Inputs!$B$6)^Inputs!$B$29)</f>
        <v>14938.34432650589</v>
      </c>
      <c r="CR51" s="38">
        <f>Inputs!$B$32*CT50/Inputs!$B$6</f>
        <v>0</v>
      </c>
      <c r="CS51" s="38">
        <f>Inputs!$B$33</f>
        <v>2500</v>
      </c>
      <c r="CT51" s="38">
        <f t="shared" si="37"/>
        <v>0</v>
      </c>
      <c r="CU51" s="38">
        <f t="shared" si="38"/>
        <v>0</v>
      </c>
      <c r="CV51" s="38">
        <f>Inputs!$B$19*(1-Inputs!$C$73*$H51)+Inputs!$B$21+Inputs!$B$73*$J51</f>
        <v>584229.16666666663</v>
      </c>
      <c r="CW51" s="38">
        <f t="shared" si="39"/>
        <v>-584229.16666666663</v>
      </c>
      <c r="CX51" s="38">
        <f t="shared" si="40"/>
        <v>1</v>
      </c>
      <c r="CY51" s="38">
        <f>MAX(0,MIN(Inputs!$C$36,DD50,CZ51+DA51+DB51+Inputs!$C$6-DC50))</f>
        <v>0</v>
      </c>
      <c r="CZ51" s="38">
        <f>Inputs!$C$27*(1+Inputs!$C$28)^($A51/12)*IF(Inputs!$B$73=1,$G51,1)*(1-Inputs!$C$73*$H51*(1-Inputs!$E$54*Inputs!$B$73))*(1+$I51)*IF(Inputs!$C$29=0,1,(MAX(DC50,0)/Inputs!$C$6)^Inputs!$C$29)</f>
        <v>9294.8478560247549</v>
      </c>
      <c r="DA51" s="38">
        <f>Inputs!$C$32*DC50/Inputs!$C$6</f>
        <v>4432.9274297480488</v>
      </c>
      <c r="DB51" s="38">
        <f>Inputs!$C$33</f>
        <v>2000</v>
      </c>
      <c r="DC51" s="38">
        <f t="shared" si="41"/>
        <v>509656.21638807008</v>
      </c>
      <c r="DD51" s="38">
        <f t="shared" si="42"/>
        <v>0</v>
      </c>
      <c r="DE51" s="38">
        <f>Inputs!$C$19*(1-Inputs!$C$73*$H51)+Inputs!$C$21+Inputs!$B$73*$J51</f>
        <v>486625</v>
      </c>
      <c r="DF51" s="38">
        <f t="shared" si="43"/>
        <v>23031.216388070083</v>
      </c>
      <c r="DG51" s="38">
        <f t="shared" si="44"/>
        <v>0</v>
      </c>
      <c r="DH51" s="38">
        <f>MAX(0,MIN(Inputs!$D$36,DM50,DI51+DJ51+DK51+Inputs!$D$6-DL50))</f>
        <v>12485.669664016808</v>
      </c>
      <c r="DI51" s="38">
        <f>Inputs!$D$27*(1+Inputs!$D$28)^($A51/12)*IF(Inputs!$B$73=1,$G51,1)*(1-Inputs!$C$73*$H51*(1-Inputs!$E$54*Inputs!$B$73))*(1+$I51)*IF(Inputs!$D$29=0,1,(MAX(DL50,0)/Inputs!$D$6)^Inputs!$D$29)</f>
        <v>6785.6696640168466</v>
      </c>
      <c r="DJ51" s="38">
        <f>Inputs!$D$32*DL50/Inputs!$D$6</f>
        <v>4200</v>
      </c>
      <c r="DK51" s="38">
        <f>Inputs!$D$33</f>
        <v>1500</v>
      </c>
      <c r="DL51" s="38">
        <f t="shared" si="45"/>
        <v>880000</v>
      </c>
      <c r="DM51" s="38">
        <f t="shared" si="46"/>
        <v>276821.26098416199</v>
      </c>
      <c r="DN51" s="38">
        <f>Inputs!$D$19*(1-Inputs!$C$73*$H51)+Inputs!$D$21+Inputs!$B$73*$J51</f>
        <v>398677.08333333331</v>
      </c>
      <c r="DO51" s="38">
        <f t="shared" si="47"/>
        <v>481322.91666666669</v>
      </c>
      <c r="DP51" s="38">
        <f t="shared" si="48"/>
        <v>0</v>
      </c>
    </row>
    <row r="52" spans="1:120" x14ac:dyDescent="0.35">
      <c r="A52" s="29">
        <v>47</v>
      </c>
      <c r="B52" s="34">
        <f>EDATE(Inputs!$B$67,$A52)</f>
        <v>47696</v>
      </c>
      <c r="C52" s="35">
        <f>IF(Inputs!$E$47&lt;=0,Inputs!$E$46,Inputs!$E$44+(Inputs!$E$46-Inputs!$E$44)*MIN($A52/Inputs!$E$47,1))</f>
        <v>0.7</v>
      </c>
      <c r="D52" s="35">
        <f>MIN(Inputs!$E$57,Inputs!$E$55*(1+Inputs!$E$56)^($A52/12))*Inputs!$E$58*(1+Inputs!$E$59)^($A52/12)/Inputs!$E$45</f>
        <v>1.5</v>
      </c>
      <c r="E52" s="35">
        <f>MAX(Inputs!$E$44,MIN(C52,D52))</f>
        <v>0.7</v>
      </c>
      <c r="F52" s="35">
        <f>IF(Inputs!$E$50&lt;=0,Inputs!$E$49,Inputs!$E$48+(Inputs!$E$49-Inputs!$E$48)*MIN($A52/Inputs!$E$50,1))</f>
        <v>0.12</v>
      </c>
      <c r="G52" s="36">
        <f>(Inputs!$E$41*(1-E52*Inputs!$E$51)+Inputs!$E$42*(1-F52*Inputs!$E$51))/(Inputs!$E$41*(1-Inputs!$E$44*Inputs!$E$51)+Inputs!$E$42*(1-Inputs!$E$48*Inputs!$E$51))</f>
        <v>0.8423127463863338</v>
      </c>
      <c r="H52" s="35">
        <f>IF(Inputs!$E$53&lt;=0,Inputs!$E$52,Inputs!$E$52*MIN($A52/Inputs!$E$53,1))</f>
        <v>9.7916666666666666E-2</v>
      </c>
      <c r="I52" s="35">
        <f>IF(Inputs!$E$64&lt;=0,Inputs!$E$63,Inputs!$E$62+(Inputs!$E$63-Inputs!$E$62)*MIN($A52/Inputs!$E$64,1))</f>
        <v>0.03</v>
      </c>
      <c r="J52" s="37">
        <f>(E52-Inputs!$E$44)*Inputs!$E$45/Inputs!$E$60*Inputs!$E$61</f>
        <v>5999.9999999999991</v>
      </c>
      <c r="K52" s="29">
        <f t="shared" si="0"/>
        <v>0</v>
      </c>
      <c r="L52" s="29"/>
      <c r="M52" s="38">
        <f>MAX(0,MIN(Inputs!$B$36,R51,N52+O52+P52+Inputs!$B$6-Q51))</f>
        <v>0</v>
      </c>
      <c r="N52" s="38">
        <f>Inputs!$B$27*(1+Inputs!$B$28)^($A52/12)*IF(Inputs!$B$70=1,$G52,1)*(1-Inputs!$C$70*$H52*(1-Inputs!$E$54*Inputs!$B$70))*(1+$I52)*IF(Inputs!$B$29=0,1,(MAX(Q51,0)/Inputs!$B$6)^Inputs!$B$29)</f>
        <v>18703.371710977892</v>
      </c>
      <c r="O52" s="38">
        <f>Inputs!$B$32*Q51/Inputs!$B$6</f>
        <v>0</v>
      </c>
      <c r="P52" s="38">
        <f>Inputs!$B$33</f>
        <v>2500</v>
      </c>
      <c r="Q52" s="38">
        <f t="shared" si="1"/>
        <v>0</v>
      </c>
      <c r="R52" s="38">
        <f t="shared" si="2"/>
        <v>0</v>
      </c>
      <c r="S52" s="38">
        <f>Inputs!$B$19*(1-Inputs!$C$70*$H52)+Inputs!$B$21+Inputs!$B$70*$J52</f>
        <v>595000</v>
      </c>
      <c r="T52" s="38">
        <f t="shared" si="3"/>
        <v>-595000</v>
      </c>
      <c r="U52" s="38">
        <f t="shared" si="4"/>
        <v>1</v>
      </c>
      <c r="V52" s="38">
        <f>MAX(0,MIN(Inputs!$C$36,AA51,W52+X52+Y52+Inputs!$C$6-Z51))</f>
        <v>0</v>
      </c>
      <c r="W52" s="38">
        <f>Inputs!$C$27*(1+Inputs!$C$28)^($A52/12)*IF(Inputs!$B$70=1,$G52,1)*(1-Inputs!$C$70*$H52*(1-Inputs!$E$54*Inputs!$B$70))*(1+$I52)*IF(Inputs!$C$29=0,1,(MAX(Z51,0)/Inputs!$C$6)^Inputs!$C$29)</f>
        <v>11121.038050685353</v>
      </c>
      <c r="X52" s="38">
        <f>Inputs!$C$32*Z51/Inputs!$C$6</f>
        <v>3757.4752510439066</v>
      </c>
      <c r="Y52" s="38">
        <f>Inputs!$C$33</f>
        <v>2000</v>
      </c>
      <c r="Z52" s="38">
        <f t="shared" si="5"/>
        <v>428451.88682199304</v>
      </c>
      <c r="AA52" s="38">
        <f t="shared" si="6"/>
        <v>0</v>
      </c>
      <c r="AB52" s="38">
        <f>Inputs!$C$19*(1-Inputs!$C$70*$H52)+Inputs!$C$21+Inputs!$B$70*$J52</f>
        <v>495000</v>
      </c>
      <c r="AC52" s="38">
        <f t="shared" si="7"/>
        <v>-66548.113178006955</v>
      </c>
      <c r="AD52" s="38">
        <f t="shared" si="8"/>
        <v>1</v>
      </c>
      <c r="AE52" s="38">
        <f>MAX(0,MIN(Inputs!$D$36,AJ51,AF52+AG52+AH52+Inputs!$D$6-AI51))</f>
        <v>14125.351183610968</v>
      </c>
      <c r="AF52" s="38">
        <f>Inputs!$D$27*(1+Inputs!$D$28)^($A52/12)*IF(Inputs!$B$70=1,$G52,1)*(1-Inputs!$C$70*$H52*(1-Inputs!$E$54*Inputs!$B$70))*(1+$I52)*IF(Inputs!$D$29=0,1,(MAX(AI51,0)/Inputs!$D$6)^Inputs!$D$29)</f>
        <v>8425.3511836109974</v>
      </c>
      <c r="AG52" s="38">
        <f>Inputs!$D$32*AI51/Inputs!$D$6</f>
        <v>4200</v>
      </c>
      <c r="AH52" s="38">
        <f>Inputs!$D$33</f>
        <v>1500</v>
      </c>
      <c r="AI52" s="38">
        <f t="shared" si="9"/>
        <v>880000</v>
      </c>
      <c r="AJ52" s="38">
        <f t="shared" si="10"/>
        <v>207795.18434794899</v>
      </c>
      <c r="AK52" s="38">
        <f>Inputs!$D$19*(1-Inputs!$C$70*$H52)+Inputs!$D$21+Inputs!$B$70*$J52</f>
        <v>404800</v>
      </c>
      <c r="AL52" s="38">
        <f t="shared" si="11"/>
        <v>475200</v>
      </c>
      <c r="AM52" s="38">
        <f t="shared" si="12"/>
        <v>0</v>
      </c>
      <c r="AN52" s="38">
        <f>MAX(0,MIN(Inputs!$B$36,AS51,AO52+AP52+AQ52+Inputs!$B$6-AR51))</f>
        <v>0</v>
      </c>
      <c r="AO52" s="38">
        <f>Inputs!$B$27*(1+Inputs!$B$28)^($A52/12)*IF(Inputs!$B$71=1,$G52,1)*(1-Inputs!$C$71*$H52*(1-Inputs!$E$54*Inputs!$B$71))*(1+$I52)*IF(Inputs!$B$29=0,1,(MAX(AR51,0)/Inputs!$B$6)^Inputs!$B$29)</f>
        <v>15754.088392558251</v>
      </c>
      <c r="AP52" s="38">
        <f>Inputs!$B$32*AR51/Inputs!$B$6</f>
        <v>0</v>
      </c>
      <c r="AQ52" s="38">
        <f>Inputs!$B$33</f>
        <v>2500</v>
      </c>
      <c r="AR52" s="38">
        <f t="shared" si="13"/>
        <v>0</v>
      </c>
      <c r="AS52" s="38">
        <f t="shared" si="14"/>
        <v>0</v>
      </c>
      <c r="AT52" s="38">
        <f>Inputs!$B$19*(1-Inputs!$C$71*$H52)+Inputs!$B$21+Inputs!$B$71*$J52</f>
        <v>601000</v>
      </c>
      <c r="AU52" s="38">
        <f t="shared" si="15"/>
        <v>-601000</v>
      </c>
      <c r="AV52" s="38">
        <f t="shared" si="16"/>
        <v>1</v>
      </c>
      <c r="AW52" s="38">
        <f>MAX(0,MIN(Inputs!$C$36,BB51,AX52+AY52+AZ52+Inputs!$C$6-BA51))</f>
        <v>0</v>
      </c>
      <c r="AX52" s="38">
        <f>Inputs!$C$27*(1+Inputs!$C$28)^($A52/12)*IF(Inputs!$B$71=1,$G52,1)*(1-Inputs!$C$71*$H52*(1-Inputs!$E$54*Inputs!$B$71))*(1+$I52)*IF(Inputs!$C$29=0,1,(MAX(BA51,0)/Inputs!$C$6)^Inputs!$C$29)</f>
        <v>9638.2871590460072</v>
      </c>
      <c r="AY52" s="38">
        <f>Inputs!$C$32*BA51/Inputs!$C$6</f>
        <v>4211.3445674796476</v>
      </c>
      <c r="AZ52" s="38">
        <f>Inputs!$C$33</f>
        <v>2000</v>
      </c>
      <c r="BA52" s="38">
        <f t="shared" si="17"/>
        <v>483272.68738217349</v>
      </c>
      <c r="BB52" s="38">
        <f t="shared" si="18"/>
        <v>0</v>
      </c>
      <c r="BC52" s="38">
        <f>Inputs!$C$19*(1-Inputs!$C$71*$H52)+Inputs!$C$21+Inputs!$B$71*$J52</f>
        <v>501000</v>
      </c>
      <c r="BD52" s="38">
        <f t="shared" si="19"/>
        <v>-17727.312617826508</v>
      </c>
      <c r="BE52" s="38">
        <f t="shared" si="20"/>
        <v>1</v>
      </c>
      <c r="BF52" s="38">
        <f>MAX(0,MIN(Inputs!$D$36,BK51,BG52+BH52+BI52+Inputs!$D$6-BJ51))</f>
        <v>12796.78069473675</v>
      </c>
      <c r="BG52" s="38">
        <f>Inputs!$D$27*(1+Inputs!$D$28)^($A52/12)*IF(Inputs!$B$71=1,$G52,1)*(1-Inputs!$C$71*$H52*(1-Inputs!$E$54*Inputs!$B$71))*(1+$I52)*IF(Inputs!$D$29=0,1,(MAX(BJ51,0)/Inputs!$D$6)^Inputs!$D$29)</f>
        <v>7096.7806947367271</v>
      </c>
      <c r="BH52" s="38">
        <f>Inputs!$D$32*BJ51/Inputs!$D$6</f>
        <v>4200</v>
      </c>
      <c r="BI52" s="38">
        <f>Inputs!$D$33</f>
        <v>1500</v>
      </c>
      <c r="BJ52" s="38">
        <f t="shared" si="21"/>
        <v>880000</v>
      </c>
      <c r="BK52" s="38">
        <f t="shared" si="22"/>
        <v>255261.44089738431</v>
      </c>
      <c r="BL52" s="38">
        <f>Inputs!$D$19*(1-Inputs!$C$71*$H52)+Inputs!$D$21+Inputs!$B$71*$J52</f>
        <v>410800</v>
      </c>
      <c r="BM52" s="38">
        <f t="shared" si="23"/>
        <v>469200</v>
      </c>
      <c r="BN52" s="38">
        <f t="shared" si="24"/>
        <v>0</v>
      </c>
      <c r="BO52" s="38">
        <f>MAX(0,MIN(Inputs!$B$36,BT51,BP52+BQ52+BR52+Inputs!$B$6-BS51))</f>
        <v>0</v>
      </c>
      <c r="BP52" s="38">
        <f>Inputs!$B$27*(1+Inputs!$B$28)^($A52/12)*IF(Inputs!$B$72=1,$G52,1)*(1-Inputs!$C$72*$H52*(1-Inputs!$E$54*Inputs!$B$72))*(1+$I52)*IF(Inputs!$B$29=0,1,(MAX(BS51,0)/Inputs!$B$6)^Inputs!$B$29)</f>
        <v>16871.999897611309</v>
      </c>
      <c r="BQ52" s="38">
        <f>Inputs!$B$32*BS51/Inputs!$B$6</f>
        <v>0</v>
      </c>
      <c r="BR52" s="38">
        <f>Inputs!$B$33</f>
        <v>2500</v>
      </c>
      <c r="BS52" s="38">
        <f t="shared" si="25"/>
        <v>0</v>
      </c>
      <c r="BT52" s="38">
        <f t="shared" si="26"/>
        <v>0</v>
      </c>
      <c r="BU52" s="38">
        <f>Inputs!$B$19*(1-Inputs!$C$72*$H52)+Inputs!$B$21+Inputs!$B$72*$J52</f>
        <v>577864.58333333337</v>
      </c>
      <c r="BV52" s="38">
        <f t="shared" si="27"/>
        <v>-577864.58333333337</v>
      </c>
      <c r="BW52" s="38">
        <f t="shared" si="28"/>
        <v>1</v>
      </c>
      <c r="BX52" s="38">
        <f>MAX(0,MIN(Inputs!$C$36,CC51,BY52+BZ52+CA52+Inputs!$C$6-CB51))</f>
        <v>0</v>
      </c>
      <c r="BY52" s="38">
        <f>Inputs!$C$27*(1+Inputs!$C$28)^($A52/12)*IF(Inputs!$B$72=1,$G52,1)*(1-Inputs!$C$72*$H52*(1-Inputs!$E$54*Inputs!$B$72))*(1+$I52)*IF(Inputs!$C$29=0,1,(MAX(CB51,0)/Inputs!$C$6)^Inputs!$C$29)</f>
        <v>10163.428316578798</v>
      </c>
      <c r="BZ52" s="38">
        <f>Inputs!$C$32*CB51/Inputs!$C$6</f>
        <v>3958.1213025662028</v>
      </c>
      <c r="CA52" s="38">
        <f>Inputs!$C$33</f>
        <v>2000</v>
      </c>
      <c r="CB52" s="38">
        <f t="shared" si="29"/>
        <v>452989.1232775902</v>
      </c>
      <c r="CC52" s="38">
        <f t="shared" si="30"/>
        <v>0</v>
      </c>
      <c r="CD52" s="38">
        <f>Inputs!$C$19*(1-Inputs!$C$72*$H52)+Inputs!$C$21+Inputs!$B$72*$J52</f>
        <v>480312.5</v>
      </c>
      <c r="CE52" s="38">
        <f t="shared" si="31"/>
        <v>-27323.376722409797</v>
      </c>
      <c r="CF52" s="38">
        <f t="shared" si="32"/>
        <v>1</v>
      </c>
      <c r="CG52" s="38">
        <f>MAX(0,MIN(Inputs!$D$36,CL51,CH52+CI52+CJ52+Inputs!$D$6-CK51))</f>
        <v>13300.368880215799</v>
      </c>
      <c r="CH52" s="38">
        <f>Inputs!$D$27*(1+Inputs!$D$28)^($A52/12)*IF(Inputs!$B$72=1,$G52,1)*(1-Inputs!$C$72*$H52*(1-Inputs!$E$54*Inputs!$B$72))*(1+$I52)*IF(Inputs!$D$29=0,1,(MAX(CK51,0)/Inputs!$D$6)^Inputs!$D$29)</f>
        <v>7600.368880215754</v>
      </c>
      <c r="CI52" s="38">
        <f>Inputs!$D$32*CK51/Inputs!$D$6</f>
        <v>4200</v>
      </c>
      <c r="CJ52" s="38">
        <f>Inputs!$D$33</f>
        <v>1500</v>
      </c>
      <c r="CK52" s="38">
        <f t="shared" si="33"/>
        <v>880000</v>
      </c>
      <c r="CL52" s="38">
        <f t="shared" si="34"/>
        <v>228903.4206032448</v>
      </c>
      <c r="CM52" s="38">
        <f>Inputs!$D$19*(1-Inputs!$C$72*$H52)+Inputs!$D$21+Inputs!$B$72*$J52</f>
        <v>392413.54166666669</v>
      </c>
      <c r="CN52" s="38">
        <f t="shared" si="35"/>
        <v>487586.45833333331</v>
      </c>
      <c r="CO52" s="38">
        <f t="shared" si="36"/>
        <v>0</v>
      </c>
      <c r="CP52" s="38">
        <f>MAX(0,MIN(Inputs!$B$36,CU51,CQ52+CR52+CS52+Inputs!$B$6-CT51))</f>
        <v>0</v>
      </c>
      <c r="CQ52" s="38">
        <f>Inputs!$B$27*(1+Inputs!$B$28)^($A52/12)*IF(Inputs!$B$73=1,$G52,1)*(1-Inputs!$C$73*$H52*(1-Inputs!$E$54*Inputs!$B$73))*(1+$I52)*IF(Inputs!$B$29=0,1,(MAX(CT51,0)/Inputs!$B$6)^Inputs!$B$29)</f>
        <v>14982.794481672587</v>
      </c>
      <c r="CR52" s="38">
        <f>Inputs!$B$32*CT51/Inputs!$B$6</f>
        <v>0</v>
      </c>
      <c r="CS52" s="38">
        <f>Inputs!$B$33</f>
        <v>2500</v>
      </c>
      <c r="CT52" s="38">
        <f t="shared" si="37"/>
        <v>0</v>
      </c>
      <c r="CU52" s="38">
        <f t="shared" si="38"/>
        <v>0</v>
      </c>
      <c r="CV52" s="38">
        <f>Inputs!$B$19*(1-Inputs!$C$73*$H52)+Inputs!$B$21+Inputs!$B$73*$J52</f>
        <v>583864.58333333337</v>
      </c>
      <c r="CW52" s="38">
        <f t="shared" si="39"/>
        <v>-583864.58333333337</v>
      </c>
      <c r="CX52" s="38">
        <f t="shared" si="40"/>
        <v>1</v>
      </c>
      <c r="CY52" s="38">
        <f>MAX(0,MIN(Inputs!$C$36,DD51,CZ52+DA52+DB52+Inputs!$C$6-DC51))</f>
        <v>0</v>
      </c>
      <c r="CZ52" s="38">
        <f>Inputs!$C$27*(1+Inputs!$C$28)^($A52/12)*IF(Inputs!$B$73=1,$G52,1)*(1-Inputs!$C$73*$H52*(1-Inputs!$E$54*Inputs!$B$73))*(1+$I52)*IF(Inputs!$C$29=0,1,(MAX(DC51,0)/Inputs!$C$6)^Inputs!$C$29)</f>
        <v>9214.398482216744</v>
      </c>
      <c r="DA52" s="38">
        <f>Inputs!$C$32*DC51/Inputs!$C$6</f>
        <v>4300.2243257743403</v>
      </c>
      <c r="DB52" s="38">
        <f>Inputs!$C$33</f>
        <v>2000</v>
      </c>
      <c r="DC52" s="38">
        <f t="shared" si="41"/>
        <v>494141.59358007897</v>
      </c>
      <c r="DD52" s="38">
        <f t="shared" si="42"/>
        <v>0</v>
      </c>
      <c r="DE52" s="38">
        <f>Inputs!$C$19*(1-Inputs!$C$73*$H52)+Inputs!$C$21+Inputs!$B$73*$J52</f>
        <v>486312.5</v>
      </c>
      <c r="DF52" s="38">
        <f t="shared" si="43"/>
        <v>7829.0935800789739</v>
      </c>
      <c r="DG52" s="38">
        <f t="shared" si="44"/>
        <v>0</v>
      </c>
      <c r="DH52" s="38">
        <f>MAX(0,MIN(Inputs!$D$36,DM51,DI52+DJ52+DK52+Inputs!$D$6-DL51))</f>
        <v>12449.33413989027</v>
      </c>
      <c r="DI52" s="38">
        <f>Inputs!$D$27*(1+Inputs!$D$28)^($A52/12)*IF(Inputs!$B$73=1,$G52,1)*(1-Inputs!$C$73*$H52*(1-Inputs!$E$54*Inputs!$B$73))*(1+$I52)*IF(Inputs!$D$29=0,1,(MAX(DL51,0)/Inputs!$D$6)^Inputs!$D$29)</f>
        <v>6749.3341398902412</v>
      </c>
      <c r="DJ52" s="38">
        <f>Inputs!$D$32*DL51/Inputs!$D$6</f>
        <v>4200</v>
      </c>
      <c r="DK52" s="38">
        <f>Inputs!$D$33</f>
        <v>1500</v>
      </c>
      <c r="DL52" s="38">
        <f t="shared" si="45"/>
        <v>880000</v>
      </c>
      <c r="DM52" s="38">
        <f t="shared" si="46"/>
        <v>264371.92684427171</v>
      </c>
      <c r="DN52" s="38">
        <f>Inputs!$D$19*(1-Inputs!$C$73*$H52)+Inputs!$D$21+Inputs!$B$73*$J52</f>
        <v>398413.54166666669</v>
      </c>
      <c r="DO52" s="38">
        <f t="shared" si="47"/>
        <v>481586.45833333331</v>
      </c>
      <c r="DP52" s="38">
        <f t="shared" si="48"/>
        <v>0</v>
      </c>
    </row>
    <row r="53" spans="1:120" x14ac:dyDescent="0.35">
      <c r="A53" s="29">
        <v>48</v>
      </c>
      <c r="B53" s="34">
        <f>EDATE(Inputs!$B$67,$A53)</f>
        <v>47727</v>
      </c>
      <c r="C53" s="35">
        <f>IF(Inputs!$E$47&lt;=0,Inputs!$E$46,Inputs!$E$44+(Inputs!$E$46-Inputs!$E$44)*MIN($A53/Inputs!$E$47,1))</f>
        <v>0.7</v>
      </c>
      <c r="D53" s="35">
        <f>MIN(Inputs!$E$57,Inputs!$E$55*(1+Inputs!$E$56)^($A53/12))*Inputs!$E$58*(1+Inputs!$E$59)^($A53/12)/Inputs!$E$45</f>
        <v>1.5</v>
      </c>
      <c r="E53" s="35">
        <f>MAX(Inputs!$E$44,MIN(C53,D53))</f>
        <v>0.7</v>
      </c>
      <c r="F53" s="35">
        <f>IF(Inputs!$E$50&lt;=0,Inputs!$E$49,Inputs!$E$48+(Inputs!$E$49-Inputs!$E$48)*MIN($A53/Inputs!$E$50,1))</f>
        <v>0.12</v>
      </c>
      <c r="G53" s="36">
        <f>(Inputs!$E$41*(1-E53*Inputs!$E$51)+Inputs!$E$42*(1-F53*Inputs!$E$51))/(Inputs!$E$41*(1-Inputs!$E$44*Inputs!$E$51)+Inputs!$E$42*(1-Inputs!$E$48*Inputs!$E$51))</f>
        <v>0.8423127463863338</v>
      </c>
      <c r="H53" s="35">
        <f>IF(Inputs!$E$53&lt;=0,Inputs!$E$52,Inputs!$E$52*MIN($A53/Inputs!$E$53,1))</f>
        <v>0.1</v>
      </c>
      <c r="I53" s="35">
        <f>IF(Inputs!$E$64&lt;=0,Inputs!$E$63,Inputs!$E$62+(Inputs!$E$63-Inputs!$E$62)*MIN($A53/Inputs!$E$64,1))</f>
        <v>0.03</v>
      </c>
      <c r="J53" s="37">
        <f>(E53-Inputs!$E$44)*Inputs!$E$45/Inputs!$E$60*Inputs!$E$61</f>
        <v>5999.9999999999991</v>
      </c>
      <c r="K53" s="29">
        <f t="shared" si="0"/>
        <v>0</v>
      </c>
      <c r="L53" s="29"/>
      <c r="M53" s="38">
        <f>MAX(0,MIN(Inputs!$B$36,R52,N53+O53+P53+Inputs!$B$6-Q52))</f>
        <v>0</v>
      </c>
      <c r="N53" s="38">
        <f>Inputs!$B$27*(1+Inputs!$B$28)^($A53/12)*IF(Inputs!$B$70=1,$G53,1)*(1-Inputs!$C$70*$H53*(1-Inputs!$E$54*Inputs!$B$70))*(1+$I53)*IF(Inputs!$B$29=0,1,(MAX(Q52,0)/Inputs!$B$6)^Inputs!$B$29)</f>
        <v>18779.571562500001</v>
      </c>
      <c r="O53" s="38">
        <f>Inputs!$B$32*Q52/Inputs!$B$6</f>
        <v>0</v>
      </c>
      <c r="P53" s="38">
        <f>Inputs!$B$33</f>
        <v>2500</v>
      </c>
      <c r="Q53" s="38">
        <f t="shared" si="1"/>
        <v>0</v>
      </c>
      <c r="R53" s="38">
        <f t="shared" si="2"/>
        <v>0</v>
      </c>
      <c r="S53" s="38">
        <f>Inputs!$B$19*(1-Inputs!$C$70*$H53)+Inputs!$B$21+Inputs!$B$70*$J53</f>
        <v>595000</v>
      </c>
      <c r="T53" s="38">
        <f t="shared" si="3"/>
        <v>-595000</v>
      </c>
      <c r="U53" s="38">
        <f t="shared" si="4"/>
        <v>1</v>
      </c>
      <c r="V53" s="38">
        <f>MAX(0,MIN(Inputs!$C$36,AA52,W53+X53+Y53+Inputs!$C$6-Z52))</f>
        <v>0</v>
      </c>
      <c r="W53" s="38">
        <f>Inputs!$C$27*(1+Inputs!$C$28)^($A53/12)*IF(Inputs!$B$70=1,$G53,1)*(1-Inputs!$C$70*$H53*(1-Inputs!$E$54*Inputs!$B$70))*(1+$I53)*IF(Inputs!$C$29=0,1,(MAX(Z52,0)/Inputs!$C$6)^Inputs!$C$29)</f>
        <v>11014.131464185812</v>
      </c>
      <c r="X53" s="38">
        <f>Inputs!$C$32*Z52/Inputs!$C$6</f>
        <v>3615.0627950605663</v>
      </c>
      <c r="Y53" s="38">
        <f>Inputs!$C$33</f>
        <v>2000</v>
      </c>
      <c r="Z53" s="38">
        <f t="shared" si="5"/>
        <v>411822.69256274664</v>
      </c>
      <c r="AA53" s="38">
        <f t="shared" si="6"/>
        <v>0</v>
      </c>
      <c r="AB53" s="38">
        <f>Inputs!$C$19*(1-Inputs!$C$70*$H53)+Inputs!$C$21+Inputs!$B$70*$J53</f>
        <v>495000</v>
      </c>
      <c r="AC53" s="38">
        <f t="shared" si="7"/>
        <v>-83177.307437253359</v>
      </c>
      <c r="AD53" s="38">
        <f t="shared" si="8"/>
        <v>1</v>
      </c>
      <c r="AE53" s="38">
        <f>MAX(0,MIN(Inputs!$D$36,AJ52,AF53+AG53+AH53+Inputs!$D$6-AI52))</f>
        <v>14089.414375000051</v>
      </c>
      <c r="AF53" s="38">
        <f>Inputs!$D$27*(1+Inputs!$D$28)^($A53/12)*IF(Inputs!$B$70=1,$G53,1)*(1-Inputs!$C$70*$H53*(1-Inputs!$E$54*Inputs!$B$70))*(1+$I53)*IF(Inputs!$D$29=0,1,(MAX(AI52,0)/Inputs!$D$6)^Inputs!$D$29)</f>
        <v>8389.4143750000003</v>
      </c>
      <c r="AG53" s="38">
        <f>Inputs!$D$32*AI52/Inputs!$D$6</f>
        <v>4200</v>
      </c>
      <c r="AH53" s="38">
        <f>Inputs!$D$33</f>
        <v>1500</v>
      </c>
      <c r="AI53" s="38">
        <f t="shared" si="9"/>
        <v>880000</v>
      </c>
      <c r="AJ53" s="38">
        <f t="shared" si="10"/>
        <v>193705.76997294894</v>
      </c>
      <c r="AK53" s="38">
        <f>Inputs!$D$19*(1-Inputs!$C$70*$H53)+Inputs!$D$21+Inputs!$B$70*$J53</f>
        <v>404800</v>
      </c>
      <c r="AL53" s="38">
        <f t="shared" si="11"/>
        <v>475200</v>
      </c>
      <c r="AM53" s="38">
        <f t="shared" si="12"/>
        <v>0</v>
      </c>
      <c r="AN53" s="38">
        <f>MAX(0,MIN(Inputs!$B$36,AS52,AO53+AP53+AQ53+Inputs!$B$6-AR52))</f>
        <v>0</v>
      </c>
      <c r="AO53" s="38">
        <f>Inputs!$B$27*(1+Inputs!$B$28)^($A53/12)*IF(Inputs!$B$71=1,$G53,1)*(1-Inputs!$C$71*$H53*(1-Inputs!$E$54*Inputs!$B$71))*(1+$I53)*IF(Inputs!$B$29=0,1,(MAX(AR52,0)/Inputs!$B$6)^Inputs!$B$29)</f>
        <v>15818.27249876807</v>
      </c>
      <c r="AP53" s="38">
        <f>Inputs!$B$32*AR52/Inputs!$B$6</f>
        <v>0</v>
      </c>
      <c r="AQ53" s="38">
        <f>Inputs!$B$33</f>
        <v>2500</v>
      </c>
      <c r="AR53" s="38">
        <f t="shared" si="13"/>
        <v>0</v>
      </c>
      <c r="AS53" s="38">
        <f t="shared" si="14"/>
        <v>0</v>
      </c>
      <c r="AT53" s="38">
        <f>Inputs!$B$19*(1-Inputs!$C$71*$H53)+Inputs!$B$21+Inputs!$B$71*$J53</f>
        <v>601000</v>
      </c>
      <c r="AU53" s="38">
        <f t="shared" si="15"/>
        <v>-601000</v>
      </c>
      <c r="AV53" s="38">
        <f t="shared" si="16"/>
        <v>1</v>
      </c>
      <c r="AW53" s="38">
        <f>MAX(0,MIN(Inputs!$C$36,BB52,AX53+AY53+AZ53+Inputs!$C$6-BA52))</f>
        <v>0</v>
      </c>
      <c r="AX53" s="38">
        <f>Inputs!$C$27*(1+Inputs!$C$28)^($A53/12)*IF(Inputs!$B$71=1,$G53,1)*(1-Inputs!$C$71*$H53*(1-Inputs!$E$54*Inputs!$B$71))*(1+$I53)*IF(Inputs!$C$29=0,1,(MAX(BA52,0)/Inputs!$C$6)^Inputs!$C$29)</f>
        <v>9560.8427774508491</v>
      </c>
      <c r="AY53" s="38">
        <f>Inputs!$C$32*BA52/Inputs!$C$6</f>
        <v>4077.6132997870882</v>
      </c>
      <c r="AZ53" s="38">
        <f>Inputs!$C$33</f>
        <v>2000</v>
      </c>
      <c r="BA53" s="38">
        <f t="shared" si="17"/>
        <v>467634.23130493553</v>
      </c>
      <c r="BB53" s="38">
        <f t="shared" si="18"/>
        <v>0</v>
      </c>
      <c r="BC53" s="38">
        <f>Inputs!$C$19*(1-Inputs!$C$71*$H53)+Inputs!$C$21+Inputs!$B$71*$J53</f>
        <v>501000</v>
      </c>
      <c r="BD53" s="38">
        <f t="shared" si="19"/>
        <v>-33365.768695064471</v>
      </c>
      <c r="BE53" s="38">
        <f t="shared" si="20"/>
        <v>1</v>
      </c>
      <c r="BF53" s="38">
        <f>MAX(0,MIN(Inputs!$D$36,BK52,BG53+BH53+BI53+Inputs!$D$6-BJ52))</f>
        <v>12766.510662779212</v>
      </c>
      <c r="BG53" s="38">
        <f>Inputs!$D$27*(1+Inputs!$D$28)^($A53/12)*IF(Inputs!$B$71=1,$G53,1)*(1-Inputs!$C$71*$H53*(1-Inputs!$E$54*Inputs!$B$71))*(1+$I53)*IF(Inputs!$D$29=0,1,(MAX(BJ52,0)/Inputs!$D$6)^Inputs!$D$29)</f>
        <v>7066.5106627792384</v>
      </c>
      <c r="BH53" s="38">
        <f>Inputs!$D$32*BJ52/Inputs!$D$6</f>
        <v>4200</v>
      </c>
      <c r="BI53" s="38">
        <f>Inputs!$D$33</f>
        <v>1500</v>
      </c>
      <c r="BJ53" s="38">
        <f t="shared" si="21"/>
        <v>880000</v>
      </c>
      <c r="BK53" s="38">
        <f t="shared" si="22"/>
        <v>242494.9302346051</v>
      </c>
      <c r="BL53" s="38">
        <f>Inputs!$D$19*(1-Inputs!$C$71*$H53)+Inputs!$D$21+Inputs!$B$71*$J53</f>
        <v>410800</v>
      </c>
      <c r="BM53" s="38">
        <f t="shared" si="23"/>
        <v>469200</v>
      </c>
      <c r="BN53" s="38">
        <f t="shared" si="24"/>
        <v>0</v>
      </c>
      <c r="BO53" s="38">
        <f>MAX(0,MIN(Inputs!$B$36,BT52,BP53+BQ53+BR53+Inputs!$B$6-BS52))</f>
        <v>0</v>
      </c>
      <c r="BP53" s="38">
        <f>Inputs!$B$27*(1+Inputs!$B$28)^($A53/12)*IF(Inputs!$B$72=1,$G53,1)*(1-Inputs!$C$72*$H53*(1-Inputs!$E$54*Inputs!$B$72))*(1+$I53)*IF(Inputs!$B$29=0,1,(MAX(BS52,0)/Inputs!$B$6)^Inputs!$B$29)</f>
        <v>16901.614406250003</v>
      </c>
      <c r="BQ53" s="38">
        <f>Inputs!$B$32*BS52/Inputs!$B$6</f>
        <v>0</v>
      </c>
      <c r="BR53" s="38">
        <f>Inputs!$B$33</f>
        <v>2500</v>
      </c>
      <c r="BS53" s="38">
        <f t="shared" si="25"/>
        <v>0</v>
      </c>
      <c r="BT53" s="38">
        <f t="shared" si="26"/>
        <v>0</v>
      </c>
      <c r="BU53" s="38">
        <f>Inputs!$B$19*(1-Inputs!$C$72*$H53)+Inputs!$B$21+Inputs!$B$72*$J53</f>
        <v>577500</v>
      </c>
      <c r="BV53" s="38">
        <f t="shared" si="27"/>
        <v>-577500</v>
      </c>
      <c r="BW53" s="38">
        <f t="shared" si="28"/>
        <v>1</v>
      </c>
      <c r="BX53" s="38">
        <f>MAX(0,MIN(Inputs!$C$36,CC52,BY53+BZ53+CA53+Inputs!$C$6-CB52))</f>
        <v>0</v>
      </c>
      <c r="BY53" s="38">
        <f>Inputs!$C$27*(1+Inputs!$C$28)^($A53/12)*IF(Inputs!$B$72=1,$G53,1)*(1-Inputs!$C$72*$H53*(1-Inputs!$E$54*Inputs!$B$72))*(1+$I53)*IF(Inputs!$C$29=0,1,(MAX(CB52,0)/Inputs!$C$6)^Inputs!$C$29)</f>
        <v>10051.692493780465</v>
      </c>
      <c r="BZ53" s="38">
        <f>Inputs!$C$32*CB52/Inputs!$C$6</f>
        <v>3822.0957276546669</v>
      </c>
      <c r="CA53" s="38">
        <f>Inputs!$C$33</f>
        <v>2000</v>
      </c>
      <c r="CB53" s="38">
        <f t="shared" si="29"/>
        <v>437115.33505615511</v>
      </c>
      <c r="CC53" s="38">
        <f t="shared" si="30"/>
        <v>0</v>
      </c>
      <c r="CD53" s="38">
        <f>Inputs!$C$19*(1-Inputs!$C$72*$H53)+Inputs!$C$21+Inputs!$B$72*$J53</f>
        <v>480000</v>
      </c>
      <c r="CE53" s="38">
        <f t="shared" si="31"/>
        <v>-42884.664943844895</v>
      </c>
      <c r="CF53" s="38">
        <f t="shared" si="32"/>
        <v>1</v>
      </c>
      <c r="CG53" s="38">
        <f>MAX(0,MIN(Inputs!$D$36,CL52,CH53+CI53+CJ53+Inputs!$D$6-CK52))</f>
        <v>13250.472937499988</v>
      </c>
      <c r="CH53" s="38">
        <f>Inputs!$D$27*(1+Inputs!$D$28)^($A53/12)*IF(Inputs!$B$72=1,$G53,1)*(1-Inputs!$C$72*$H53*(1-Inputs!$E$54*Inputs!$B$72))*(1+$I53)*IF(Inputs!$D$29=0,1,(MAX(CK52,0)/Inputs!$D$6)^Inputs!$D$29)</f>
        <v>7550.4729375000006</v>
      </c>
      <c r="CI53" s="38">
        <f>Inputs!$D$32*CK52/Inputs!$D$6</f>
        <v>4200</v>
      </c>
      <c r="CJ53" s="38">
        <f>Inputs!$D$33</f>
        <v>1500</v>
      </c>
      <c r="CK53" s="38">
        <f t="shared" si="33"/>
        <v>880000</v>
      </c>
      <c r="CL53" s="38">
        <f t="shared" si="34"/>
        <v>215652.94766574481</v>
      </c>
      <c r="CM53" s="38">
        <f>Inputs!$D$19*(1-Inputs!$C$72*$H53)+Inputs!$D$21+Inputs!$B$72*$J53</f>
        <v>392150</v>
      </c>
      <c r="CN53" s="38">
        <f t="shared" si="35"/>
        <v>487850</v>
      </c>
      <c r="CO53" s="38">
        <f t="shared" si="36"/>
        <v>0</v>
      </c>
      <c r="CP53" s="38">
        <f>MAX(0,MIN(Inputs!$B$36,CU52,CQ53+CR53+CS53+Inputs!$B$6-CT52))</f>
        <v>0</v>
      </c>
      <c r="CQ53" s="38">
        <f>Inputs!$B$27*(1+Inputs!$B$28)^($A53/12)*IF(Inputs!$B$73=1,$G53,1)*(1-Inputs!$C$73*$H53*(1-Inputs!$E$54*Inputs!$B$73))*(1+$I53)*IF(Inputs!$B$29=0,1,(MAX(CT52,0)/Inputs!$B$6)^Inputs!$B$29)</f>
        <v>15027.358873829666</v>
      </c>
      <c r="CR53" s="38">
        <f>Inputs!$B$32*CT52/Inputs!$B$6</f>
        <v>0</v>
      </c>
      <c r="CS53" s="38">
        <f>Inputs!$B$33</f>
        <v>2500</v>
      </c>
      <c r="CT53" s="38">
        <f t="shared" si="37"/>
        <v>0</v>
      </c>
      <c r="CU53" s="38">
        <f t="shared" si="38"/>
        <v>0</v>
      </c>
      <c r="CV53" s="38">
        <f>Inputs!$B$19*(1-Inputs!$C$73*$H53)+Inputs!$B$21+Inputs!$B$73*$J53</f>
        <v>583500</v>
      </c>
      <c r="CW53" s="38">
        <f t="shared" si="39"/>
        <v>-583500</v>
      </c>
      <c r="CX53" s="38">
        <f t="shared" si="40"/>
        <v>1</v>
      </c>
      <c r="CY53" s="38">
        <f>MAX(0,MIN(Inputs!$C$36,DD52,CZ53+DA53+DB53+Inputs!$C$6-DC52))</f>
        <v>0</v>
      </c>
      <c r="CZ53" s="38">
        <f>Inputs!$C$27*(1+Inputs!$C$28)^($A53/12)*IF(Inputs!$B$73=1,$G53,1)*(1-Inputs!$C$73*$H53*(1-Inputs!$E$54*Inputs!$B$73))*(1+$I53)*IF(Inputs!$C$29=0,1,(MAX(DC52,0)/Inputs!$C$6)^Inputs!$C$29)</f>
        <v>9133.4440325432788</v>
      </c>
      <c r="DA53" s="38">
        <f>Inputs!$C$32*DC52/Inputs!$C$6</f>
        <v>4169.3196958319159</v>
      </c>
      <c r="DB53" s="38">
        <f>Inputs!$C$33</f>
        <v>2000</v>
      </c>
      <c r="DC53" s="38">
        <f t="shared" si="41"/>
        <v>478838.82985170378</v>
      </c>
      <c r="DD53" s="38">
        <f t="shared" si="42"/>
        <v>0</v>
      </c>
      <c r="DE53" s="38">
        <f>Inputs!$C$19*(1-Inputs!$C$73*$H53)+Inputs!$C$21+Inputs!$B$73*$J53</f>
        <v>486000</v>
      </c>
      <c r="DF53" s="38">
        <f t="shared" si="43"/>
        <v>-7161.1701482962235</v>
      </c>
      <c r="DG53" s="38">
        <f t="shared" si="44"/>
        <v>1</v>
      </c>
      <c r="DH53" s="38">
        <f>MAX(0,MIN(Inputs!$D$36,DM52,DI53+DJ53+DK53+Inputs!$D$6-DL52))</f>
        <v>12413.185129640275</v>
      </c>
      <c r="DI53" s="38">
        <f>Inputs!$D$27*(1+Inputs!$D$28)^($A53/12)*IF(Inputs!$B$73=1,$G53,1)*(1-Inputs!$C$73*$H53*(1-Inputs!$E$54*Inputs!$B$73))*(1+$I53)*IF(Inputs!$D$29=0,1,(MAX(DL52,0)/Inputs!$D$6)^Inputs!$D$29)</f>
        <v>6713.1851296402756</v>
      </c>
      <c r="DJ53" s="38">
        <f>Inputs!$D$32*DL52/Inputs!$D$6</f>
        <v>4200</v>
      </c>
      <c r="DK53" s="38">
        <f>Inputs!$D$33</f>
        <v>1500</v>
      </c>
      <c r="DL53" s="38">
        <f t="shared" si="45"/>
        <v>880000</v>
      </c>
      <c r="DM53" s="38">
        <f t="shared" si="46"/>
        <v>251958.74171463144</v>
      </c>
      <c r="DN53" s="38">
        <f>Inputs!$D$19*(1-Inputs!$C$73*$H53)+Inputs!$D$21+Inputs!$B$73*$J53</f>
        <v>398150</v>
      </c>
      <c r="DO53" s="38">
        <f t="shared" si="47"/>
        <v>481850</v>
      </c>
      <c r="DP53" s="38">
        <f t="shared" si="48"/>
        <v>0</v>
      </c>
    </row>
    <row r="54" spans="1:120" x14ac:dyDescent="0.35">
      <c r="A54" s="29">
        <v>49</v>
      </c>
      <c r="B54" s="34">
        <f>EDATE(Inputs!$B$67,$A54)</f>
        <v>47757</v>
      </c>
      <c r="C54" s="35">
        <f>IF(Inputs!$E$47&lt;=0,Inputs!$E$46,Inputs!$E$44+(Inputs!$E$46-Inputs!$E$44)*MIN($A54/Inputs!$E$47,1))</f>
        <v>0.7</v>
      </c>
      <c r="D54" s="35">
        <f>MIN(Inputs!$E$57,Inputs!$E$55*(1+Inputs!$E$56)^($A54/12))*Inputs!$E$58*(1+Inputs!$E$59)^($A54/12)/Inputs!$E$45</f>
        <v>1.5</v>
      </c>
      <c r="E54" s="35">
        <f>MAX(Inputs!$E$44,MIN(C54,D54))</f>
        <v>0.7</v>
      </c>
      <c r="F54" s="35">
        <f>IF(Inputs!$E$50&lt;=0,Inputs!$E$49,Inputs!$E$48+(Inputs!$E$49-Inputs!$E$48)*MIN($A54/Inputs!$E$50,1))</f>
        <v>0.12</v>
      </c>
      <c r="G54" s="36">
        <f>(Inputs!$E$41*(1-E54*Inputs!$E$51)+Inputs!$E$42*(1-F54*Inputs!$E$51))/(Inputs!$E$41*(1-Inputs!$E$44*Inputs!$E$51)+Inputs!$E$42*(1-Inputs!$E$48*Inputs!$E$51))</f>
        <v>0.8423127463863338</v>
      </c>
      <c r="H54" s="35">
        <f>IF(Inputs!$E$53&lt;=0,Inputs!$E$52,Inputs!$E$52*MIN($A54/Inputs!$E$53,1))</f>
        <v>0.1</v>
      </c>
      <c r="I54" s="35">
        <f>IF(Inputs!$E$64&lt;=0,Inputs!$E$63,Inputs!$E$62+(Inputs!$E$63-Inputs!$E$62)*MIN($A54/Inputs!$E$64,1))</f>
        <v>0.03</v>
      </c>
      <c r="J54" s="37">
        <f>(E54-Inputs!$E$44)*Inputs!$E$45/Inputs!$E$60*Inputs!$E$61</f>
        <v>5999.9999999999991</v>
      </c>
      <c r="K54" s="29">
        <f t="shared" si="0"/>
        <v>0</v>
      </c>
      <c r="L54" s="29"/>
      <c r="M54" s="38">
        <f>MAX(0,MIN(Inputs!$B$36,R53,N54+O54+P54+Inputs!$B$6-Q53))</f>
        <v>0</v>
      </c>
      <c r="N54" s="38">
        <f>Inputs!$B$27*(1+Inputs!$B$28)^($A54/12)*IF(Inputs!$B$70=1,$G54,1)*(1-Inputs!$C$70*$H54*(1-Inputs!$E$54*Inputs!$B$70))*(1+$I54)*IF(Inputs!$B$29=0,1,(MAX(Q53,0)/Inputs!$B$6)^Inputs!$B$29)</f>
        <v>18856.081861649513</v>
      </c>
      <c r="O54" s="38">
        <f>Inputs!$B$32*Q53/Inputs!$B$6</f>
        <v>0</v>
      </c>
      <c r="P54" s="38">
        <f>Inputs!$B$33</f>
        <v>2500</v>
      </c>
      <c r="Q54" s="38">
        <f t="shared" si="1"/>
        <v>0</v>
      </c>
      <c r="R54" s="38">
        <f t="shared" si="2"/>
        <v>0</v>
      </c>
      <c r="S54" s="38">
        <f>Inputs!$B$19*(1-Inputs!$C$70*$H54)+Inputs!$B$21+Inputs!$B$70*$J54</f>
        <v>595000</v>
      </c>
      <c r="T54" s="38">
        <f t="shared" si="3"/>
        <v>-595000</v>
      </c>
      <c r="U54" s="38">
        <f t="shared" si="4"/>
        <v>1</v>
      </c>
      <c r="V54" s="38">
        <f>MAX(0,MIN(Inputs!$C$36,AA53,W54+X54+Y54+Inputs!$C$6-Z53))</f>
        <v>0</v>
      </c>
      <c r="W54" s="38">
        <f>Inputs!$C$27*(1+Inputs!$C$28)^($A54/12)*IF(Inputs!$B$70=1,$G54,1)*(1-Inputs!$C$70*$H54*(1-Inputs!$E$54*Inputs!$B$70))*(1+$I54)*IF(Inputs!$C$29=0,1,(MAX(Z53,0)/Inputs!$C$6)^Inputs!$C$29)</f>
        <v>10905.668929885647</v>
      </c>
      <c r="X54" s="38">
        <f>Inputs!$C$32*Z53/Inputs!$C$6</f>
        <v>3474.7539684981743</v>
      </c>
      <c r="Y54" s="38">
        <f>Inputs!$C$33</f>
        <v>2000</v>
      </c>
      <c r="Z54" s="38">
        <f t="shared" si="5"/>
        <v>395442.26966436283</v>
      </c>
      <c r="AA54" s="38">
        <f t="shared" si="6"/>
        <v>0</v>
      </c>
      <c r="AB54" s="38">
        <f>Inputs!$C$19*(1-Inputs!$C$70*$H54)+Inputs!$C$21+Inputs!$B$70*$J54</f>
        <v>495000</v>
      </c>
      <c r="AC54" s="38">
        <f t="shared" si="7"/>
        <v>-99557.73033563717</v>
      </c>
      <c r="AD54" s="38">
        <f t="shared" si="8"/>
        <v>1</v>
      </c>
      <c r="AE54" s="38">
        <f>MAX(0,MIN(Inputs!$D$36,AJ53,AF54+AG54+AH54+Inputs!$D$6-AI53))</f>
        <v>14053.630848333589</v>
      </c>
      <c r="AF54" s="38">
        <f>Inputs!$D$27*(1+Inputs!$D$28)^($A54/12)*IF(Inputs!$B$70=1,$G54,1)*(1-Inputs!$C$70*$H54*(1-Inputs!$E$54*Inputs!$B$70))*(1+$I54)*IF(Inputs!$D$29=0,1,(MAX(AI53,0)/Inputs!$D$6)^Inputs!$D$29)</f>
        <v>8353.6308483335742</v>
      </c>
      <c r="AG54" s="38">
        <f>Inputs!$D$32*AI53/Inputs!$D$6</f>
        <v>4200</v>
      </c>
      <c r="AH54" s="38">
        <f>Inputs!$D$33</f>
        <v>1500</v>
      </c>
      <c r="AI54" s="38">
        <f t="shared" si="9"/>
        <v>880000</v>
      </c>
      <c r="AJ54" s="38">
        <f t="shared" si="10"/>
        <v>179652.13912461535</v>
      </c>
      <c r="AK54" s="38">
        <f>Inputs!$D$19*(1-Inputs!$C$70*$H54)+Inputs!$D$21+Inputs!$B$70*$J54</f>
        <v>404800</v>
      </c>
      <c r="AL54" s="38">
        <f t="shared" si="11"/>
        <v>475200</v>
      </c>
      <c r="AM54" s="38">
        <f t="shared" si="12"/>
        <v>0</v>
      </c>
      <c r="AN54" s="38">
        <f>MAX(0,MIN(Inputs!$B$36,AS53,AO54+AP54+AQ54+Inputs!$B$6-AR53))</f>
        <v>0</v>
      </c>
      <c r="AO54" s="38">
        <f>Inputs!$B$27*(1+Inputs!$B$28)^($A54/12)*IF(Inputs!$B$71=1,$G54,1)*(1-Inputs!$C$71*$H54*(1-Inputs!$E$54*Inputs!$B$71))*(1+$I54)*IF(Inputs!$B$29=0,1,(MAX(AR53,0)/Inputs!$B$6)^Inputs!$B$29)</f>
        <v>15882.718098971534</v>
      </c>
      <c r="AP54" s="38">
        <f>Inputs!$B$32*AR53/Inputs!$B$6</f>
        <v>0</v>
      </c>
      <c r="AQ54" s="38">
        <f>Inputs!$B$33</f>
        <v>2500</v>
      </c>
      <c r="AR54" s="38">
        <f t="shared" si="13"/>
        <v>0</v>
      </c>
      <c r="AS54" s="38">
        <f t="shared" si="14"/>
        <v>0</v>
      </c>
      <c r="AT54" s="38">
        <f>Inputs!$B$19*(1-Inputs!$C$71*$H54)+Inputs!$B$21+Inputs!$B$71*$J54</f>
        <v>601000</v>
      </c>
      <c r="AU54" s="38">
        <f t="shared" si="15"/>
        <v>-601000</v>
      </c>
      <c r="AV54" s="38">
        <f t="shared" si="16"/>
        <v>1</v>
      </c>
      <c r="AW54" s="38">
        <f>MAX(0,MIN(Inputs!$C$36,BB53,AX54+AY54+AZ54+Inputs!$C$6-BA53))</f>
        <v>0</v>
      </c>
      <c r="AX54" s="38">
        <f>Inputs!$C$27*(1+Inputs!$C$28)^($A54/12)*IF(Inputs!$B$71=1,$G54,1)*(1-Inputs!$C$71*$H54*(1-Inputs!$E$54*Inputs!$B$71))*(1+$I54)*IF(Inputs!$C$29=0,1,(MAX(BA53,0)/Inputs!$C$6)^Inputs!$C$29)</f>
        <v>9482.5400867502085</v>
      </c>
      <c r="AY54" s="38">
        <f>Inputs!$C$32*BA53/Inputs!$C$6</f>
        <v>3945.663826635393</v>
      </c>
      <c r="AZ54" s="38">
        <f>Inputs!$C$33</f>
        <v>2000</v>
      </c>
      <c r="BA54" s="38">
        <f t="shared" si="17"/>
        <v>452206.0273915499</v>
      </c>
      <c r="BB54" s="38">
        <f t="shared" si="18"/>
        <v>0</v>
      </c>
      <c r="BC54" s="38">
        <f>Inputs!$C$19*(1-Inputs!$C$71*$H54)+Inputs!$C$21+Inputs!$B$71*$J54</f>
        <v>501000</v>
      </c>
      <c r="BD54" s="38">
        <f t="shared" si="19"/>
        <v>-48793.972608450102</v>
      </c>
      <c r="BE54" s="38">
        <f t="shared" si="20"/>
        <v>1</v>
      </c>
      <c r="BF54" s="38">
        <f>MAX(0,MIN(Inputs!$D$36,BK53,BG54+BH54+BI54+Inputs!$D$6-BJ53))</f>
        <v>12736.369742157403</v>
      </c>
      <c r="BG54" s="38">
        <f>Inputs!$D$27*(1+Inputs!$D$28)^($A54/12)*IF(Inputs!$B$71=1,$G54,1)*(1-Inputs!$C$71*$H54*(1-Inputs!$E$54*Inputs!$B$71))*(1+$I54)*IF(Inputs!$D$29=0,1,(MAX(BJ53,0)/Inputs!$D$6)^Inputs!$D$29)</f>
        <v>7036.3697421574534</v>
      </c>
      <c r="BH54" s="38">
        <f>Inputs!$D$32*BJ53/Inputs!$D$6</f>
        <v>4200</v>
      </c>
      <c r="BI54" s="38">
        <f>Inputs!$D$33</f>
        <v>1500</v>
      </c>
      <c r="BJ54" s="38">
        <f t="shared" si="21"/>
        <v>880000</v>
      </c>
      <c r="BK54" s="38">
        <f t="shared" si="22"/>
        <v>229758.56049244769</v>
      </c>
      <c r="BL54" s="38">
        <f>Inputs!$D$19*(1-Inputs!$C$71*$H54)+Inputs!$D$21+Inputs!$B$71*$J54</f>
        <v>410800</v>
      </c>
      <c r="BM54" s="38">
        <f t="shared" si="23"/>
        <v>469200</v>
      </c>
      <c r="BN54" s="38">
        <f t="shared" si="24"/>
        <v>0</v>
      </c>
      <c r="BO54" s="38">
        <f>MAX(0,MIN(Inputs!$B$36,BT53,BP54+BQ54+BR54+Inputs!$B$6-BS53))</f>
        <v>0</v>
      </c>
      <c r="BP54" s="38">
        <f>Inputs!$B$27*(1+Inputs!$B$28)^($A54/12)*IF(Inputs!$B$72=1,$G54,1)*(1-Inputs!$C$72*$H54*(1-Inputs!$E$54*Inputs!$B$72))*(1+$I54)*IF(Inputs!$B$29=0,1,(MAX(BS53,0)/Inputs!$B$6)^Inputs!$B$29)</f>
        <v>16970.473675484558</v>
      </c>
      <c r="BQ54" s="38">
        <f>Inputs!$B$32*BS53/Inputs!$B$6</f>
        <v>0</v>
      </c>
      <c r="BR54" s="38">
        <f>Inputs!$B$33</f>
        <v>2500</v>
      </c>
      <c r="BS54" s="38">
        <f t="shared" si="25"/>
        <v>0</v>
      </c>
      <c r="BT54" s="38">
        <f t="shared" si="26"/>
        <v>0</v>
      </c>
      <c r="BU54" s="38">
        <f>Inputs!$B$19*(1-Inputs!$C$72*$H54)+Inputs!$B$21+Inputs!$B$72*$J54</f>
        <v>577500</v>
      </c>
      <c r="BV54" s="38">
        <f t="shared" si="27"/>
        <v>-577500</v>
      </c>
      <c r="BW54" s="38">
        <f t="shared" si="28"/>
        <v>1</v>
      </c>
      <c r="BX54" s="38">
        <f>MAX(0,MIN(Inputs!$C$36,CC53,BY54+BZ54+CA54+Inputs!$C$6-CB53))</f>
        <v>0</v>
      </c>
      <c r="BY54" s="38">
        <f>Inputs!$C$27*(1+Inputs!$C$28)^($A54/12)*IF(Inputs!$B$72=1,$G54,1)*(1-Inputs!$C$72*$H54*(1-Inputs!$E$54*Inputs!$B$72))*(1+$I54)*IF(Inputs!$C$29=0,1,(MAX(CB53,0)/Inputs!$C$6)^Inputs!$C$29)</f>
        <v>9962.452439940198</v>
      </c>
      <c r="BZ54" s="38">
        <f>Inputs!$C$32*CB53/Inputs!$C$6</f>
        <v>3688.1606395363078</v>
      </c>
      <c r="CA54" s="38">
        <f>Inputs!$C$33</f>
        <v>2000</v>
      </c>
      <c r="CB54" s="38">
        <f t="shared" si="29"/>
        <v>421464.72197667859</v>
      </c>
      <c r="CC54" s="38">
        <f t="shared" si="30"/>
        <v>0</v>
      </c>
      <c r="CD54" s="38">
        <f>Inputs!$C$19*(1-Inputs!$C$72*$H54)+Inputs!$C$21+Inputs!$B$72*$J54</f>
        <v>480000</v>
      </c>
      <c r="CE54" s="38">
        <f t="shared" si="31"/>
        <v>-58535.278023321414</v>
      </c>
      <c r="CF54" s="38">
        <f t="shared" si="32"/>
        <v>1</v>
      </c>
      <c r="CG54" s="38">
        <f>MAX(0,MIN(Inputs!$D$36,CL53,CH54+CI54+CJ54+Inputs!$D$6-CK53))</f>
        <v>13218.267763500218</v>
      </c>
      <c r="CH54" s="38">
        <f>Inputs!$D$27*(1+Inputs!$D$28)^($A54/12)*IF(Inputs!$B$72=1,$G54,1)*(1-Inputs!$C$72*$H54*(1-Inputs!$E$54*Inputs!$B$72))*(1+$I54)*IF(Inputs!$D$29=0,1,(MAX(CK53,0)/Inputs!$D$6)^Inputs!$D$29)</f>
        <v>7518.2677635002174</v>
      </c>
      <c r="CI54" s="38">
        <f>Inputs!$D$32*CK53/Inputs!$D$6</f>
        <v>4200</v>
      </c>
      <c r="CJ54" s="38">
        <f>Inputs!$D$33</f>
        <v>1500</v>
      </c>
      <c r="CK54" s="38">
        <f t="shared" si="33"/>
        <v>880000</v>
      </c>
      <c r="CL54" s="38">
        <f t="shared" si="34"/>
        <v>202434.67990224459</v>
      </c>
      <c r="CM54" s="38">
        <f>Inputs!$D$19*(1-Inputs!$C$72*$H54)+Inputs!$D$21+Inputs!$B$72*$J54</f>
        <v>392150</v>
      </c>
      <c r="CN54" s="38">
        <f t="shared" si="35"/>
        <v>487850</v>
      </c>
      <c r="CO54" s="38">
        <f t="shared" si="36"/>
        <v>0</v>
      </c>
      <c r="CP54" s="38">
        <f>MAX(0,MIN(Inputs!$B$36,CU53,CQ54+CR54+CS54+Inputs!$B$6-CT53))</f>
        <v>0</v>
      </c>
      <c r="CQ54" s="38">
        <f>Inputs!$B$27*(1+Inputs!$B$28)^($A54/12)*IF(Inputs!$B$73=1,$G54,1)*(1-Inputs!$C$73*$H54*(1-Inputs!$E$54*Inputs!$B$73))*(1+$I54)*IF(Inputs!$B$29=0,1,(MAX(CT53,0)/Inputs!$B$6)^Inputs!$B$29)</f>
        <v>15088.582194022956</v>
      </c>
      <c r="CR54" s="38">
        <f>Inputs!$B$32*CT53/Inputs!$B$6</f>
        <v>0</v>
      </c>
      <c r="CS54" s="38">
        <f>Inputs!$B$33</f>
        <v>2500</v>
      </c>
      <c r="CT54" s="38">
        <f t="shared" si="37"/>
        <v>0</v>
      </c>
      <c r="CU54" s="38">
        <f t="shared" si="38"/>
        <v>0</v>
      </c>
      <c r="CV54" s="38">
        <f>Inputs!$B$19*(1-Inputs!$C$73*$H54)+Inputs!$B$21+Inputs!$B$73*$J54</f>
        <v>583500</v>
      </c>
      <c r="CW54" s="38">
        <f t="shared" si="39"/>
        <v>-583500</v>
      </c>
      <c r="CX54" s="38">
        <f t="shared" si="40"/>
        <v>1</v>
      </c>
      <c r="CY54" s="38">
        <f>MAX(0,MIN(Inputs!$C$36,DD53,CZ54+DA54+DB54+Inputs!$C$6-DC53))</f>
        <v>0</v>
      </c>
      <c r="CZ54" s="38">
        <f>Inputs!$C$27*(1+Inputs!$C$28)^($A54/12)*IF(Inputs!$B$73=1,$G54,1)*(1-Inputs!$C$73*$H54*(1-Inputs!$E$54*Inputs!$B$73))*(1+$I54)*IF(Inputs!$C$29=0,1,(MAX(DC53,0)/Inputs!$C$6)^Inputs!$C$29)</f>
        <v>9061.8956990255574</v>
      </c>
      <c r="DA54" s="38">
        <f>Inputs!$C$32*DC53/Inputs!$C$6</f>
        <v>4040.20262687375</v>
      </c>
      <c r="DB54" s="38">
        <f>Inputs!$C$33</f>
        <v>2000</v>
      </c>
      <c r="DC54" s="38">
        <f t="shared" si="41"/>
        <v>463736.7315258045</v>
      </c>
      <c r="DD54" s="38">
        <f t="shared" si="42"/>
        <v>0</v>
      </c>
      <c r="DE54" s="38">
        <f>Inputs!$C$19*(1-Inputs!$C$73*$H54)+Inputs!$C$21+Inputs!$B$73*$J54</f>
        <v>486000</v>
      </c>
      <c r="DF54" s="38">
        <f t="shared" si="43"/>
        <v>-22263.268474195502</v>
      </c>
      <c r="DG54" s="38">
        <f t="shared" si="44"/>
        <v>1</v>
      </c>
      <c r="DH54" s="38">
        <f>MAX(0,MIN(Inputs!$D$36,DM53,DI54+DJ54+DK54+Inputs!$D$6-DL53))</f>
        <v>12384.551255049533</v>
      </c>
      <c r="DI54" s="38">
        <f>Inputs!$D$27*(1+Inputs!$D$28)^($A54/12)*IF(Inputs!$B$73=1,$G54,1)*(1-Inputs!$C$73*$H54*(1-Inputs!$E$54*Inputs!$B$73))*(1+$I54)*IF(Inputs!$D$29=0,1,(MAX(DL53,0)/Inputs!$D$6)^Inputs!$D$29)</f>
        <v>6684.5512550495805</v>
      </c>
      <c r="DJ54" s="38">
        <f>Inputs!$D$32*DL53/Inputs!$D$6</f>
        <v>4200</v>
      </c>
      <c r="DK54" s="38">
        <f>Inputs!$D$33</f>
        <v>1500</v>
      </c>
      <c r="DL54" s="38">
        <f t="shared" si="45"/>
        <v>880000</v>
      </c>
      <c r="DM54" s="38">
        <f t="shared" si="46"/>
        <v>239574.19045958191</v>
      </c>
      <c r="DN54" s="38">
        <f>Inputs!$D$19*(1-Inputs!$C$73*$H54)+Inputs!$D$21+Inputs!$B$73*$J54</f>
        <v>398150</v>
      </c>
      <c r="DO54" s="38">
        <f t="shared" si="47"/>
        <v>481850</v>
      </c>
      <c r="DP54" s="38">
        <f t="shared" si="48"/>
        <v>0</v>
      </c>
    </row>
    <row r="55" spans="1:120" x14ac:dyDescent="0.35">
      <c r="A55" s="29">
        <v>50</v>
      </c>
      <c r="B55" s="34">
        <f>EDATE(Inputs!$B$67,$A55)</f>
        <v>47788</v>
      </c>
      <c r="C55" s="35">
        <f>IF(Inputs!$E$47&lt;=0,Inputs!$E$46,Inputs!$E$44+(Inputs!$E$46-Inputs!$E$44)*MIN($A55/Inputs!$E$47,1))</f>
        <v>0.7</v>
      </c>
      <c r="D55" s="35">
        <f>MIN(Inputs!$E$57,Inputs!$E$55*(1+Inputs!$E$56)^($A55/12))*Inputs!$E$58*(1+Inputs!$E$59)^($A55/12)/Inputs!$E$45</f>
        <v>1.5</v>
      </c>
      <c r="E55" s="35">
        <f>MAX(Inputs!$E$44,MIN(C55,D55))</f>
        <v>0.7</v>
      </c>
      <c r="F55" s="35">
        <f>IF(Inputs!$E$50&lt;=0,Inputs!$E$49,Inputs!$E$48+(Inputs!$E$49-Inputs!$E$48)*MIN($A55/Inputs!$E$50,1))</f>
        <v>0.12</v>
      </c>
      <c r="G55" s="36">
        <f>(Inputs!$E$41*(1-E55*Inputs!$E$51)+Inputs!$E$42*(1-F55*Inputs!$E$51))/(Inputs!$E$41*(1-Inputs!$E$44*Inputs!$E$51)+Inputs!$E$42*(1-Inputs!$E$48*Inputs!$E$51))</f>
        <v>0.8423127463863338</v>
      </c>
      <c r="H55" s="35">
        <f>IF(Inputs!$E$53&lt;=0,Inputs!$E$52,Inputs!$E$52*MIN($A55/Inputs!$E$53,1))</f>
        <v>0.1</v>
      </c>
      <c r="I55" s="35">
        <f>IF(Inputs!$E$64&lt;=0,Inputs!$E$63,Inputs!$E$62+(Inputs!$E$63-Inputs!$E$62)*MIN($A55/Inputs!$E$64,1))</f>
        <v>0.03</v>
      </c>
      <c r="J55" s="37">
        <f>(E55-Inputs!$E$44)*Inputs!$E$45/Inputs!$E$60*Inputs!$E$61</f>
        <v>5999.9999999999991</v>
      </c>
      <c r="K55" s="29">
        <f t="shared" si="0"/>
        <v>0</v>
      </c>
      <c r="L55" s="29"/>
      <c r="M55" s="38">
        <f>MAX(0,MIN(Inputs!$B$36,R54,N55+O55+P55+Inputs!$B$6-Q54))</f>
        <v>0</v>
      </c>
      <c r="N55" s="38">
        <f>Inputs!$B$27*(1+Inputs!$B$28)^($A55/12)*IF(Inputs!$B$70=1,$G55,1)*(1-Inputs!$C$70*$H55*(1-Inputs!$E$54*Inputs!$B$70))*(1+$I55)*IF(Inputs!$B$29=0,1,(MAX(Q54,0)/Inputs!$B$6)^Inputs!$B$29)</f>
        <v>18932.903873228475</v>
      </c>
      <c r="O55" s="38">
        <f>Inputs!$B$32*Q54/Inputs!$B$6</f>
        <v>0</v>
      </c>
      <c r="P55" s="38">
        <f>Inputs!$B$33</f>
        <v>2500</v>
      </c>
      <c r="Q55" s="38">
        <f t="shared" si="1"/>
        <v>0</v>
      </c>
      <c r="R55" s="38">
        <f t="shared" si="2"/>
        <v>0</v>
      </c>
      <c r="S55" s="38">
        <f>Inputs!$B$19*(1-Inputs!$C$70*$H55)+Inputs!$B$21+Inputs!$B$70*$J55</f>
        <v>595000</v>
      </c>
      <c r="T55" s="38">
        <f t="shared" si="3"/>
        <v>-595000</v>
      </c>
      <c r="U55" s="38">
        <f t="shared" si="4"/>
        <v>1</v>
      </c>
      <c r="V55" s="38">
        <f>MAX(0,MIN(Inputs!$C$36,AA54,W55+X55+Y55+Inputs!$C$6-Z54))</f>
        <v>0</v>
      </c>
      <c r="W55" s="38">
        <f>Inputs!$C$27*(1+Inputs!$C$28)^($A55/12)*IF(Inputs!$B$70=1,$G55,1)*(1-Inputs!$C$70*$H55*(1-Inputs!$E$54*Inputs!$B$70))*(1+$I55)*IF(Inputs!$C$29=0,1,(MAX(Z54,0)/Inputs!$C$6)^Inputs!$C$29)</f>
        <v>10795.56840204424</v>
      </c>
      <c r="X55" s="38">
        <f>Inputs!$C$32*Z54/Inputs!$C$6</f>
        <v>3336.5441502930612</v>
      </c>
      <c r="Y55" s="38">
        <f>Inputs!$C$33</f>
        <v>2000</v>
      </c>
      <c r="Z55" s="38">
        <f t="shared" si="5"/>
        <v>379310.15711202554</v>
      </c>
      <c r="AA55" s="38">
        <f t="shared" si="6"/>
        <v>0</v>
      </c>
      <c r="AB55" s="38">
        <f>Inputs!$C$19*(1-Inputs!$C$70*$H55)+Inputs!$C$21+Inputs!$B$70*$J55</f>
        <v>495000</v>
      </c>
      <c r="AC55" s="38">
        <f t="shared" si="7"/>
        <v>-115689.84288797446</v>
      </c>
      <c r="AD55" s="38">
        <f t="shared" si="8"/>
        <v>1</v>
      </c>
      <c r="AE55" s="38">
        <f>MAX(0,MIN(Inputs!$D$36,AJ54,AF55+AG55+AH55+Inputs!$D$6-AI54))</f>
        <v>14017.999949815334</v>
      </c>
      <c r="AF55" s="38">
        <f>Inputs!$D$27*(1+Inputs!$D$28)^($A55/12)*IF(Inputs!$B$70=1,$G55,1)*(1-Inputs!$C$70*$H55*(1-Inputs!$E$54*Inputs!$B$70))*(1+$I55)*IF(Inputs!$D$29=0,1,(MAX(AI54,0)/Inputs!$D$6)^Inputs!$D$29)</f>
        <v>8317.9999498153666</v>
      </c>
      <c r="AG55" s="38">
        <f>Inputs!$D$32*AI54/Inputs!$D$6</f>
        <v>4200</v>
      </c>
      <c r="AH55" s="38">
        <f>Inputs!$D$33</f>
        <v>1500</v>
      </c>
      <c r="AI55" s="38">
        <f t="shared" si="9"/>
        <v>880000</v>
      </c>
      <c r="AJ55" s="38">
        <f t="shared" si="10"/>
        <v>165634.13917480002</v>
      </c>
      <c r="AK55" s="38">
        <f>Inputs!$D$19*(1-Inputs!$C$70*$H55)+Inputs!$D$21+Inputs!$B$70*$J55</f>
        <v>404800</v>
      </c>
      <c r="AL55" s="38">
        <f t="shared" si="11"/>
        <v>475200</v>
      </c>
      <c r="AM55" s="38">
        <f t="shared" si="12"/>
        <v>0</v>
      </c>
      <c r="AN55" s="38">
        <f>MAX(0,MIN(Inputs!$B$36,AS54,AO55+AP55+AQ55+Inputs!$B$6-AR54))</f>
        <v>0</v>
      </c>
      <c r="AO55" s="38">
        <f>Inputs!$B$27*(1+Inputs!$B$28)^($A55/12)*IF(Inputs!$B$71=1,$G55,1)*(1-Inputs!$C$71*$H55*(1-Inputs!$E$54*Inputs!$B$71))*(1+$I55)*IF(Inputs!$B$29=0,1,(MAX(AR54,0)/Inputs!$B$6)^Inputs!$B$29)</f>
        <v>15947.426258527536</v>
      </c>
      <c r="AP55" s="38">
        <f>Inputs!$B$32*AR54/Inputs!$B$6</f>
        <v>0</v>
      </c>
      <c r="AQ55" s="38">
        <f>Inputs!$B$33</f>
        <v>2500</v>
      </c>
      <c r="AR55" s="38">
        <f t="shared" si="13"/>
        <v>0</v>
      </c>
      <c r="AS55" s="38">
        <f t="shared" si="14"/>
        <v>0</v>
      </c>
      <c r="AT55" s="38">
        <f>Inputs!$B$19*(1-Inputs!$C$71*$H55)+Inputs!$B$21+Inputs!$B$71*$J55</f>
        <v>601000</v>
      </c>
      <c r="AU55" s="38">
        <f t="shared" si="15"/>
        <v>-601000</v>
      </c>
      <c r="AV55" s="38">
        <f t="shared" si="16"/>
        <v>1</v>
      </c>
      <c r="AW55" s="38">
        <f>MAX(0,MIN(Inputs!$C$36,BB54,AX55+AY55+AZ55+Inputs!$C$6-BA54))</f>
        <v>0</v>
      </c>
      <c r="AX55" s="38">
        <f>Inputs!$C$27*(1+Inputs!$C$28)^($A55/12)*IF(Inputs!$B$71=1,$G55,1)*(1-Inputs!$C$71*$H55*(1-Inputs!$E$54*Inputs!$B$71))*(1+$I55)*IF(Inputs!$C$29=0,1,(MAX(BA54,0)/Inputs!$C$6)^Inputs!$C$29)</f>
        <v>9403.3413218875921</v>
      </c>
      <c r="AY55" s="38">
        <f>Inputs!$C$32*BA54/Inputs!$C$6</f>
        <v>3815.4883561162019</v>
      </c>
      <c r="AZ55" s="38">
        <f>Inputs!$C$33</f>
        <v>2000</v>
      </c>
      <c r="BA55" s="38">
        <f t="shared" si="17"/>
        <v>436987.19771354611</v>
      </c>
      <c r="BB55" s="38">
        <f t="shared" si="18"/>
        <v>0</v>
      </c>
      <c r="BC55" s="38">
        <f>Inputs!$C$19*(1-Inputs!$C$71*$H55)+Inputs!$C$21+Inputs!$B$71*$J55</f>
        <v>501000</v>
      </c>
      <c r="BD55" s="38">
        <f t="shared" si="19"/>
        <v>-64012.802286453894</v>
      </c>
      <c r="BE55" s="38">
        <f t="shared" si="20"/>
        <v>1</v>
      </c>
      <c r="BF55" s="38">
        <f>MAX(0,MIN(Inputs!$D$36,BK54,BG55+BH55+BI55+Inputs!$D$6-BJ54))</f>
        <v>12706.35738217039</v>
      </c>
      <c r="BG55" s="38">
        <f>Inputs!$D$27*(1+Inputs!$D$28)^($A55/12)*IF(Inputs!$B$71=1,$G55,1)*(1-Inputs!$C$71*$H55*(1-Inputs!$E$54*Inputs!$B$71))*(1+$I55)*IF(Inputs!$D$29=0,1,(MAX(BJ54,0)/Inputs!$D$6)^Inputs!$D$29)</f>
        <v>7006.3573821703685</v>
      </c>
      <c r="BH55" s="38">
        <f>Inputs!$D$32*BJ54/Inputs!$D$6</f>
        <v>4200</v>
      </c>
      <c r="BI55" s="38">
        <f>Inputs!$D$33</f>
        <v>1500</v>
      </c>
      <c r="BJ55" s="38">
        <f t="shared" si="21"/>
        <v>880000</v>
      </c>
      <c r="BK55" s="38">
        <f t="shared" si="22"/>
        <v>217052.2031102773</v>
      </c>
      <c r="BL55" s="38">
        <f>Inputs!$D$19*(1-Inputs!$C$71*$H55)+Inputs!$D$21+Inputs!$B$71*$J55</f>
        <v>410800</v>
      </c>
      <c r="BM55" s="38">
        <f t="shared" si="23"/>
        <v>469200</v>
      </c>
      <c r="BN55" s="38">
        <f t="shared" si="24"/>
        <v>0</v>
      </c>
      <c r="BO55" s="38">
        <f>MAX(0,MIN(Inputs!$B$36,BT54,BP55+BQ55+BR55+Inputs!$B$6-BS54))</f>
        <v>0</v>
      </c>
      <c r="BP55" s="38">
        <f>Inputs!$B$27*(1+Inputs!$B$28)^($A55/12)*IF(Inputs!$B$72=1,$G55,1)*(1-Inputs!$C$72*$H55*(1-Inputs!$E$54*Inputs!$B$72))*(1+$I55)*IF(Inputs!$B$29=0,1,(MAX(BS54,0)/Inputs!$B$6)^Inputs!$B$29)</f>
        <v>17039.613485905629</v>
      </c>
      <c r="BQ55" s="38">
        <f>Inputs!$B$32*BS54/Inputs!$B$6</f>
        <v>0</v>
      </c>
      <c r="BR55" s="38">
        <f>Inputs!$B$33</f>
        <v>2500</v>
      </c>
      <c r="BS55" s="38">
        <f t="shared" si="25"/>
        <v>0</v>
      </c>
      <c r="BT55" s="38">
        <f t="shared" si="26"/>
        <v>0</v>
      </c>
      <c r="BU55" s="38">
        <f>Inputs!$B$19*(1-Inputs!$C$72*$H55)+Inputs!$B$21+Inputs!$B$72*$J55</f>
        <v>577500</v>
      </c>
      <c r="BV55" s="38">
        <f t="shared" si="27"/>
        <v>-577500</v>
      </c>
      <c r="BW55" s="38">
        <f t="shared" si="28"/>
        <v>1</v>
      </c>
      <c r="BX55" s="38">
        <f>MAX(0,MIN(Inputs!$C$36,CC54,BY55+BZ55+CA55+Inputs!$C$6-CB54))</f>
        <v>0</v>
      </c>
      <c r="BY55" s="38">
        <f>Inputs!$C$27*(1+Inputs!$C$28)^($A55/12)*IF(Inputs!$B$72=1,$G55,1)*(1-Inputs!$C$72*$H55*(1-Inputs!$E$54*Inputs!$B$72))*(1+$I55)*IF(Inputs!$C$29=0,1,(MAX(CB54,0)/Inputs!$C$6)^Inputs!$C$29)</f>
        <v>9872.0548016207795</v>
      </c>
      <c r="BZ55" s="38">
        <f>Inputs!$C$32*CB54/Inputs!$C$6</f>
        <v>3556.1085916782249</v>
      </c>
      <c r="CA55" s="38">
        <f>Inputs!$C$33</f>
        <v>2000</v>
      </c>
      <c r="CB55" s="38">
        <f t="shared" si="29"/>
        <v>406036.55858337961</v>
      </c>
      <c r="CC55" s="38">
        <f t="shared" si="30"/>
        <v>0</v>
      </c>
      <c r="CD55" s="38">
        <f>Inputs!$C$19*(1-Inputs!$C$72*$H55)+Inputs!$C$21+Inputs!$B$72*$J55</f>
        <v>480000</v>
      </c>
      <c r="CE55" s="38">
        <f t="shared" si="31"/>
        <v>-73963.441416620393</v>
      </c>
      <c r="CF55" s="38">
        <f t="shared" si="32"/>
        <v>1</v>
      </c>
      <c r="CG55" s="38">
        <f>MAX(0,MIN(Inputs!$D$36,CL54,CH55+CI55+CJ55+Inputs!$D$6-CK54))</f>
        <v>13186.199954833835</v>
      </c>
      <c r="CH55" s="38">
        <f>Inputs!$D$27*(1+Inputs!$D$28)^($A55/12)*IF(Inputs!$B$72=1,$G55,1)*(1-Inputs!$C$72*$H55*(1-Inputs!$E$54*Inputs!$B$72))*(1+$I55)*IF(Inputs!$D$29=0,1,(MAX(CK54,0)/Inputs!$D$6)^Inputs!$D$29)</f>
        <v>7486.1999548338299</v>
      </c>
      <c r="CI55" s="38">
        <f>Inputs!$D$32*CK54/Inputs!$D$6</f>
        <v>4200</v>
      </c>
      <c r="CJ55" s="38">
        <f>Inputs!$D$33</f>
        <v>1500</v>
      </c>
      <c r="CK55" s="38">
        <f t="shared" si="33"/>
        <v>880000</v>
      </c>
      <c r="CL55" s="38">
        <f t="shared" si="34"/>
        <v>189248.47994741076</v>
      </c>
      <c r="CM55" s="38">
        <f>Inputs!$D$19*(1-Inputs!$C$72*$H55)+Inputs!$D$21+Inputs!$B$72*$J55</f>
        <v>392150</v>
      </c>
      <c r="CN55" s="38">
        <f t="shared" si="35"/>
        <v>487850</v>
      </c>
      <c r="CO55" s="38">
        <f t="shared" si="36"/>
        <v>0</v>
      </c>
      <c r="CP55" s="38">
        <f>MAX(0,MIN(Inputs!$B$36,CU54,CQ55+CR55+CS55+Inputs!$B$6-CT54))</f>
        <v>0</v>
      </c>
      <c r="CQ55" s="38">
        <f>Inputs!$B$27*(1+Inputs!$B$28)^($A55/12)*IF(Inputs!$B$73=1,$G55,1)*(1-Inputs!$C$73*$H55*(1-Inputs!$E$54*Inputs!$B$73))*(1+$I55)*IF(Inputs!$B$29=0,1,(MAX(CT54,0)/Inputs!$B$6)^Inputs!$B$29)</f>
        <v>15150.054945601156</v>
      </c>
      <c r="CR55" s="38">
        <f>Inputs!$B$32*CT54/Inputs!$B$6</f>
        <v>0</v>
      </c>
      <c r="CS55" s="38">
        <f>Inputs!$B$33</f>
        <v>2500</v>
      </c>
      <c r="CT55" s="38">
        <f t="shared" si="37"/>
        <v>0</v>
      </c>
      <c r="CU55" s="38">
        <f t="shared" si="38"/>
        <v>0</v>
      </c>
      <c r="CV55" s="38">
        <f>Inputs!$B$19*(1-Inputs!$C$73*$H55)+Inputs!$B$21+Inputs!$B$73*$J55</f>
        <v>583500</v>
      </c>
      <c r="CW55" s="38">
        <f t="shared" si="39"/>
        <v>-583500</v>
      </c>
      <c r="CX55" s="38">
        <f t="shared" si="40"/>
        <v>1</v>
      </c>
      <c r="CY55" s="38">
        <f>MAX(0,MIN(Inputs!$C$36,DD54,CZ55+DA55+DB55+Inputs!$C$6-DC54))</f>
        <v>0</v>
      </c>
      <c r="CZ55" s="38">
        <f>Inputs!$C$27*(1+Inputs!$C$28)^($A55/12)*IF(Inputs!$B$73=1,$G55,1)*(1-Inputs!$C$73*$H55*(1-Inputs!$E$54*Inputs!$B$73))*(1+$I55)*IF(Inputs!$C$29=0,1,(MAX(DC54,0)/Inputs!$C$6)^Inputs!$C$29)</f>
        <v>8989.5839648557703</v>
      </c>
      <c r="DA55" s="38">
        <f>Inputs!$C$32*DC54/Inputs!$C$6</f>
        <v>3912.778672248975</v>
      </c>
      <c r="DB55" s="38">
        <f>Inputs!$C$33</f>
        <v>2000</v>
      </c>
      <c r="DC55" s="38">
        <f t="shared" si="41"/>
        <v>448834.36888869974</v>
      </c>
      <c r="DD55" s="38">
        <f t="shared" si="42"/>
        <v>0</v>
      </c>
      <c r="DE55" s="38">
        <f>Inputs!$C$19*(1-Inputs!$C$73*$H55)+Inputs!$C$21+Inputs!$B$73*$J55</f>
        <v>486000</v>
      </c>
      <c r="DF55" s="38">
        <f t="shared" si="43"/>
        <v>-37165.631111300259</v>
      </c>
      <c r="DG55" s="38">
        <f t="shared" si="44"/>
        <v>1</v>
      </c>
      <c r="DH55" s="38">
        <f>MAX(0,MIN(Inputs!$D$36,DM54,DI55+DJ55+DK55+Inputs!$D$6-DL54))</f>
        <v>12356.039513061871</v>
      </c>
      <c r="DI55" s="38">
        <f>Inputs!$D$27*(1+Inputs!$D$28)^($A55/12)*IF(Inputs!$B$73=1,$G55,1)*(1-Inputs!$C$73*$H55*(1-Inputs!$E$54*Inputs!$B$73))*(1+$I55)*IF(Inputs!$D$29=0,1,(MAX(DL54,0)/Inputs!$D$6)^Inputs!$D$29)</f>
        <v>6656.039513061849</v>
      </c>
      <c r="DJ55" s="38">
        <f>Inputs!$D$32*DL54/Inputs!$D$6</f>
        <v>4200</v>
      </c>
      <c r="DK55" s="38">
        <f>Inputs!$D$33</f>
        <v>1500</v>
      </c>
      <c r="DL55" s="38">
        <f t="shared" si="45"/>
        <v>880000</v>
      </c>
      <c r="DM55" s="38">
        <f t="shared" si="46"/>
        <v>227218.15094652004</v>
      </c>
      <c r="DN55" s="38">
        <f>Inputs!$D$19*(1-Inputs!$C$73*$H55)+Inputs!$D$21+Inputs!$B$73*$J55</f>
        <v>398150</v>
      </c>
      <c r="DO55" s="38">
        <f t="shared" si="47"/>
        <v>481850</v>
      </c>
      <c r="DP55" s="38">
        <f t="shared" si="48"/>
        <v>0</v>
      </c>
    </row>
    <row r="56" spans="1:120" x14ac:dyDescent="0.35">
      <c r="A56" s="29">
        <v>51</v>
      </c>
      <c r="B56" s="34">
        <f>EDATE(Inputs!$B$67,$A56)</f>
        <v>47818</v>
      </c>
      <c r="C56" s="35">
        <f>IF(Inputs!$E$47&lt;=0,Inputs!$E$46,Inputs!$E$44+(Inputs!$E$46-Inputs!$E$44)*MIN($A56/Inputs!$E$47,1))</f>
        <v>0.7</v>
      </c>
      <c r="D56" s="35">
        <f>MIN(Inputs!$E$57,Inputs!$E$55*(1+Inputs!$E$56)^($A56/12))*Inputs!$E$58*(1+Inputs!$E$59)^($A56/12)/Inputs!$E$45</f>
        <v>1.5</v>
      </c>
      <c r="E56" s="35">
        <f>MAX(Inputs!$E$44,MIN(C56,D56))</f>
        <v>0.7</v>
      </c>
      <c r="F56" s="35">
        <f>IF(Inputs!$E$50&lt;=0,Inputs!$E$49,Inputs!$E$48+(Inputs!$E$49-Inputs!$E$48)*MIN($A56/Inputs!$E$50,1))</f>
        <v>0.12</v>
      </c>
      <c r="G56" s="36">
        <f>(Inputs!$E$41*(1-E56*Inputs!$E$51)+Inputs!$E$42*(1-F56*Inputs!$E$51))/(Inputs!$E$41*(1-Inputs!$E$44*Inputs!$E$51)+Inputs!$E$42*(1-Inputs!$E$48*Inputs!$E$51))</f>
        <v>0.8423127463863338</v>
      </c>
      <c r="H56" s="35">
        <f>IF(Inputs!$E$53&lt;=0,Inputs!$E$52,Inputs!$E$52*MIN($A56/Inputs!$E$53,1))</f>
        <v>0.1</v>
      </c>
      <c r="I56" s="35">
        <f>IF(Inputs!$E$64&lt;=0,Inputs!$E$63,Inputs!$E$62+(Inputs!$E$63-Inputs!$E$62)*MIN($A56/Inputs!$E$64,1))</f>
        <v>0.03</v>
      </c>
      <c r="J56" s="37">
        <f>(E56-Inputs!$E$44)*Inputs!$E$45/Inputs!$E$60*Inputs!$E$61</f>
        <v>5999.9999999999991</v>
      </c>
      <c r="K56" s="29">
        <f t="shared" si="0"/>
        <v>0</v>
      </c>
      <c r="L56" s="29"/>
      <c r="M56" s="38">
        <f>MAX(0,MIN(Inputs!$B$36,R55,N56+O56+P56+Inputs!$B$6-Q55))</f>
        <v>0</v>
      </c>
      <c r="N56" s="38">
        <f>Inputs!$B$27*(1+Inputs!$B$28)^($A56/12)*IF(Inputs!$B$70=1,$G56,1)*(1-Inputs!$C$70*$H56*(1-Inputs!$E$54*Inputs!$B$70))*(1+$I56)*IF(Inputs!$B$29=0,1,(MAX(Q55,0)/Inputs!$B$6)^Inputs!$B$29)</f>
        <v>19010.038867191925</v>
      </c>
      <c r="O56" s="38">
        <f>Inputs!$B$32*Q55/Inputs!$B$6</f>
        <v>0</v>
      </c>
      <c r="P56" s="38">
        <f>Inputs!$B$33</f>
        <v>2500</v>
      </c>
      <c r="Q56" s="38">
        <f t="shared" si="1"/>
        <v>0</v>
      </c>
      <c r="R56" s="38">
        <f t="shared" si="2"/>
        <v>0</v>
      </c>
      <c r="S56" s="38">
        <f>Inputs!$B$19*(1-Inputs!$C$70*$H56)+Inputs!$B$21+Inputs!$B$70*$J56</f>
        <v>595000</v>
      </c>
      <c r="T56" s="38">
        <f t="shared" si="3"/>
        <v>-595000</v>
      </c>
      <c r="U56" s="38">
        <f t="shared" si="4"/>
        <v>1</v>
      </c>
      <c r="V56" s="38">
        <f>MAX(0,MIN(Inputs!$C$36,AA55,W56+X56+Y56+Inputs!$C$6-Z55))</f>
        <v>0</v>
      </c>
      <c r="W56" s="38">
        <f>Inputs!$C$27*(1+Inputs!$C$28)^($A56/12)*IF(Inputs!$B$70=1,$G56,1)*(1-Inputs!$C$70*$H56*(1-Inputs!$E$54*Inputs!$B$70))*(1+$I56)*IF(Inputs!$C$29=0,1,(MAX(Z55,0)/Inputs!$C$6)^Inputs!$C$29)</f>
        <v>10683.741195114844</v>
      </c>
      <c r="X56" s="38">
        <f>Inputs!$C$32*Z55/Inputs!$C$6</f>
        <v>3200.4294506327151</v>
      </c>
      <c r="Y56" s="38">
        <f>Inputs!$C$33</f>
        <v>2000</v>
      </c>
      <c r="Z56" s="38">
        <f t="shared" si="5"/>
        <v>363425.98646627797</v>
      </c>
      <c r="AA56" s="38">
        <f t="shared" si="6"/>
        <v>0</v>
      </c>
      <c r="AB56" s="38">
        <f>Inputs!$C$19*(1-Inputs!$C$70*$H56)+Inputs!$C$21+Inputs!$B$70*$J56</f>
        <v>495000</v>
      </c>
      <c r="AC56" s="38">
        <f t="shared" si="7"/>
        <v>-131574.01353372203</v>
      </c>
      <c r="AD56" s="38">
        <f t="shared" si="8"/>
        <v>1</v>
      </c>
      <c r="AE56" s="38">
        <f>MAX(0,MIN(Inputs!$D$36,AJ55,AF56+AG56+AH56+Inputs!$D$6-AI55))</f>
        <v>13982.521028437652</v>
      </c>
      <c r="AF56" s="38">
        <f>Inputs!$D$27*(1+Inputs!$D$28)^($A56/12)*IF(Inputs!$B$70=1,$G56,1)*(1-Inputs!$C$70*$H56*(1-Inputs!$E$54*Inputs!$B$70))*(1+$I56)*IF(Inputs!$D$29=0,1,(MAX(AI55,0)/Inputs!$D$6)^Inputs!$D$29)</f>
        <v>8282.5210284376699</v>
      </c>
      <c r="AG56" s="38">
        <f>Inputs!$D$32*AI55/Inputs!$D$6</f>
        <v>4200</v>
      </c>
      <c r="AH56" s="38">
        <f>Inputs!$D$33</f>
        <v>1500</v>
      </c>
      <c r="AI56" s="38">
        <f t="shared" si="9"/>
        <v>880000</v>
      </c>
      <c r="AJ56" s="38">
        <f t="shared" si="10"/>
        <v>151651.61814636237</v>
      </c>
      <c r="AK56" s="38">
        <f>Inputs!$D$19*(1-Inputs!$C$70*$H56)+Inputs!$D$21+Inputs!$B$70*$J56</f>
        <v>404800</v>
      </c>
      <c r="AL56" s="38">
        <f t="shared" si="11"/>
        <v>475200</v>
      </c>
      <c r="AM56" s="38">
        <f t="shared" si="12"/>
        <v>0</v>
      </c>
      <c r="AN56" s="38">
        <f>MAX(0,MIN(Inputs!$B$36,AS55,AO56+AP56+AQ56+Inputs!$B$6-AR55))</f>
        <v>0</v>
      </c>
      <c r="AO56" s="38">
        <f>Inputs!$B$27*(1+Inputs!$B$28)^($A56/12)*IF(Inputs!$B$71=1,$G56,1)*(1-Inputs!$C$71*$H56*(1-Inputs!$E$54*Inputs!$B$71))*(1+$I56)*IF(Inputs!$B$29=0,1,(MAX(AR55,0)/Inputs!$B$6)^Inputs!$B$29)</f>
        <v>16012.398047135381</v>
      </c>
      <c r="AP56" s="38">
        <f>Inputs!$B$32*AR55/Inputs!$B$6</f>
        <v>0</v>
      </c>
      <c r="AQ56" s="38">
        <f>Inputs!$B$33</f>
        <v>2500</v>
      </c>
      <c r="AR56" s="38">
        <f t="shared" si="13"/>
        <v>0</v>
      </c>
      <c r="AS56" s="38">
        <f t="shared" si="14"/>
        <v>0</v>
      </c>
      <c r="AT56" s="38">
        <f>Inputs!$B$19*(1-Inputs!$C$71*$H56)+Inputs!$B$21+Inputs!$B$71*$J56</f>
        <v>601000</v>
      </c>
      <c r="AU56" s="38">
        <f t="shared" si="15"/>
        <v>-601000</v>
      </c>
      <c r="AV56" s="38">
        <f t="shared" si="16"/>
        <v>1</v>
      </c>
      <c r="AW56" s="38">
        <f>MAX(0,MIN(Inputs!$C$36,BB55,AX56+AY56+AZ56+Inputs!$C$6-BA55))</f>
        <v>0</v>
      </c>
      <c r="AX56" s="38">
        <f>Inputs!$C$27*(1+Inputs!$C$28)^($A56/12)*IF(Inputs!$B$71=1,$G56,1)*(1-Inputs!$C$71*$H56*(1-Inputs!$E$54*Inputs!$B$71))*(1+$I56)*IF(Inputs!$C$29=0,1,(MAX(BA55,0)/Inputs!$C$6)^Inputs!$C$29)</f>
        <v>9323.2062557689987</v>
      </c>
      <c r="AY56" s="38">
        <f>Inputs!$C$32*BA55/Inputs!$C$6</f>
        <v>3687.0794807080447</v>
      </c>
      <c r="AZ56" s="38">
        <f>Inputs!$C$33</f>
        <v>2000</v>
      </c>
      <c r="BA56" s="38">
        <f t="shared" si="17"/>
        <v>421976.91197706904</v>
      </c>
      <c r="BB56" s="38">
        <f t="shared" si="18"/>
        <v>0</v>
      </c>
      <c r="BC56" s="38">
        <f>Inputs!$C$19*(1-Inputs!$C$71*$H56)+Inputs!$C$21+Inputs!$B$71*$J56</f>
        <v>501000</v>
      </c>
      <c r="BD56" s="38">
        <f t="shared" si="19"/>
        <v>-79023.088022930955</v>
      </c>
      <c r="BE56" s="38">
        <f t="shared" si="20"/>
        <v>1</v>
      </c>
      <c r="BF56" s="38">
        <f>MAX(0,MIN(Inputs!$D$36,BK55,BG56+BH56+BI56+Inputs!$D$6-BJ55))</f>
        <v>12676.473034465918</v>
      </c>
      <c r="BG56" s="38">
        <f>Inputs!$D$27*(1+Inputs!$D$28)^($A56/12)*IF(Inputs!$B$71=1,$G56,1)*(1-Inputs!$C$71*$H56*(1-Inputs!$E$54*Inputs!$B$71))*(1+$I56)*IF(Inputs!$D$29=0,1,(MAX(BJ55,0)/Inputs!$D$6)^Inputs!$D$29)</f>
        <v>6976.4730344658965</v>
      </c>
      <c r="BH56" s="38">
        <f>Inputs!$D$32*BJ55/Inputs!$D$6</f>
        <v>4200</v>
      </c>
      <c r="BI56" s="38">
        <f>Inputs!$D$33</f>
        <v>1500</v>
      </c>
      <c r="BJ56" s="38">
        <f t="shared" si="21"/>
        <v>880000</v>
      </c>
      <c r="BK56" s="38">
        <f t="shared" si="22"/>
        <v>204375.73007581139</v>
      </c>
      <c r="BL56" s="38">
        <f>Inputs!$D$19*(1-Inputs!$C$71*$H56)+Inputs!$D$21+Inputs!$B$71*$J56</f>
        <v>410800</v>
      </c>
      <c r="BM56" s="38">
        <f t="shared" si="23"/>
        <v>469200</v>
      </c>
      <c r="BN56" s="38">
        <f t="shared" si="24"/>
        <v>0</v>
      </c>
      <c r="BO56" s="38">
        <f>MAX(0,MIN(Inputs!$B$36,BT55,BP56+BQ56+BR56+Inputs!$B$6-BS55))</f>
        <v>0</v>
      </c>
      <c r="BP56" s="38">
        <f>Inputs!$B$27*(1+Inputs!$B$28)^($A56/12)*IF(Inputs!$B$72=1,$G56,1)*(1-Inputs!$C$72*$H56*(1-Inputs!$E$54*Inputs!$B$72))*(1+$I56)*IF(Inputs!$B$29=0,1,(MAX(BS55,0)/Inputs!$B$6)^Inputs!$B$29)</f>
        <v>17109.034980472734</v>
      </c>
      <c r="BQ56" s="38">
        <f>Inputs!$B$32*BS55/Inputs!$B$6</f>
        <v>0</v>
      </c>
      <c r="BR56" s="38">
        <f>Inputs!$B$33</f>
        <v>2500</v>
      </c>
      <c r="BS56" s="38">
        <f t="shared" si="25"/>
        <v>0</v>
      </c>
      <c r="BT56" s="38">
        <f t="shared" si="26"/>
        <v>0</v>
      </c>
      <c r="BU56" s="38">
        <f>Inputs!$B$19*(1-Inputs!$C$72*$H56)+Inputs!$B$21+Inputs!$B$72*$J56</f>
        <v>577500</v>
      </c>
      <c r="BV56" s="38">
        <f t="shared" si="27"/>
        <v>-577500</v>
      </c>
      <c r="BW56" s="38">
        <f t="shared" si="28"/>
        <v>1</v>
      </c>
      <c r="BX56" s="38">
        <f>MAX(0,MIN(Inputs!$C$36,CC55,BY56+BZ56+CA56+Inputs!$C$6-CB55))</f>
        <v>0</v>
      </c>
      <c r="BY56" s="38">
        <f>Inputs!$C$27*(1+Inputs!$C$28)^($A56/12)*IF(Inputs!$B$72=1,$G56,1)*(1-Inputs!$C$72*$H56*(1-Inputs!$E$54*Inputs!$B$72))*(1+$I56)*IF(Inputs!$C$29=0,1,(MAX(CB55,0)/Inputs!$C$6)^Inputs!$C$29)</f>
        <v>9780.4431932668031</v>
      </c>
      <c r="BZ56" s="38">
        <f>Inputs!$C$32*CB55/Inputs!$C$6</f>
        <v>3425.9334630472649</v>
      </c>
      <c r="CA56" s="38">
        <f>Inputs!$C$33</f>
        <v>2000</v>
      </c>
      <c r="CB56" s="38">
        <f t="shared" si="29"/>
        <v>390830.18192706554</v>
      </c>
      <c r="CC56" s="38">
        <f t="shared" si="30"/>
        <v>0</v>
      </c>
      <c r="CD56" s="38">
        <f>Inputs!$C$19*(1-Inputs!$C$72*$H56)+Inputs!$C$21+Inputs!$B$72*$J56</f>
        <v>480000</v>
      </c>
      <c r="CE56" s="38">
        <f t="shared" si="31"/>
        <v>-89169.81807293446</v>
      </c>
      <c r="CF56" s="38">
        <f t="shared" si="32"/>
        <v>1</v>
      </c>
      <c r="CG56" s="38">
        <f>MAX(0,MIN(Inputs!$D$36,CL55,CH56+CI56+CJ56+Inputs!$D$6-CK55))</f>
        <v>13154.268925593933</v>
      </c>
      <c r="CH56" s="38">
        <f>Inputs!$D$27*(1+Inputs!$D$28)^($A56/12)*IF(Inputs!$B$72=1,$G56,1)*(1-Inputs!$C$72*$H56*(1-Inputs!$E$54*Inputs!$B$72))*(1+$I56)*IF(Inputs!$D$29=0,1,(MAX(CK55,0)/Inputs!$D$6)^Inputs!$D$29)</f>
        <v>7454.268925593904</v>
      </c>
      <c r="CI56" s="38">
        <f>Inputs!$D$32*CK55/Inputs!$D$6</f>
        <v>4200</v>
      </c>
      <c r="CJ56" s="38">
        <f>Inputs!$D$33</f>
        <v>1500</v>
      </c>
      <c r="CK56" s="38">
        <f t="shared" si="33"/>
        <v>880000</v>
      </c>
      <c r="CL56" s="38">
        <f t="shared" si="34"/>
        <v>176094.21102181682</v>
      </c>
      <c r="CM56" s="38">
        <f>Inputs!$D$19*(1-Inputs!$C$72*$H56)+Inputs!$D$21+Inputs!$B$72*$J56</f>
        <v>392150</v>
      </c>
      <c r="CN56" s="38">
        <f t="shared" si="35"/>
        <v>487850</v>
      </c>
      <c r="CO56" s="38">
        <f t="shared" si="36"/>
        <v>0</v>
      </c>
      <c r="CP56" s="38">
        <f>MAX(0,MIN(Inputs!$B$36,CU55,CQ56+CR56+CS56+Inputs!$B$6-CT55))</f>
        <v>0</v>
      </c>
      <c r="CQ56" s="38">
        <f>Inputs!$B$27*(1+Inputs!$B$28)^($A56/12)*IF(Inputs!$B$73=1,$G56,1)*(1-Inputs!$C$73*$H56*(1-Inputs!$E$54*Inputs!$B$73))*(1+$I56)*IF(Inputs!$B$29=0,1,(MAX(CT55,0)/Inputs!$B$6)^Inputs!$B$29)</f>
        <v>15211.778144778611</v>
      </c>
      <c r="CR56" s="38">
        <f>Inputs!$B$32*CT55/Inputs!$B$6</f>
        <v>0</v>
      </c>
      <c r="CS56" s="38">
        <f>Inputs!$B$33</f>
        <v>2500</v>
      </c>
      <c r="CT56" s="38">
        <f t="shared" si="37"/>
        <v>0</v>
      </c>
      <c r="CU56" s="38">
        <f t="shared" si="38"/>
        <v>0</v>
      </c>
      <c r="CV56" s="38">
        <f>Inputs!$B$19*(1-Inputs!$C$73*$H56)+Inputs!$B$21+Inputs!$B$73*$J56</f>
        <v>583500</v>
      </c>
      <c r="CW56" s="38">
        <f t="shared" si="39"/>
        <v>-583500</v>
      </c>
      <c r="CX56" s="38">
        <f t="shared" si="40"/>
        <v>1</v>
      </c>
      <c r="CY56" s="38">
        <f>MAX(0,MIN(Inputs!$C$36,DD55,CZ56+DA56+DB56+Inputs!$C$6-DC55))</f>
        <v>0</v>
      </c>
      <c r="CZ56" s="38">
        <f>Inputs!$C$27*(1+Inputs!$C$28)^($A56/12)*IF(Inputs!$B$73=1,$G56,1)*(1-Inputs!$C$73*$H56*(1-Inputs!$E$54*Inputs!$B$73))*(1+$I56)*IF(Inputs!$C$29=0,1,(MAX(DC55,0)/Inputs!$C$6)^Inputs!$C$29)</f>
        <v>8916.4760065599785</v>
      </c>
      <c r="DA56" s="38">
        <f>Inputs!$C$32*DC55/Inputs!$C$6</f>
        <v>3787.0399874984037</v>
      </c>
      <c r="DB56" s="38">
        <f>Inputs!$C$33</f>
        <v>2000</v>
      </c>
      <c r="DC56" s="38">
        <f t="shared" si="41"/>
        <v>434130.85289464134</v>
      </c>
      <c r="DD56" s="38">
        <f t="shared" si="42"/>
        <v>0</v>
      </c>
      <c r="DE56" s="38">
        <f>Inputs!$C$19*(1-Inputs!$C$73*$H56)+Inputs!$C$21+Inputs!$B$73*$J56</f>
        <v>486000</v>
      </c>
      <c r="DF56" s="38">
        <f t="shared" si="43"/>
        <v>-51869.147105358657</v>
      </c>
      <c r="DG56" s="38">
        <f t="shared" si="44"/>
        <v>1</v>
      </c>
      <c r="DH56" s="38">
        <f>MAX(0,MIN(Inputs!$D$36,DM55,DI56+DJ56+DK56+Inputs!$D$6-DL55))</f>
        <v>12327.649382742587</v>
      </c>
      <c r="DI56" s="38">
        <f>Inputs!$D$27*(1+Inputs!$D$28)^($A56/12)*IF(Inputs!$B$73=1,$G56,1)*(1-Inputs!$C$73*$H56*(1-Inputs!$E$54*Inputs!$B$73))*(1+$I56)*IF(Inputs!$D$29=0,1,(MAX(DL55,0)/Inputs!$D$6)^Inputs!$D$29)</f>
        <v>6627.6493827426011</v>
      </c>
      <c r="DJ56" s="38">
        <f>Inputs!$D$32*DL55/Inputs!$D$6</f>
        <v>4200</v>
      </c>
      <c r="DK56" s="38">
        <f>Inputs!$D$33</f>
        <v>1500</v>
      </c>
      <c r="DL56" s="38">
        <f t="shared" si="45"/>
        <v>880000</v>
      </c>
      <c r="DM56" s="38">
        <f t="shared" si="46"/>
        <v>214890.50156377745</v>
      </c>
      <c r="DN56" s="38">
        <f>Inputs!$D$19*(1-Inputs!$C$73*$H56)+Inputs!$D$21+Inputs!$B$73*$J56</f>
        <v>398150</v>
      </c>
      <c r="DO56" s="38">
        <f t="shared" si="47"/>
        <v>481850</v>
      </c>
      <c r="DP56" s="38">
        <f t="shared" si="48"/>
        <v>0</v>
      </c>
    </row>
    <row r="57" spans="1:120" x14ac:dyDescent="0.35">
      <c r="A57" s="29">
        <v>52</v>
      </c>
      <c r="B57" s="34">
        <f>EDATE(Inputs!$B$67,$A57)</f>
        <v>47849</v>
      </c>
      <c r="C57" s="35">
        <f>IF(Inputs!$E$47&lt;=0,Inputs!$E$46,Inputs!$E$44+(Inputs!$E$46-Inputs!$E$44)*MIN($A57/Inputs!$E$47,1))</f>
        <v>0.7</v>
      </c>
      <c r="D57" s="35">
        <f>MIN(Inputs!$E$57,Inputs!$E$55*(1+Inputs!$E$56)^($A57/12))*Inputs!$E$58*(1+Inputs!$E$59)^($A57/12)/Inputs!$E$45</f>
        <v>1.5</v>
      </c>
      <c r="E57" s="35">
        <f>MAX(Inputs!$E$44,MIN(C57,D57))</f>
        <v>0.7</v>
      </c>
      <c r="F57" s="35">
        <f>IF(Inputs!$E$50&lt;=0,Inputs!$E$49,Inputs!$E$48+(Inputs!$E$49-Inputs!$E$48)*MIN($A57/Inputs!$E$50,1))</f>
        <v>0.12</v>
      </c>
      <c r="G57" s="36">
        <f>(Inputs!$E$41*(1-E57*Inputs!$E$51)+Inputs!$E$42*(1-F57*Inputs!$E$51))/(Inputs!$E$41*(1-Inputs!$E$44*Inputs!$E$51)+Inputs!$E$42*(1-Inputs!$E$48*Inputs!$E$51))</f>
        <v>0.8423127463863338</v>
      </c>
      <c r="H57" s="35">
        <f>IF(Inputs!$E$53&lt;=0,Inputs!$E$52,Inputs!$E$52*MIN($A57/Inputs!$E$53,1))</f>
        <v>0.1</v>
      </c>
      <c r="I57" s="35">
        <f>IF(Inputs!$E$64&lt;=0,Inputs!$E$63,Inputs!$E$62+(Inputs!$E$63-Inputs!$E$62)*MIN($A57/Inputs!$E$64,1))</f>
        <v>0.03</v>
      </c>
      <c r="J57" s="37">
        <f>(E57-Inputs!$E$44)*Inputs!$E$45/Inputs!$E$60*Inputs!$E$61</f>
        <v>5999.9999999999991</v>
      </c>
      <c r="K57" s="29">
        <f t="shared" si="0"/>
        <v>0</v>
      </c>
      <c r="L57" s="29"/>
      <c r="M57" s="38">
        <f>MAX(0,MIN(Inputs!$B$36,R56,N57+O57+P57+Inputs!$B$6-Q56))</f>
        <v>0</v>
      </c>
      <c r="N57" s="38">
        <f>Inputs!$B$27*(1+Inputs!$B$28)^($A57/12)*IF(Inputs!$B$70=1,$G57,1)*(1-Inputs!$C$70*$H57*(1-Inputs!$E$54*Inputs!$B$70))*(1+$I57)*IF(Inputs!$B$29=0,1,(MAX(Q56,0)/Inputs!$B$6)^Inputs!$B$29)</f>
        <v>19087.488118668829</v>
      </c>
      <c r="O57" s="38">
        <f>Inputs!$B$32*Q56/Inputs!$B$6</f>
        <v>0</v>
      </c>
      <c r="P57" s="38">
        <f>Inputs!$B$33</f>
        <v>2500</v>
      </c>
      <c r="Q57" s="38">
        <f t="shared" si="1"/>
        <v>0</v>
      </c>
      <c r="R57" s="38">
        <f t="shared" si="2"/>
        <v>0</v>
      </c>
      <c r="S57" s="38">
        <f>Inputs!$B$19*(1-Inputs!$C$70*$H57)+Inputs!$B$21+Inputs!$B$70*$J57</f>
        <v>595000</v>
      </c>
      <c r="T57" s="38">
        <f t="shared" si="3"/>
        <v>-595000</v>
      </c>
      <c r="U57" s="38">
        <f t="shared" si="4"/>
        <v>1</v>
      </c>
      <c r="V57" s="38">
        <f>MAX(0,MIN(Inputs!$C$36,AA56,W57+X57+Y57+Inputs!$C$6-Z56))</f>
        <v>0</v>
      </c>
      <c r="W57" s="38">
        <f>Inputs!$C$27*(1+Inputs!$C$28)^($A57/12)*IF(Inputs!$B$70=1,$G57,1)*(1-Inputs!$C$70*$H57*(1-Inputs!$E$54*Inputs!$B$70))*(1+$I57)*IF(Inputs!$C$29=0,1,(MAX(Z56,0)/Inputs!$C$6)^Inputs!$C$29)</f>
        <v>10570.091223910265</v>
      </c>
      <c r="X57" s="38">
        <f>Inputs!$C$32*Z56/Inputs!$C$6</f>
        <v>3066.40676080922</v>
      </c>
      <c r="Y57" s="38">
        <f>Inputs!$C$33</f>
        <v>2000</v>
      </c>
      <c r="Z57" s="38">
        <f t="shared" si="5"/>
        <v>347789.48848155845</v>
      </c>
      <c r="AA57" s="38">
        <f t="shared" si="6"/>
        <v>0</v>
      </c>
      <c r="AB57" s="38">
        <f>Inputs!$C$19*(1-Inputs!$C$70*$H57)+Inputs!$C$21+Inputs!$B$70*$J57</f>
        <v>495000</v>
      </c>
      <c r="AC57" s="38">
        <f t="shared" si="7"/>
        <v>-147210.51151844155</v>
      </c>
      <c r="AD57" s="38">
        <f t="shared" si="8"/>
        <v>1</v>
      </c>
      <c r="AE57" s="38">
        <f>MAX(0,MIN(Inputs!$D$36,AJ56,AF57+AG57+AH57+Inputs!$D$6-AI56))</f>
        <v>13947.19343596953</v>
      </c>
      <c r="AF57" s="38">
        <f>Inputs!$D$27*(1+Inputs!$D$28)^($A57/12)*IF(Inputs!$B$70=1,$G57,1)*(1-Inputs!$C$70*$H57*(1-Inputs!$E$54*Inputs!$B$70))*(1+$I57)*IF(Inputs!$D$29=0,1,(MAX(AI56,0)/Inputs!$D$6)^Inputs!$D$29)</f>
        <v>8247.1934359695333</v>
      </c>
      <c r="AG57" s="38">
        <f>Inputs!$D$32*AI56/Inputs!$D$6</f>
        <v>4200</v>
      </c>
      <c r="AH57" s="38">
        <f>Inputs!$D$33</f>
        <v>1500</v>
      </c>
      <c r="AI57" s="38">
        <f t="shared" si="9"/>
        <v>880000</v>
      </c>
      <c r="AJ57" s="38">
        <f t="shared" si="10"/>
        <v>137704.42471039284</v>
      </c>
      <c r="AK57" s="38">
        <f>Inputs!$D$19*(1-Inputs!$C$70*$H57)+Inputs!$D$21+Inputs!$B$70*$J57</f>
        <v>404800</v>
      </c>
      <c r="AL57" s="38">
        <f t="shared" si="11"/>
        <v>475200</v>
      </c>
      <c r="AM57" s="38">
        <f t="shared" si="12"/>
        <v>0</v>
      </c>
      <c r="AN57" s="38">
        <f>MAX(0,MIN(Inputs!$B$36,AS56,AO57+AP57+AQ57+Inputs!$B$6-AR56))</f>
        <v>0</v>
      </c>
      <c r="AO57" s="38">
        <f>Inputs!$B$27*(1+Inputs!$B$28)^($A57/12)*IF(Inputs!$B$71=1,$G57,1)*(1-Inputs!$C$71*$H57*(1-Inputs!$E$54*Inputs!$B$71))*(1+$I57)*IF(Inputs!$B$29=0,1,(MAX(AR56,0)/Inputs!$B$6)^Inputs!$B$29)</f>
        <v>16077.634538852457</v>
      </c>
      <c r="AP57" s="38">
        <f>Inputs!$B$32*AR56/Inputs!$B$6</f>
        <v>0</v>
      </c>
      <c r="AQ57" s="38">
        <f>Inputs!$B$33</f>
        <v>2500</v>
      </c>
      <c r="AR57" s="38">
        <f t="shared" si="13"/>
        <v>0</v>
      </c>
      <c r="AS57" s="38">
        <f t="shared" si="14"/>
        <v>0</v>
      </c>
      <c r="AT57" s="38">
        <f>Inputs!$B$19*(1-Inputs!$C$71*$H57)+Inputs!$B$21+Inputs!$B$71*$J57</f>
        <v>601000</v>
      </c>
      <c r="AU57" s="38">
        <f t="shared" si="15"/>
        <v>-601000</v>
      </c>
      <c r="AV57" s="38">
        <f t="shared" si="16"/>
        <v>1</v>
      </c>
      <c r="AW57" s="38">
        <f>MAX(0,MIN(Inputs!$C$36,BB56,AX57+AY57+AZ57+Inputs!$C$6-BA56))</f>
        <v>0</v>
      </c>
      <c r="AX57" s="38">
        <f>Inputs!$C$27*(1+Inputs!$C$28)^($A57/12)*IF(Inputs!$B$71=1,$G57,1)*(1-Inputs!$C$71*$H57*(1-Inputs!$E$54*Inputs!$B$71))*(1+$I57)*IF(Inputs!$C$29=0,1,(MAX(BA56,0)/Inputs!$C$6)^Inputs!$C$29)</f>
        <v>9242.0919735131611</v>
      </c>
      <c r="AY57" s="38">
        <f>Inputs!$C$32*BA56/Inputs!$C$6</f>
        <v>3560.4301948065199</v>
      </c>
      <c r="AZ57" s="38">
        <f>Inputs!$C$33</f>
        <v>2000</v>
      </c>
      <c r="BA57" s="38">
        <f t="shared" si="17"/>
        <v>407174.38980874931</v>
      </c>
      <c r="BB57" s="38">
        <f t="shared" si="18"/>
        <v>0</v>
      </c>
      <c r="BC57" s="38">
        <f>Inputs!$C$19*(1-Inputs!$C$71*$H57)+Inputs!$C$21+Inputs!$B$71*$J57</f>
        <v>501000</v>
      </c>
      <c r="BD57" s="38">
        <f t="shared" si="19"/>
        <v>-93825.610191250686</v>
      </c>
      <c r="BE57" s="38">
        <f t="shared" si="20"/>
        <v>1</v>
      </c>
      <c r="BF57" s="38">
        <f>MAX(0,MIN(Inputs!$D$36,BK56,BG57+BH57+BI57+Inputs!$D$6-BJ56))</f>
        <v>12646.716153030866</v>
      </c>
      <c r="BG57" s="38">
        <f>Inputs!$D$27*(1+Inputs!$D$28)^($A57/12)*IF(Inputs!$B$71=1,$G57,1)*(1-Inputs!$C$71*$H57*(1-Inputs!$E$54*Inputs!$B$71))*(1+$I57)*IF(Inputs!$D$29=0,1,(MAX(BJ56,0)/Inputs!$D$6)^Inputs!$D$29)</f>
        <v>6946.7161530308431</v>
      </c>
      <c r="BH57" s="38">
        <f>Inputs!$D$32*BJ56/Inputs!$D$6</f>
        <v>4200</v>
      </c>
      <c r="BI57" s="38">
        <f>Inputs!$D$33</f>
        <v>1500</v>
      </c>
      <c r="BJ57" s="38">
        <f t="shared" si="21"/>
        <v>880000</v>
      </c>
      <c r="BK57" s="38">
        <f t="shared" si="22"/>
        <v>191729.01392278052</v>
      </c>
      <c r="BL57" s="38">
        <f>Inputs!$D$19*(1-Inputs!$C$71*$H57)+Inputs!$D$21+Inputs!$B$71*$J57</f>
        <v>410800</v>
      </c>
      <c r="BM57" s="38">
        <f t="shared" si="23"/>
        <v>469200</v>
      </c>
      <c r="BN57" s="38">
        <f t="shared" si="24"/>
        <v>0</v>
      </c>
      <c r="BO57" s="38">
        <f>MAX(0,MIN(Inputs!$B$36,BT56,BP57+BQ57+BR57+Inputs!$B$6-BS56))</f>
        <v>0</v>
      </c>
      <c r="BP57" s="38">
        <f>Inputs!$B$27*(1+Inputs!$B$28)^($A57/12)*IF(Inputs!$B$72=1,$G57,1)*(1-Inputs!$C$72*$H57*(1-Inputs!$E$54*Inputs!$B$72))*(1+$I57)*IF(Inputs!$B$29=0,1,(MAX(BS56,0)/Inputs!$B$6)^Inputs!$B$29)</f>
        <v>17178.739306801945</v>
      </c>
      <c r="BQ57" s="38">
        <f>Inputs!$B$32*BS56/Inputs!$B$6</f>
        <v>0</v>
      </c>
      <c r="BR57" s="38">
        <f>Inputs!$B$33</f>
        <v>2500</v>
      </c>
      <c r="BS57" s="38">
        <f t="shared" si="25"/>
        <v>0</v>
      </c>
      <c r="BT57" s="38">
        <f t="shared" si="26"/>
        <v>0</v>
      </c>
      <c r="BU57" s="38">
        <f>Inputs!$B$19*(1-Inputs!$C$72*$H57)+Inputs!$B$21+Inputs!$B$72*$J57</f>
        <v>577500</v>
      </c>
      <c r="BV57" s="38">
        <f t="shared" si="27"/>
        <v>-577500</v>
      </c>
      <c r="BW57" s="38">
        <f t="shared" si="28"/>
        <v>1</v>
      </c>
      <c r="BX57" s="38">
        <f>MAX(0,MIN(Inputs!$C$36,CC56,BY57+BZ57+CA57+Inputs!$C$6-CB56))</f>
        <v>0</v>
      </c>
      <c r="BY57" s="38">
        <f>Inputs!$C$27*(1+Inputs!$C$28)^($A57/12)*IF(Inputs!$B$72=1,$G57,1)*(1-Inputs!$C$72*$H57*(1-Inputs!$E$54*Inputs!$B$72))*(1+$I57)*IF(Inputs!$C$29=0,1,(MAX(CB56,0)/Inputs!$C$6)^Inputs!$C$29)</f>
        <v>9687.5570728690072</v>
      </c>
      <c r="BZ57" s="38">
        <f>Inputs!$C$32*CB56/Inputs!$C$6</f>
        <v>3297.6296600096148</v>
      </c>
      <c r="CA57" s="38">
        <f>Inputs!$C$33</f>
        <v>2000</v>
      </c>
      <c r="CB57" s="38">
        <f t="shared" si="29"/>
        <v>375844.99519418692</v>
      </c>
      <c r="CC57" s="38">
        <f t="shared" si="30"/>
        <v>0</v>
      </c>
      <c r="CD57" s="38">
        <f>Inputs!$C$19*(1-Inputs!$C$72*$H57)+Inputs!$C$21+Inputs!$B$72*$J57</f>
        <v>480000</v>
      </c>
      <c r="CE57" s="38">
        <f t="shared" si="31"/>
        <v>-104155.00480581308</v>
      </c>
      <c r="CF57" s="38">
        <f t="shared" si="32"/>
        <v>1</v>
      </c>
      <c r="CG57" s="38">
        <f>MAX(0,MIN(Inputs!$D$36,CL56,CH57+CI57+CJ57+Inputs!$D$6-CK56))</f>
        <v>13122.474092372577</v>
      </c>
      <c r="CH57" s="38">
        <f>Inputs!$D$27*(1+Inputs!$D$28)^($A57/12)*IF(Inputs!$B$72=1,$G57,1)*(1-Inputs!$C$72*$H57*(1-Inputs!$E$54*Inputs!$B$72))*(1+$I57)*IF(Inputs!$D$29=0,1,(MAX(CK56,0)/Inputs!$D$6)^Inputs!$D$29)</f>
        <v>7422.4740923725813</v>
      </c>
      <c r="CI57" s="38">
        <f>Inputs!$D$32*CK56/Inputs!$D$6</f>
        <v>4200</v>
      </c>
      <c r="CJ57" s="38">
        <f>Inputs!$D$33</f>
        <v>1500</v>
      </c>
      <c r="CK57" s="38">
        <f t="shared" si="33"/>
        <v>880000</v>
      </c>
      <c r="CL57" s="38">
        <f t="shared" si="34"/>
        <v>162971.73692944425</v>
      </c>
      <c r="CM57" s="38">
        <f>Inputs!$D$19*(1-Inputs!$C$72*$H57)+Inputs!$D$21+Inputs!$B$72*$J57</f>
        <v>392150</v>
      </c>
      <c r="CN57" s="38">
        <f t="shared" si="35"/>
        <v>487850</v>
      </c>
      <c r="CO57" s="38">
        <f t="shared" si="36"/>
        <v>0</v>
      </c>
      <c r="CP57" s="38">
        <f>MAX(0,MIN(Inputs!$B$36,CU56,CQ57+CR57+CS57+Inputs!$B$6-CT56))</f>
        <v>0</v>
      </c>
      <c r="CQ57" s="38">
        <f>Inputs!$B$27*(1+Inputs!$B$28)^($A57/12)*IF(Inputs!$B$73=1,$G57,1)*(1-Inputs!$C$73*$H57*(1-Inputs!$E$54*Inputs!$B$73))*(1+$I57)*IF(Inputs!$B$29=0,1,(MAX(CT56,0)/Inputs!$B$6)^Inputs!$B$29)</f>
        <v>15273.752811909833</v>
      </c>
      <c r="CR57" s="38">
        <f>Inputs!$B$32*CT56/Inputs!$B$6</f>
        <v>0</v>
      </c>
      <c r="CS57" s="38">
        <f>Inputs!$B$33</f>
        <v>2500</v>
      </c>
      <c r="CT57" s="38">
        <f t="shared" si="37"/>
        <v>0</v>
      </c>
      <c r="CU57" s="38">
        <f t="shared" si="38"/>
        <v>0</v>
      </c>
      <c r="CV57" s="38">
        <f>Inputs!$B$19*(1-Inputs!$C$73*$H57)+Inputs!$B$21+Inputs!$B$73*$J57</f>
        <v>583500</v>
      </c>
      <c r="CW57" s="38">
        <f t="shared" si="39"/>
        <v>-583500</v>
      </c>
      <c r="CX57" s="38">
        <f t="shared" si="40"/>
        <v>1</v>
      </c>
      <c r="CY57" s="38">
        <f>MAX(0,MIN(Inputs!$C$36,DD56,CZ57+DA57+DB57+Inputs!$C$6-DC56))</f>
        <v>0</v>
      </c>
      <c r="CZ57" s="38">
        <f>Inputs!$C$27*(1+Inputs!$C$28)^($A57/12)*IF(Inputs!$B$73=1,$G57,1)*(1-Inputs!$C$73*$H57*(1-Inputs!$E$54*Inputs!$B$73))*(1+$I57)*IF(Inputs!$C$29=0,1,(MAX(DC56,0)/Inputs!$C$6)^Inputs!$C$29)</f>
        <v>8842.5369216034487</v>
      </c>
      <c r="DA57" s="38">
        <f>Inputs!$C$32*DC56/Inputs!$C$6</f>
        <v>3662.9790712985359</v>
      </c>
      <c r="DB57" s="38">
        <f>Inputs!$C$33</f>
        <v>2000</v>
      </c>
      <c r="DC57" s="38">
        <f t="shared" si="41"/>
        <v>419625.33690173936</v>
      </c>
      <c r="DD57" s="38">
        <f t="shared" si="42"/>
        <v>0</v>
      </c>
      <c r="DE57" s="38">
        <f>Inputs!$C$19*(1-Inputs!$C$73*$H57)+Inputs!$C$21+Inputs!$B$73*$J57</f>
        <v>486000</v>
      </c>
      <c r="DF57" s="38">
        <f t="shared" si="43"/>
        <v>-66374.663098260644</v>
      </c>
      <c r="DG57" s="38">
        <f t="shared" si="44"/>
        <v>1</v>
      </c>
      <c r="DH57" s="38">
        <f>MAX(0,MIN(Inputs!$D$36,DM56,DI57+DJ57+DK57+Inputs!$D$6-DL56))</f>
        <v>12299.380345379352</v>
      </c>
      <c r="DI57" s="38">
        <f>Inputs!$D$27*(1+Inputs!$D$28)^($A57/12)*IF(Inputs!$B$73=1,$G57,1)*(1-Inputs!$C$73*$H57*(1-Inputs!$E$54*Inputs!$B$73))*(1+$I57)*IF(Inputs!$D$29=0,1,(MAX(DL56,0)/Inputs!$D$6)^Inputs!$D$29)</f>
        <v>6599.3803453793007</v>
      </c>
      <c r="DJ57" s="38">
        <f>Inputs!$D$32*DL56/Inputs!$D$6</f>
        <v>4200</v>
      </c>
      <c r="DK57" s="38">
        <f>Inputs!$D$33</f>
        <v>1500</v>
      </c>
      <c r="DL57" s="38">
        <f t="shared" si="45"/>
        <v>880000</v>
      </c>
      <c r="DM57" s="38">
        <f t="shared" si="46"/>
        <v>202591.1212183981</v>
      </c>
      <c r="DN57" s="38">
        <f>Inputs!$D$19*(1-Inputs!$C$73*$H57)+Inputs!$D$21+Inputs!$B$73*$J57</f>
        <v>398150</v>
      </c>
      <c r="DO57" s="38">
        <f t="shared" si="47"/>
        <v>481850</v>
      </c>
      <c r="DP57" s="38">
        <f t="shared" si="48"/>
        <v>0</v>
      </c>
    </row>
    <row r="58" spans="1:120" x14ac:dyDescent="0.35">
      <c r="A58" s="29">
        <v>53</v>
      </c>
      <c r="B58" s="34">
        <f>EDATE(Inputs!$B$67,$A58)</f>
        <v>47880</v>
      </c>
      <c r="C58" s="35">
        <f>IF(Inputs!$E$47&lt;=0,Inputs!$E$46,Inputs!$E$44+(Inputs!$E$46-Inputs!$E$44)*MIN($A58/Inputs!$E$47,1))</f>
        <v>0.7</v>
      </c>
      <c r="D58" s="35">
        <f>MIN(Inputs!$E$57,Inputs!$E$55*(1+Inputs!$E$56)^($A58/12))*Inputs!$E$58*(1+Inputs!$E$59)^($A58/12)/Inputs!$E$45</f>
        <v>1.5</v>
      </c>
      <c r="E58" s="35">
        <f>MAX(Inputs!$E$44,MIN(C58,D58))</f>
        <v>0.7</v>
      </c>
      <c r="F58" s="35">
        <f>IF(Inputs!$E$50&lt;=0,Inputs!$E$49,Inputs!$E$48+(Inputs!$E$49-Inputs!$E$48)*MIN($A58/Inputs!$E$50,1))</f>
        <v>0.12</v>
      </c>
      <c r="G58" s="36">
        <f>(Inputs!$E$41*(1-E58*Inputs!$E$51)+Inputs!$E$42*(1-F58*Inputs!$E$51))/(Inputs!$E$41*(1-Inputs!$E$44*Inputs!$E$51)+Inputs!$E$42*(1-Inputs!$E$48*Inputs!$E$51))</f>
        <v>0.8423127463863338</v>
      </c>
      <c r="H58" s="35">
        <f>IF(Inputs!$E$53&lt;=0,Inputs!$E$52,Inputs!$E$52*MIN($A58/Inputs!$E$53,1))</f>
        <v>0.1</v>
      </c>
      <c r="I58" s="35">
        <f>IF(Inputs!$E$64&lt;=0,Inputs!$E$63,Inputs!$E$62+(Inputs!$E$63-Inputs!$E$62)*MIN($A58/Inputs!$E$64,1))</f>
        <v>0.03</v>
      </c>
      <c r="J58" s="37">
        <f>(E58-Inputs!$E$44)*Inputs!$E$45/Inputs!$E$60*Inputs!$E$61</f>
        <v>5999.9999999999991</v>
      </c>
      <c r="K58" s="29">
        <f t="shared" si="0"/>
        <v>0</v>
      </c>
      <c r="L58" s="29"/>
      <c r="M58" s="38">
        <f>MAX(0,MIN(Inputs!$B$36,R57,N58+O58+P58+Inputs!$B$6-Q57))</f>
        <v>0</v>
      </c>
      <c r="N58" s="38">
        <f>Inputs!$B$27*(1+Inputs!$B$28)^($A58/12)*IF(Inputs!$B$70=1,$G58,1)*(1-Inputs!$C$70*$H58*(1-Inputs!$E$54*Inputs!$B$70))*(1+$I58)*IF(Inputs!$B$29=0,1,(MAX(Q57,0)/Inputs!$B$6)^Inputs!$B$29)</f>
        <v>19165.252907983202</v>
      </c>
      <c r="O58" s="38">
        <f>Inputs!$B$32*Q57/Inputs!$B$6</f>
        <v>0</v>
      </c>
      <c r="P58" s="38">
        <f>Inputs!$B$33</f>
        <v>2500</v>
      </c>
      <c r="Q58" s="38">
        <f t="shared" si="1"/>
        <v>0</v>
      </c>
      <c r="R58" s="38">
        <f t="shared" si="2"/>
        <v>0</v>
      </c>
      <c r="S58" s="38">
        <f>Inputs!$B$19*(1-Inputs!$C$70*$H58)+Inputs!$B$21+Inputs!$B$70*$J58</f>
        <v>595000</v>
      </c>
      <c r="T58" s="38">
        <f t="shared" si="3"/>
        <v>-595000</v>
      </c>
      <c r="U58" s="38">
        <f t="shared" si="4"/>
        <v>1</v>
      </c>
      <c r="V58" s="38">
        <f>MAX(0,MIN(Inputs!$C$36,AA57,W58+X58+Y58+Inputs!$C$6-Z57))</f>
        <v>0</v>
      </c>
      <c r="W58" s="38">
        <f>Inputs!$C$27*(1+Inputs!$C$28)^($A58/12)*IF(Inputs!$B$70=1,$G58,1)*(1-Inputs!$C$70*$H58*(1-Inputs!$E$54*Inputs!$B$70))*(1+$I58)*IF(Inputs!$C$29=0,1,(MAX(Z57,0)/Inputs!$C$6)^Inputs!$C$29)</f>
        <v>10454.514129776309</v>
      </c>
      <c r="X58" s="38">
        <f>Inputs!$C$32*Z57/Inputs!$C$6</f>
        <v>2934.473809063149</v>
      </c>
      <c r="Y58" s="38">
        <f>Inputs!$C$33</f>
        <v>2000</v>
      </c>
      <c r="Z58" s="38">
        <f t="shared" si="5"/>
        <v>332400.50054271898</v>
      </c>
      <c r="AA58" s="38">
        <f t="shared" si="6"/>
        <v>0</v>
      </c>
      <c r="AB58" s="38">
        <f>Inputs!$C$19*(1-Inputs!$C$70*$H58)+Inputs!$C$21+Inputs!$B$70*$J58</f>
        <v>495000</v>
      </c>
      <c r="AC58" s="38">
        <f t="shared" si="7"/>
        <v>-162599.49945728102</v>
      </c>
      <c r="AD58" s="38">
        <f t="shared" si="8"/>
        <v>1</v>
      </c>
      <c r="AE58" s="38">
        <f>MAX(0,MIN(Inputs!$D$36,AJ57,AF58+AG58+AH58+Inputs!$D$6-AI57))</f>
        <v>13912.016526944935</v>
      </c>
      <c r="AF58" s="38">
        <f>Inputs!$D$27*(1+Inputs!$D$28)^($A58/12)*IF(Inputs!$B$70=1,$G58,1)*(1-Inputs!$C$70*$H58*(1-Inputs!$E$54*Inputs!$B$70))*(1+$I58)*IF(Inputs!$D$29=0,1,(MAX(AI57,0)/Inputs!$D$6)^Inputs!$D$29)</f>
        <v>8212.016526944919</v>
      </c>
      <c r="AG58" s="38">
        <f>Inputs!$D$32*AI57/Inputs!$D$6</f>
        <v>4200</v>
      </c>
      <c r="AH58" s="38">
        <f>Inputs!$D$33</f>
        <v>1500</v>
      </c>
      <c r="AI58" s="38">
        <f t="shared" si="9"/>
        <v>880000</v>
      </c>
      <c r="AJ58" s="38">
        <f t="shared" si="10"/>
        <v>123792.4081834479</v>
      </c>
      <c r="AK58" s="38">
        <f>Inputs!$D$19*(1-Inputs!$C$70*$H58)+Inputs!$D$21+Inputs!$B$70*$J58</f>
        <v>404800</v>
      </c>
      <c r="AL58" s="38">
        <f t="shared" si="11"/>
        <v>475200</v>
      </c>
      <c r="AM58" s="38">
        <f t="shared" si="12"/>
        <v>0</v>
      </c>
      <c r="AN58" s="38">
        <f>MAX(0,MIN(Inputs!$B$36,AS57,AO58+AP58+AQ58+Inputs!$B$6-AR57))</f>
        <v>0</v>
      </c>
      <c r="AO58" s="38">
        <f>Inputs!$B$27*(1+Inputs!$B$28)^($A58/12)*IF(Inputs!$B$71=1,$G58,1)*(1-Inputs!$C$71*$H58*(1-Inputs!$E$54*Inputs!$B$71))*(1+$I58)*IF(Inputs!$B$29=0,1,(MAX(AR57,0)/Inputs!$B$6)^Inputs!$B$29)</f>
        <v>16143.136812112001</v>
      </c>
      <c r="AP58" s="38">
        <f>Inputs!$B$32*AR57/Inputs!$B$6</f>
        <v>0</v>
      </c>
      <c r="AQ58" s="38">
        <f>Inputs!$B$33</f>
        <v>2500</v>
      </c>
      <c r="AR58" s="38">
        <f t="shared" si="13"/>
        <v>0</v>
      </c>
      <c r="AS58" s="38">
        <f t="shared" si="14"/>
        <v>0</v>
      </c>
      <c r="AT58" s="38">
        <f>Inputs!$B$19*(1-Inputs!$C$71*$H58)+Inputs!$B$21+Inputs!$B$71*$J58</f>
        <v>601000</v>
      </c>
      <c r="AU58" s="38">
        <f t="shared" si="15"/>
        <v>-601000</v>
      </c>
      <c r="AV58" s="38">
        <f t="shared" si="16"/>
        <v>1</v>
      </c>
      <c r="AW58" s="38">
        <f>MAX(0,MIN(Inputs!$C$36,BB57,AX58+AY58+AZ58+Inputs!$C$6-BA57))</f>
        <v>0</v>
      </c>
      <c r="AX58" s="38">
        <f>Inputs!$C$27*(1+Inputs!$C$28)^($A58/12)*IF(Inputs!$B$71=1,$G58,1)*(1-Inputs!$C$71*$H58*(1-Inputs!$E$54*Inputs!$B$71))*(1+$I58)*IF(Inputs!$C$29=0,1,(MAX(BA57,0)/Inputs!$C$6)^Inputs!$C$29)</f>
        <v>9159.9526197580708</v>
      </c>
      <c r="AY58" s="38">
        <f>Inputs!$C$32*BA57/Inputs!$C$6</f>
        <v>3435.5339140113215</v>
      </c>
      <c r="AZ58" s="38">
        <f>Inputs!$C$33</f>
        <v>2000</v>
      </c>
      <c r="BA58" s="38">
        <f t="shared" si="17"/>
        <v>392578.90327497991</v>
      </c>
      <c r="BB58" s="38">
        <f t="shared" si="18"/>
        <v>0</v>
      </c>
      <c r="BC58" s="38">
        <f>Inputs!$C$19*(1-Inputs!$C$71*$H58)+Inputs!$C$21+Inputs!$B$71*$J58</f>
        <v>501000</v>
      </c>
      <c r="BD58" s="38">
        <f t="shared" si="19"/>
        <v>-108421.09672502009</v>
      </c>
      <c r="BE58" s="38">
        <f t="shared" si="20"/>
        <v>1</v>
      </c>
      <c r="BF58" s="38">
        <f>MAX(0,MIN(Inputs!$D$36,BK57,BG58+BH58+BI58+Inputs!$D$6-BJ57))</f>
        <v>12617.086194180883</v>
      </c>
      <c r="BG58" s="38">
        <f>Inputs!$D$27*(1+Inputs!$D$28)^($A58/12)*IF(Inputs!$B$71=1,$G58,1)*(1-Inputs!$C$71*$H58*(1-Inputs!$E$54*Inputs!$B$71))*(1+$I58)*IF(Inputs!$D$29=0,1,(MAX(BJ57,0)/Inputs!$D$6)^Inputs!$D$29)</f>
        <v>6917.0861941809371</v>
      </c>
      <c r="BH58" s="38">
        <f>Inputs!$D$32*BJ57/Inputs!$D$6</f>
        <v>4200</v>
      </c>
      <c r="BI58" s="38">
        <f>Inputs!$D$33</f>
        <v>1500</v>
      </c>
      <c r="BJ58" s="38">
        <f t="shared" si="21"/>
        <v>880000</v>
      </c>
      <c r="BK58" s="38">
        <f t="shared" si="22"/>
        <v>179111.92772859964</v>
      </c>
      <c r="BL58" s="38">
        <f>Inputs!$D$19*(1-Inputs!$C$71*$H58)+Inputs!$D$21+Inputs!$B$71*$J58</f>
        <v>410800</v>
      </c>
      <c r="BM58" s="38">
        <f t="shared" si="23"/>
        <v>469200</v>
      </c>
      <c r="BN58" s="38">
        <f t="shared" si="24"/>
        <v>0</v>
      </c>
      <c r="BO58" s="38">
        <f>MAX(0,MIN(Inputs!$B$36,BT57,BP58+BQ58+BR58+Inputs!$B$6-BS57))</f>
        <v>0</v>
      </c>
      <c r="BP58" s="38">
        <f>Inputs!$B$27*(1+Inputs!$B$28)^($A58/12)*IF(Inputs!$B$72=1,$G58,1)*(1-Inputs!$C$72*$H58*(1-Inputs!$E$54*Inputs!$B$72))*(1+$I58)*IF(Inputs!$B$29=0,1,(MAX(BS57,0)/Inputs!$B$6)^Inputs!$B$29)</f>
        <v>17248.727617184883</v>
      </c>
      <c r="BQ58" s="38">
        <f>Inputs!$B$32*BS57/Inputs!$B$6</f>
        <v>0</v>
      </c>
      <c r="BR58" s="38">
        <f>Inputs!$B$33</f>
        <v>2500</v>
      </c>
      <c r="BS58" s="38">
        <f t="shared" si="25"/>
        <v>0</v>
      </c>
      <c r="BT58" s="38">
        <f t="shared" si="26"/>
        <v>0</v>
      </c>
      <c r="BU58" s="38">
        <f>Inputs!$B$19*(1-Inputs!$C$72*$H58)+Inputs!$B$21+Inputs!$B$72*$J58</f>
        <v>577500</v>
      </c>
      <c r="BV58" s="38">
        <f t="shared" si="27"/>
        <v>-577500</v>
      </c>
      <c r="BW58" s="38">
        <f t="shared" si="28"/>
        <v>1</v>
      </c>
      <c r="BX58" s="38">
        <f>MAX(0,MIN(Inputs!$C$36,CC57,BY58+BZ58+CA58+Inputs!$C$6-CB57))</f>
        <v>0</v>
      </c>
      <c r="BY58" s="38">
        <f>Inputs!$C$27*(1+Inputs!$C$28)^($A58/12)*IF(Inputs!$B$72=1,$G58,1)*(1-Inputs!$C$72*$H58*(1-Inputs!$E$54*Inputs!$B$72))*(1+$I58)*IF(Inputs!$C$29=0,1,(MAX(CB57,0)/Inputs!$C$6)^Inputs!$C$29)</f>
        <v>9593.3313098701692</v>
      </c>
      <c r="BZ58" s="38">
        <f>Inputs!$C$32*CB57/Inputs!$C$6</f>
        <v>3171.1921469509516</v>
      </c>
      <c r="CA58" s="38">
        <f>Inputs!$C$33</f>
        <v>2000</v>
      </c>
      <c r="CB58" s="38">
        <f t="shared" si="29"/>
        <v>361080.47173736582</v>
      </c>
      <c r="CC58" s="38">
        <f t="shared" si="30"/>
        <v>0</v>
      </c>
      <c r="CD58" s="38">
        <f>Inputs!$C$19*(1-Inputs!$C$72*$H58)+Inputs!$C$21+Inputs!$B$72*$J58</f>
        <v>480000</v>
      </c>
      <c r="CE58" s="38">
        <f t="shared" si="31"/>
        <v>-118919.52826263418</v>
      </c>
      <c r="CF58" s="38">
        <f t="shared" si="32"/>
        <v>1</v>
      </c>
      <c r="CG58" s="38">
        <f>MAX(0,MIN(Inputs!$D$36,CL57,CH58+CI58+CJ58+Inputs!$D$6-CK57))</f>
        <v>13090.814874250442</v>
      </c>
      <c r="CH58" s="38">
        <f>Inputs!$D$27*(1+Inputs!$D$28)^($A58/12)*IF(Inputs!$B$72=1,$G58,1)*(1-Inputs!$C$72*$H58*(1-Inputs!$E$54*Inputs!$B$72))*(1+$I58)*IF(Inputs!$D$29=0,1,(MAX(CK57,0)/Inputs!$D$6)^Inputs!$D$29)</f>
        <v>7390.8148742504272</v>
      </c>
      <c r="CI58" s="38">
        <f>Inputs!$D$32*CK57/Inputs!$D$6</f>
        <v>4200</v>
      </c>
      <c r="CJ58" s="38">
        <f>Inputs!$D$33</f>
        <v>1500</v>
      </c>
      <c r="CK58" s="38">
        <f t="shared" si="33"/>
        <v>880000</v>
      </c>
      <c r="CL58" s="38">
        <f t="shared" si="34"/>
        <v>149880.92205519381</v>
      </c>
      <c r="CM58" s="38">
        <f>Inputs!$D$19*(1-Inputs!$C$72*$H58)+Inputs!$D$21+Inputs!$B$72*$J58</f>
        <v>392150</v>
      </c>
      <c r="CN58" s="38">
        <f t="shared" si="35"/>
        <v>487850</v>
      </c>
      <c r="CO58" s="38">
        <f t="shared" si="36"/>
        <v>0</v>
      </c>
      <c r="CP58" s="38">
        <f>MAX(0,MIN(Inputs!$B$36,CU57,CQ58+CR58+CS58+Inputs!$B$6-CT57))</f>
        <v>0</v>
      </c>
      <c r="CQ58" s="38">
        <f>Inputs!$B$27*(1+Inputs!$B$28)^($A58/12)*IF(Inputs!$B$73=1,$G58,1)*(1-Inputs!$C$73*$H58*(1-Inputs!$E$54*Inputs!$B$73))*(1+$I58)*IF(Inputs!$B$29=0,1,(MAX(CT57,0)/Inputs!$B$6)^Inputs!$B$29)</f>
        <v>15335.9799715064</v>
      </c>
      <c r="CR58" s="38">
        <f>Inputs!$B$32*CT57/Inputs!$B$6</f>
        <v>0</v>
      </c>
      <c r="CS58" s="38">
        <f>Inputs!$B$33</f>
        <v>2500</v>
      </c>
      <c r="CT58" s="38">
        <f t="shared" si="37"/>
        <v>0</v>
      </c>
      <c r="CU58" s="38">
        <f t="shared" si="38"/>
        <v>0</v>
      </c>
      <c r="CV58" s="38">
        <f>Inputs!$B$19*(1-Inputs!$C$73*$H58)+Inputs!$B$21+Inputs!$B$73*$J58</f>
        <v>583500</v>
      </c>
      <c r="CW58" s="38">
        <f t="shared" si="39"/>
        <v>-583500</v>
      </c>
      <c r="CX58" s="38">
        <f t="shared" si="40"/>
        <v>1</v>
      </c>
      <c r="CY58" s="38">
        <f>MAX(0,MIN(Inputs!$C$36,DD57,CZ58+DA58+DB58+Inputs!$C$6-DC57))</f>
        <v>0</v>
      </c>
      <c r="CZ58" s="38">
        <f>Inputs!$C$27*(1+Inputs!$C$28)^($A58/12)*IF(Inputs!$B$73=1,$G58,1)*(1-Inputs!$C$73*$H58*(1-Inputs!$E$54*Inputs!$B$73))*(1+$I58)*IF(Inputs!$C$29=0,1,(MAX(DC57,0)/Inputs!$C$6)^Inputs!$C$29)</f>
        <v>8767.7295432826468</v>
      </c>
      <c r="DA58" s="38">
        <f>Inputs!$C$32*DC57/Inputs!$C$6</f>
        <v>3540.5887801084255</v>
      </c>
      <c r="DB58" s="38">
        <f>Inputs!$C$33</f>
        <v>2000</v>
      </c>
      <c r="DC58" s="38">
        <f t="shared" si="41"/>
        <v>405317.01857834827</v>
      </c>
      <c r="DD58" s="38">
        <f t="shared" si="42"/>
        <v>0</v>
      </c>
      <c r="DE58" s="38">
        <f>Inputs!$C$19*(1-Inputs!$C$73*$H58)+Inputs!$C$21+Inputs!$B$73*$J58</f>
        <v>486000</v>
      </c>
      <c r="DF58" s="38">
        <f t="shared" si="43"/>
        <v>-80682.981421651726</v>
      </c>
      <c r="DG58" s="38">
        <f t="shared" si="44"/>
        <v>1</v>
      </c>
      <c r="DH58" s="38">
        <f>MAX(0,MIN(Inputs!$D$36,DM57,DI58+DJ58+DK58+Inputs!$D$6-DL57))</f>
        <v>12271.231884471839</v>
      </c>
      <c r="DI58" s="38">
        <f>Inputs!$D$27*(1+Inputs!$D$28)^($A58/12)*IF(Inputs!$B$73=1,$G58,1)*(1-Inputs!$C$73*$H58*(1-Inputs!$E$54*Inputs!$B$73))*(1+$I58)*IF(Inputs!$D$29=0,1,(MAX(DL57,0)/Inputs!$D$6)^Inputs!$D$29)</f>
        <v>6571.2318844718893</v>
      </c>
      <c r="DJ58" s="38">
        <f>Inputs!$D$32*DL57/Inputs!$D$6</f>
        <v>4200</v>
      </c>
      <c r="DK58" s="38">
        <f>Inputs!$D$33</f>
        <v>1500</v>
      </c>
      <c r="DL58" s="38">
        <f t="shared" si="45"/>
        <v>880000</v>
      </c>
      <c r="DM58" s="38">
        <f t="shared" si="46"/>
        <v>190319.88933392626</v>
      </c>
      <c r="DN58" s="38">
        <f>Inputs!$D$19*(1-Inputs!$C$73*$H58)+Inputs!$D$21+Inputs!$B$73*$J58</f>
        <v>398150</v>
      </c>
      <c r="DO58" s="38">
        <f t="shared" si="47"/>
        <v>481850</v>
      </c>
      <c r="DP58" s="38">
        <f t="shared" si="48"/>
        <v>0</v>
      </c>
    </row>
    <row r="59" spans="1:120" x14ac:dyDescent="0.35">
      <c r="A59" s="29">
        <v>54</v>
      </c>
      <c r="B59" s="34">
        <f>EDATE(Inputs!$B$67,$A59)</f>
        <v>47908</v>
      </c>
      <c r="C59" s="35">
        <f>IF(Inputs!$E$47&lt;=0,Inputs!$E$46,Inputs!$E$44+(Inputs!$E$46-Inputs!$E$44)*MIN($A59/Inputs!$E$47,1))</f>
        <v>0.7</v>
      </c>
      <c r="D59" s="35">
        <f>MIN(Inputs!$E$57,Inputs!$E$55*(1+Inputs!$E$56)^($A59/12))*Inputs!$E$58*(1+Inputs!$E$59)^($A59/12)/Inputs!$E$45</f>
        <v>1.5</v>
      </c>
      <c r="E59" s="35">
        <f>MAX(Inputs!$E$44,MIN(C59,D59))</f>
        <v>0.7</v>
      </c>
      <c r="F59" s="35">
        <f>IF(Inputs!$E$50&lt;=0,Inputs!$E$49,Inputs!$E$48+(Inputs!$E$49-Inputs!$E$48)*MIN($A59/Inputs!$E$50,1))</f>
        <v>0.12</v>
      </c>
      <c r="G59" s="36">
        <f>(Inputs!$E$41*(1-E59*Inputs!$E$51)+Inputs!$E$42*(1-F59*Inputs!$E$51))/(Inputs!$E$41*(1-Inputs!$E$44*Inputs!$E$51)+Inputs!$E$42*(1-Inputs!$E$48*Inputs!$E$51))</f>
        <v>0.8423127463863338</v>
      </c>
      <c r="H59" s="35">
        <f>IF(Inputs!$E$53&lt;=0,Inputs!$E$52,Inputs!$E$52*MIN($A59/Inputs!$E$53,1))</f>
        <v>0.1</v>
      </c>
      <c r="I59" s="35">
        <f>IF(Inputs!$E$64&lt;=0,Inputs!$E$63,Inputs!$E$62+(Inputs!$E$63-Inputs!$E$62)*MIN($A59/Inputs!$E$64,1))</f>
        <v>0.03</v>
      </c>
      <c r="J59" s="37">
        <f>(E59-Inputs!$E$44)*Inputs!$E$45/Inputs!$E$60*Inputs!$E$61</f>
        <v>5999.9999999999991</v>
      </c>
      <c r="K59" s="29">
        <f t="shared" si="0"/>
        <v>0</v>
      </c>
      <c r="L59" s="29"/>
      <c r="M59" s="38">
        <f>MAX(0,MIN(Inputs!$B$36,R58,N59+O59+P59+Inputs!$B$6-Q58))</f>
        <v>0</v>
      </c>
      <c r="N59" s="38">
        <f>Inputs!$B$27*(1+Inputs!$B$28)^($A59/12)*IF(Inputs!$B$70=1,$G59,1)*(1-Inputs!$C$70*$H59*(1-Inputs!$E$54*Inputs!$B$70))*(1+$I59)*IF(Inputs!$B$29=0,1,(MAX(Q58,0)/Inputs!$B$6)^Inputs!$B$29)</f>
        <v>19243.334520675249</v>
      </c>
      <c r="O59" s="38">
        <f>Inputs!$B$32*Q58/Inputs!$B$6</f>
        <v>0</v>
      </c>
      <c r="P59" s="38">
        <f>Inputs!$B$33</f>
        <v>2500</v>
      </c>
      <c r="Q59" s="38">
        <f t="shared" si="1"/>
        <v>0</v>
      </c>
      <c r="R59" s="38">
        <f t="shared" si="2"/>
        <v>0</v>
      </c>
      <c r="S59" s="38">
        <f>Inputs!$B$19*(1-Inputs!$C$70*$H59)+Inputs!$B$21+Inputs!$B$70*$J59</f>
        <v>595000</v>
      </c>
      <c r="T59" s="38">
        <f t="shared" si="3"/>
        <v>-595000</v>
      </c>
      <c r="U59" s="38">
        <f t="shared" si="4"/>
        <v>1</v>
      </c>
      <c r="V59" s="38">
        <f>MAX(0,MIN(Inputs!$C$36,AA58,W59+X59+Y59+Inputs!$C$6-Z58))</f>
        <v>0</v>
      </c>
      <c r="W59" s="38">
        <f>Inputs!$C$27*(1+Inputs!$C$28)^($A59/12)*IF(Inputs!$B$70=1,$G59,1)*(1-Inputs!$C$70*$H59*(1-Inputs!$E$54*Inputs!$B$70))*(1+$I59)*IF(Inputs!$C$29=0,1,(MAX(Z58,0)/Inputs!$C$6)^Inputs!$C$29)</f>
        <v>10336.896271336991</v>
      </c>
      <c r="X59" s="38">
        <f>Inputs!$C$32*Z58/Inputs!$C$6</f>
        <v>2804.6292233291911</v>
      </c>
      <c r="Y59" s="38">
        <f>Inputs!$C$33</f>
        <v>2000</v>
      </c>
      <c r="Z59" s="38">
        <f t="shared" si="5"/>
        <v>317258.97504805279</v>
      </c>
      <c r="AA59" s="38">
        <f t="shared" si="6"/>
        <v>0</v>
      </c>
      <c r="AB59" s="38">
        <f>Inputs!$C$19*(1-Inputs!$C$70*$H59)+Inputs!$C$21+Inputs!$B$70*$J59</f>
        <v>495000</v>
      </c>
      <c r="AC59" s="38">
        <f t="shared" si="7"/>
        <v>-177741.02495194721</v>
      </c>
      <c r="AD59" s="38">
        <f t="shared" si="8"/>
        <v>1</v>
      </c>
      <c r="AE59" s="38">
        <f>MAX(0,MIN(Inputs!$D$36,AJ58,AF59+AG59+AH59+Inputs!$D$6-AI58))</f>
        <v>13876.989658650942</v>
      </c>
      <c r="AF59" s="38">
        <f>Inputs!$D$27*(1+Inputs!$D$28)^($A59/12)*IF(Inputs!$B$70=1,$G59,1)*(1-Inputs!$C$70*$H59*(1-Inputs!$E$54*Inputs!$B$70))*(1+$I59)*IF(Inputs!$D$29=0,1,(MAX(AI58,0)/Inputs!$D$6)^Inputs!$D$29)</f>
        <v>8176.9896586509021</v>
      </c>
      <c r="AG59" s="38">
        <f>Inputs!$D$32*AI58/Inputs!$D$6</f>
        <v>4200</v>
      </c>
      <c r="AH59" s="38">
        <f>Inputs!$D$33</f>
        <v>1500</v>
      </c>
      <c r="AI59" s="38">
        <f t="shared" si="9"/>
        <v>880000</v>
      </c>
      <c r="AJ59" s="38">
        <f t="shared" si="10"/>
        <v>109915.41852479696</v>
      </c>
      <c r="AK59" s="38">
        <f>Inputs!$D$19*(1-Inputs!$C$70*$H59)+Inputs!$D$21+Inputs!$B$70*$J59</f>
        <v>404800</v>
      </c>
      <c r="AL59" s="38">
        <f t="shared" si="11"/>
        <v>475200</v>
      </c>
      <c r="AM59" s="38">
        <f t="shared" si="12"/>
        <v>0</v>
      </c>
      <c r="AN59" s="38">
        <f>MAX(0,MIN(Inputs!$B$36,AS58,AO59+AP59+AQ59+Inputs!$B$6-AR58))</f>
        <v>0</v>
      </c>
      <c r="AO59" s="38">
        <f>Inputs!$B$27*(1+Inputs!$B$28)^($A59/12)*IF(Inputs!$B$71=1,$G59,1)*(1-Inputs!$C$71*$H59*(1-Inputs!$E$54*Inputs!$B$71))*(1+$I59)*IF(Inputs!$B$29=0,1,(MAX(AR58,0)/Inputs!$B$6)^Inputs!$B$29)</f>
        <v>16208.905949740913</v>
      </c>
      <c r="AP59" s="38">
        <f>Inputs!$B$32*AR58/Inputs!$B$6</f>
        <v>0</v>
      </c>
      <c r="AQ59" s="38">
        <f>Inputs!$B$33</f>
        <v>2500</v>
      </c>
      <c r="AR59" s="38">
        <f t="shared" si="13"/>
        <v>0</v>
      </c>
      <c r="AS59" s="38">
        <f t="shared" si="14"/>
        <v>0</v>
      </c>
      <c r="AT59" s="38">
        <f>Inputs!$B$19*(1-Inputs!$C$71*$H59)+Inputs!$B$21+Inputs!$B$71*$J59</f>
        <v>601000</v>
      </c>
      <c r="AU59" s="38">
        <f t="shared" si="15"/>
        <v>-601000</v>
      </c>
      <c r="AV59" s="38">
        <f t="shared" si="16"/>
        <v>1</v>
      </c>
      <c r="AW59" s="38">
        <f>MAX(0,MIN(Inputs!$C$36,BB58,AX59+AY59+AZ59+Inputs!$C$6-BA58))</f>
        <v>0</v>
      </c>
      <c r="AX59" s="38">
        <f>Inputs!$C$27*(1+Inputs!$C$28)^($A59/12)*IF(Inputs!$B$71=1,$G59,1)*(1-Inputs!$C$71*$H59*(1-Inputs!$E$54*Inputs!$B$71))*(1+$I59)*IF(Inputs!$C$29=0,1,(MAX(BA58,0)/Inputs!$C$6)^Inputs!$C$29)</f>
        <v>9076.7391150218791</v>
      </c>
      <c r="AY59" s="38">
        <f>Inputs!$C$32*BA58/Inputs!$C$6</f>
        <v>3312.3844963826423</v>
      </c>
      <c r="AZ59" s="38">
        <f>Inputs!$C$33</f>
        <v>2000</v>
      </c>
      <c r="BA59" s="38">
        <f t="shared" si="17"/>
        <v>378189.77966357535</v>
      </c>
      <c r="BB59" s="38">
        <f t="shared" si="18"/>
        <v>0</v>
      </c>
      <c r="BC59" s="38">
        <f>Inputs!$C$19*(1-Inputs!$C$71*$H59)+Inputs!$C$21+Inputs!$B$71*$J59</f>
        <v>501000</v>
      </c>
      <c r="BD59" s="38">
        <f t="shared" si="19"/>
        <v>-122810.22033642465</v>
      </c>
      <c r="BE59" s="38">
        <f t="shared" si="20"/>
        <v>1</v>
      </c>
      <c r="BF59" s="38">
        <f>MAX(0,MIN(Inputs!$D$36,BK58,BG59+BH59+BI59+Inputs!$D$6-BJ58))</f>
        <v>12587.582616550848</v>
      </c>
      <c r="BG59" s="38">
        <f>Inputs!$D$27*(1+Inputs!$D$28)^($A59/12)*IF(Inputs!$B$71=1,$G59,1)*(1-Inputs!$C$71*$H59*(1-Inputs!$E$54*Inputs!$B$71))*(1+$I59)*IF(Inputs!$D$29=0,1,(MAX(BJ58,0)/Inputs!$D$6)^Inputs!$D$29)</f>
        <v>6887.5826165508915</v>
      </c>
      <c r="BH59" s="38">
        <f>Inputs!$D$32*BJ58/Inputs!$D$6</f>
        <v>4200</v>
      </c>
      <c r="BI59" s="38">
        <f>Inputs!$D$33</f>
        <v>1500</v>
      </c>
      <c r="BJ59" s="38">
        <f t="shared" si="21"/>
        <v>880000</v>
      </c>
      <c r="BK59" s="38">
        <f t="shared" si="22"/>
        <v>166524.34511204879</v>
      </c>
      <c r="BL59" s="38">
        <f>Inputs!$D$19*(1-Inputs!$C$71*$H59)+Inputs!$D$21+Inputs!$B$71*$J59</f>
        <v>410800</v>
      </c>
      <c r="BM59" s="38">
        <f t="shared" si="23"/>
        <v>469200</v>
      </c>
      <c r="BN59" s="38">
        <f t="shared" si="24"/>
        <v>0</v>
      </c>
      <c r="BO59" s="38">
        <f>MAX(0,MIN(Inputs!$B$36,BT58,BP59+BQ59+BR59+Inputs!$B$6-BS58))</f>
        <v>0</v>
      </c>
      <c r="BP59" s="38">
        <f>Inputs!$B$27*(1+Inputs!$B$28)^($A59/12)*IF(Inputs!$B$72=1,$G59,1)*(1-Inputs!$C$72*$H59*(1-Inputs!$E$54*Inputs!$B$72))*(1+$I59)*IF(Inputs!$B$29=0,1,(MAX(BS58,0)/Inputs!$B$6)^Inputs!$B$29)</f>
        <v>17319.001068607726</v>
      </c>
      <c r="BQ59" s="38">
        <f>Inputs!$B$32*BS58/Inputs!$B$6</f>
        <v>0</v>
      </c>
      <c r="BR59" s="38">
        <f>Inputs!$B$33</f>
        <v>2500</v>
      </c>
      <c r="BS59" s="38">
        <f t="shared" si="25"/>
        <v>0</v>
      </c>
      <c r="BT59" s="38">
        <f t="shared" si="26"/>
        <v>0</v>
      </c>
      <c r="BU59" s="38">
        <f>Inputs!$B$19*(1-Inputs!$C$72*$H59)+Inputs!$B$21+Inputs!$B$72*$J59</f>
        <v>577500</v>
      </c>
      <c r="BV59" s="38">
        <f t="shared" si="27"/>
        <v>-577500</v>
      </c>
      <c r="BW59" s="38">
        <f t="shared" si="28"/>
        <v>1</v>
      </c>
      <c r="BX59" s="38">
        <f>MAX(0,MIN(Inputs!$C$36,CC58,BY59+BZ59+CA59+Inputs!$C$6-CB58))</f>
        <v>0</v>
      </c>
      <c r="BY59" s="38">
        <f>Inputs!$C$27*(1+Inputs!$C$28)^($A59/12)*IF(Inputs!$B$72=1,$G59,1)*(1-Inputs!$C$72*$H59*(1-Inputs!$E$54*Inputs!$B$72))*(1+$I59)*IF(Inputs!$C$29=0,1,(MAX(CB58,0)/Inputs!$C$6)^Inputs!$C$29)</f>
        <v>9497.6956943771638</v>
      </c>
      <c r="BZ59" s="38">
        <f>Inputs!$C$32*CB58/Inputs!$C$6</f>
        <v>3046.616480284024</v>
      </c>
      <c r="CA59" s="38">
        <f>Inputs!$C$33</f>
        <v>2000</v>
      </c>
      <c r="CB59" s="38">
        <f t="shared" si="29"/>
        <v>346536.15956270462</v>
      </c>
      <c r="CC59" s="38">
        <f t="shared" si="30"/>
        <v>0</v>
      </c>
      <c r="CD59" s="38">
        <f>Inputs!$C$19*(1-Inputs!$C$72*$H59)+Inputs!$C$21+Inputs!$B$72*$J59</f>
        <v>480000</v>
      </c>
      <c r="CE59" s="38">
        <f t="shared" si="31"/>
        <v>-133463.84043729538</v>
      </c>
      <c r="CF59" s="38">
        <f t="shared" si="32"/>
        <v>1</v>
      </c>
      <c r="CG59" s="38">
        <f>MAX(0,MIN(Inputs!$D$36,CL58,CH59+CI59+CJ59+Inputs!$D$6-CK58))</f>
        <v>13059.290692785755</v>
      </c>
      <c r="CH59" s="38">
        <f>Inputs!$D$27*(1+Inputs!$D$28)^($A59/12)*IF(Inputs!$B$72=1,$G59,1)*(1-Inputs!$C$72*$H59*(1-Inputs!$E$54*Inputs!$B$72))*(1+$I59)*IF(Inputs!$D$29=0,1,(MAX(CK58,0)/Inputs!$D$6)^Inputs!$D$29)</f>
        <v>7359.2906927858121</v>
      </c>
      <c r="CI59" s="38">
        <f>Inputs!$D$32*CK58/Inputs!$D$6</f>
        <v>4200</v>
      </c>
      <c r="CJ59" s="38">
        <f>Inputs!$D$33</f>
        <v>1500</v>
      </c>
      <c r="CK59" s="38">
        <f t="shared" si="33"/>
        <v>880000</v>
      </c>
      <c r="CL59" s="38">
        <f t="shared" si="34"/>
        <v>136821.63136240805</v>
      </c>
      <c r="CM59" s="38">
        <f>Inputs!$D$19*(1-Inputs!$C$72*$H59)+Inputs!$D$21+Inputs!$B$72*$J59</f>
        <v>392150</v>
      </c>
      <c r="CN59" s="38">
        <f t="shared" si="35"/>
        <v>487850</v>
      </c>
      <c r="CO59" s="38">
        <f t="shared" si="36"/>
        <v>0</v>
      </c>
      <c r="CP59" s="38">
        <f>MAX(0,MIN(Inputs!$B$36,CU58,CQ59+CR59+CS59+Inputs!$B$6-CT58))</f>
        <v>0</v>
      </c>
      <c r="CQ59" s="38">
        <f>Inputs!$B$27*(1+Inputs!$B$28)^($A59/12)*IF(Inputs!$B$73=1,$G59,1)*(1-Inputs!$C$73*$H59*(1-Inputs!$E$54*Inputs!$B$73))*(1+$I59)*IF(Inputs!$B$29=0,1,(MAX(CT58,0)/Inputs!$B$6)^Inputs!$B$29)</f>
        <v>15398.460652253867</v>
      </c>
      <c r="CR59" s="38">
        <f>Inputs!$B$32*CT58/Inputs!$B$6</f>
        <v>0</v>
      </c>
      <c r="CS59" s="38">
        <f>Inputs!$B$33</f>
        <v>2500</v>
      </c>
      <c r="CT59" s="38">
        <f t="shared" si="37"/>
        <v>0</v>
      </c>
      <c r="CU59" s="38">
        <f t="shared" si="38"/>
        <v>0</v>
      </c>
      <c r="CV59" s="38">
        <f>Inputs!$B$19*(1-Inputs!$C$73*$H59)+Inputs!$B$21+Inputs!$B$73*$J59</f>
        <v>583500</v>
      </c>
      <c r="CW59" s="38">
        <f t="shared" si="39"/>
        <v>-583500</v>
      </c>
      <c r="CX59" s="38">
        <f t="shared" si="40"/>
        <v>1</v>
      </c>
      <c r="CY59" s="38">
        <f>MAX(0,MIN(Inputs!$C$36,DD58,CZ59+DA59+DB59+Inputs!$C$6-DC58))</f>
        <v>0</v>
      </c>
      <c r="CZ59" s="38">
        <f>Inputs!$C$27*(1+Inputs!$C$28)^($A59/12)*IF(Inputs!$B$73=1,$G59,1)*(1-Inputs!$C$73*$H59*(1-Inputs!$E$54*Inputs!$B$73))*(1+$I59)*IF(Inputs!$C$29=0,1,(MAX(DC58,0)/Inputs!$C$6)^Inputs!$C$29)</f>
        <v>8692.014234183669</v>
      </c>
      <c r="DA59" s="38">
        <f>Inputs!$C$32*DC58/Inputs!$C$6</f>
        <v>3419.8623442548133</v>
      </c>
      <c r="DB59" s="38">
        <f>Inputs!$C$33</f>
        <v>2000</v>
      </c>
      <c r="DC59" s="38">
        <f t="shared" si="41"/>
        <v>391205.14199990983</v>
      </c>
      <c r="DD59" s="38">
        <f t="shared" si="42"/>
        <v>0</v>
      </c>
      <c r="DE59" s="38">
        <f>Inputs!$C$19*(1-Inputs!$C$73*$H59)+Inputs!$C$21+Inputs!$B$73*$J59</f>
        <v>486000</v>
      </c>
      <c r="DF59" s="38">
        <f t="shared" si="43"/>
        <v>-94794.858000090171</v>
      </c>
      <c r="DG59" s="38">
        <f t="shared" si="44"/>
        <v>1</v>
      </c>
      <c r="DH59" s="38">
        <f>MAX(0,MIN(Inputs!$D$36,DM58,DI59+DJ59+DK59+Inputs!$D$6-DL58))</f>
        <v>12243.203485723352</v>
      </c>
      <c r="DI59" s="38">
        <f>Inputs!$D$27*(1+Inputs!$D$28)^($A59/12)*IF(Inputs!$B$73=1,$G59,1)*(1-Inputs!$C$73*$H59*(1-Inputs!$E$54*Inputs!$B$73))*(1+$I59)*IF(Inputs!$D$29=0,1,(MAX(DL58,0)/Inputs!$D$6)^Inputs!$D$29)</f>
        <v>6543.2034857233475</v>
      </c>
      <c r="DJ59" s="38">
        <f>Inputs!$D$32*DL58/Inputs!$D$6</f>
        <v>4200</v>
      </c>
      <c r="DK59" s="38">
        <f>Inputs!$D$33</f>
        <v>1500</v>
      </c>
      <c r="DL59" s="38">
        <f t="shared" si="45"/>
        <v>880000</v>
      </c>
      <c r="DM59" s="38">
        <f t="shared" si="46"/>
        <v>178076.68584820291</v>
      </c>
      <c r="DN59" s="38">
        <f>Inputs!$D$19*(1-Inputs!$C$73*$H59)+Inputs!$D$21+Inputs!$B$73*$J59</f>
        <v>398150</v>
      </c>
      <c r="DO59" s="38">
        <f t="shared" si="47"/>
        <v>481850</v>
      </c>
      <c r="DP59" s="38">
        <f t="shared" si="48"/>
        <v>0</v>
      </c>
    </row>
    <row r="60" spans="1:120" x14ac:dyDescent="0.35">
      <c r="A60" s="29">
        <v>55</v>
      </c>
      <c r="B60" s="34">
        <f>EDATE(Inputs!$B$67,$A60)</f>
        <v>47939</v>
      </c>
      <c r="C60" s="35">
        <f>IF(Inputs!$E$47&lt;=0,Inputs!$E$46,Inputs!$E$44+(Inputs!$E$46-Inputs!$E$44)*MIN($A60/Inputs!$E$47,1))</f>
        <v>0.7</v>
      </c>
      <c r="D60" s="35">
        <f>MIN(Inputs!$E$57,Inputs!$E$55*(1+Inputs!$E$56)^($A60/12))*Inputs!$E$58*(1+Inputs!$E$59)^($A60/12)/Inputs!$E$45</f>
        <v>1.5</v>
      </c>
      <c r="E60" s="35">
        <f>MAX(Inputs!$E$44,MIN(C60,D60))</f>
        <v>0.7</v>
      </c>
      <c r="F60" s="35">
        <f>IF(Inputs!$E$50&lt;=0,Inputs!$E$49,Inputs!$E$48+(Inputs!$E$49-Inputs!$E$48)*MIN($A60/Inputs!$E$50,1))</f>
        <v>0.12</v>
      </c>
      <c r="G60" s="36">
        <f>(Inputs!$E$41*(1-E60*Inputs!$E$51)+Inputs!$E$42*(1-F60*Inputs!$E$51))/(Inputs!$E$41*(1-Inputs!$E$44*Inputs!$E$51)+Inputs!$E$42*(1-Inputs!$E$48*Inputs!$E$51))</f>
        <v>0.8423127463863338</v>
      </c>
      <c r="H60" s="35">
        <f>IF(Inputs!$E$53&lt;=0,Inputs!$E$52,Inputs!$E$52*MIN($A60/Inputs!$E$53,1))</f>
        <v>0.1</v>
      </c>
      <c r="I60" s="35">
        <f>IF(Inputs!$E$64&lt;=0,Inputs!$E$63,Inputs!$E$62+(Inputs!$E$63-Inputs!$E$62)*MIN($A60/Inputs!$E$64,1))</f>
        <v>0.03</v>
      </c>
      <c r="J60" s="37">
        <f>(E60-Inputs!$E$44)*Inputs!$E$45/Inputs!$E$60*Inputs!$E$61</f>
        <v>5999.9999999999991</v>
      </c>
      <c r="K60" s="29">
        <f t="shared" si="0"/>
        <v>0</v>
      </c>
      <c r="L60" s="29"/>
      <c r="M60" s="38">
        <f>MAX(0,MIN(Inputs!$B$36,R59,N60+O60+P60+Inputs!$B$6-Q59))</f>
        <v>0</v>
      </c>
      <c r="N60" s="38">
        <f>Inputs!$B$27*(1+Inputs!$B$28)^($A60/12)*IF(Inputs!$B$70=1,$G60,1)*(1-Inputs!$C$70*$H60*(1-Inputs!$E$54*Inputs!$B$70))*(1+$I60)*IF(Inputs!$B$29=0,1,(MAX(Q59,0)/Inputs!$B$6)^Inputs!$B$29)</f>
        <v>19321.734247522632</v>
      </c>
      <c r="O60" s="38">
        <f>Inputs!$B$32*Q59/Inputs!$B$6</f>
        <v>0</v>
      </c>
      <c r="P60" s="38">
        <f>Inputs!$B$33</f>
        <v>2500</v>
      </c>
      <c r="Q60" s="38">
        <f t="shared" si="1"/>
        <v>0</v>
      </c>
      <c r="R60" s="38">
        <f t="shared" si="2"/>
        <v>0</v>
      </c>
      <c r="S60" s="38">
        <f>Inputs!$B$19*(1-Inputs!$C$70*$H60)+Inputs!$B$21+Inputs!$B$70*$J60</f>
        <v>595000</v>
      </c>
      <c r="T60" s="38">
        <f t="shared" si="3"/>
        <v>-595000</v>
      </c>
      <c r="U60" s="38">
        <f t="shared" si="4"/>
        <v>1</v>
      </c>
      <c r="V60" s="38">
        <f>MAX(0,MIN(Inputs!$C$36,AA59,W60+X60+Y60+Inputs!$C$6-Z59))</f>
        <v>0</v>
      </c>
      <c r="W60" s="38">
        <f>Inputs!$C$27*(1+Inputs!$C$28)^($A60/12)*IF(Inputs!$B$70=1,$G60,1)*(1-Inputs!$C$70*$H60*(1-Inputs!$E$54*Inputs!$B$70))*(1+$I60)*IF(Inputs!$C$29=0,1,(MAX(Z59,0)/Inputs!$C$6)^Inputs!$C$29)</f>
        <v>10217.113553472587</v>
      </c>
      <c r="X60" s="38">
        <f>Inputs!$C$32*Z59/Inputs!$C$6</f>
        <v>2676.8726019679452</v>
      </c>
      <c r="Y60" s="38">
        <f>Inputs!$C$33</f>
        <v>2000</v>
      </c>
      <c r="Z60" s="38">
        <f t="shared" si="5"/>
        <v>302364.98889261228</v>
      </c>
      <c r="AA60" s="38">
        <f t="shared" si="6"/>
        <v>0</v>
      </c>
      <c r="AB60" s="38">
        <f>Inputs!$C$19*(1-Inputs!$C$70*$H60)+Inputs!$C$21+Inputs!$B$70*$J60</f>
        <v>495000</v>
      </c>
      <c r="AC60" s="38">
        <f t="shared" si="7"/>
        <v>-192635.01110738772</v>
      </c>
      <c r="AD60" s="38">
        <f t="shared" si="8"/>
        <v>1</v>
      </c>
      <c r="AE60" s="38">
        <f>MAX(0,MIN(Inputs!$D$36,AJ59,AF60+AG60+AH60+Inputs!$D$6-AI59))</f>
        <v>13842.112191115972</v>
      </c>
      <c r="AF60" s="38">
        <f>Inputs!$D$27*(1+Inputs!$D$28)^($A60/12)*IF(Inputs!$B$70=1,$G60,1)*(1-Inputs!$C$70*$H60*(1-Inputs!$E$54*Inputs!$B$70))*(1+$I60)*IF(Inputs!$D$29=0,1,(MAX(AI59,0)/Inputs!$D$6)^Inputs!$D$29)</f>
        <v>8142.112191115938</v>
      </c>
      <c r="AG60" s="38">
        <f>Inputs!$D$32*AI59/Inputs!$D$6</f>
        <v>4200</v>
      </c>
      <c r="AH60" s="38">
        <f>Inputs!$D$33</f>
        <v>1500</v>
      </c>
      <c r="AI60" s="38">
        <f t="shared" si="9"/>
        <v>880000</v>
      </c>
      <c r="AJ60" s="38">
        <f t="shared" si="10"/>
        <v>96073.306333680986</v>
      </c>
      <c r="AK60" s="38">
        <f>Inputs!$D$19*(1-Inputs!$C$70*$H60)+Inputs!$D$21+Inputs!$B$70*$J60</f>
        <v>404800</v>
      </c>
      <c r="AL60" s="38">
        <f t="shared" si="11"/>
        <v>475200</v>
      </c>
      <c r="AM60" s="38">
        <f t="shared" si="12"/>
        <v>0</v>
      </c>
      <c r="AN60" s="38">
        <f>MAX(0,MIN(Inputs!$B$36,AS59,AO60+AP60+AQ60+Inputs!$B$6-AR59))</f>
        <v>0</v>
      </c>
      <c r="AO60" s="38">
        <f>Inputs!$B$27*(1+Inputs!$B$28)^($A60/12)*IF(Inputs!$B$71=1,$G60,1)*(1-Inputs!$C$71*$H60*(1-Inputs!$E$54*Inputs!$B$71))*(1+$I60)*IF(Inputs!$B$29=0,1,(MAX(AR59,0)/Inputs!$B$6)^Inputs!$B$29)</f>
        <v>16274.943038977673</v>
      </c>
      <c r="AP60" s="38">
        <f>Inputs!$B$32*AR59/Inputs!$B$6</f>
        <v>0</v>
      </c>
      <c r="AQ60" s="38">
        <f>Inputs!$B$33</f>
        <v>2500</v>
      </c>
      <c r="AR60" s="38">
        <f t="shared" si="13"/>
        <v>0</v>
      </c>
      <c r="AS60" s="38">
        <f t="shared" si="14"/>
        <v>0</v>
      </c>
      <c r="AT60" s="38">
        <f>Inputs!$B$19*(1-Inputs!$C$71*$H60)+Inputs!$B$21+Inputs!$B$71*$J60</f>
        <v>601000</v>
      </c>
      <c r="AU60" s="38">
        <f t="shared" si="15"/>
        <v>-601000</v>
      </c>
      <c r="AV60" s="38">
        <f t="shared" si="16"/>
        <v>1</v>
      </c>
      <c r="AW60" s="38">
        <f>MAX(0,MIN(Inputs!$C$36,BB59,AX60+AY60+AZ60+Inputs!$C$6-BA59))</f>
        <v>0</v>
      </c>
      <c r="AX60" s="38">
        <f>Inputs!$C$27*(1+Inputs!$C$28)^($A60/12)*IF(Inputs!$B$71=1,$G60,1)*(1-Inputs!$C$71*$H60*(1-Inputs!$E$54*Inputs!$B$71))*(1+$I60)*IF(Inputs!$C$29=0,1,(MAX(BA59,0)/Inputs!$C$6)^Inputs!$C$29)</f>
        <v>8992.3988363986209</v>
      </c>
      <c r="AY60" s="38">
        <f>Inputs!$C$32*BA59/Inputs!$C$6</f>
        <v>3190.9762659114162</v>
      </c>
      <c r="AZ60" s="38">
        <f>Inputs!$C$33</f>
        <v>2000</v>
      </c>
      <c r="BA60" s="38">
        <f t="shared" si="17"/>
        <v>364006.40456126531</v>
      </c>
      <c r="BB60" s="38">
        <f t="shared" si="18"/>
        <v>0</v>
      </c>
      <c r="BC60" s="38">
        <f>Inputs!$C$19*(1-Inputs!$C$71*$H60)+Inputs!$C$21+Inputs!$B$71*$J60</f>
        <v>501000</v>
      </c>
      <c r="BD60" s="38">
        <f t="shared" si="19"/>
        <v>-136993.59543873469</v>
      </c>
      <c r="BE60" s="38">
        <f t="shared" si="20"/>
        <v>1</v>
      </c>
      <c r="BF60" s="38">
        <f>MAX(0,MIN(Inputs!$D$36,BK59,BG60+BH60+BI60+Inputs!$D$6-BJ59))</f>
        <v>12558.204881084501</v>
      </c>
      <c r="BG60" s="38">
        <f>Inputs!$D$27*(1+Inputs!$D$28)^($A60/12)*IF(Inputs!$B$71=1,$G60,1)*(1-Inputs!$C$71*$H60*(1-Inputs!$E$54*Inputs!$B$71))*(1+$I60)*IF(Inputs!$D$29=0,1,(MAX(BJ59,0)/Inputs!$D$6)^Inputs!$D$29)</f>
        <v>6858.2048810845163</v>
      </c>
      <c r="BH60" s="38">
        <f>Inputs!$D$32*BJ59/Inputs!$D$6</f>
        <v>4200</v>
      </c>
      <c r="BI60" s="38">
        <f>Inputs!$D$33</f>
        <v>1500</v>
      </c>
      <c r="BJ60" s="38">
        <f t="shared" si="21"/>
        <v>880000</v>
      </c>
      <c r="BK60" s="38">
        <f t="shared" si="22"/>
        <v>153966.14023096429</v>
      </c>
      <c r="BL60" s="38">
        <f>Inputs!$D$19*(1-Inputs!$C$71*$H60)+Inputs!$D$21+Inputs!$B$71*$J60</f>
        <v>410800</v>
      </c>
      <c r="BM60" s="38">
        <f t="shared" si="23"/>
        <v>469200</v>
      </c>
      <c r="BN60" s="38">
        <f t="shared" si="24"/>
        <v>0</v>
      </c>
      <c r="BO60" s="38">
        <f>MAX(0,MIN(Inputs!$B$36,BT59,BP60+BQ60+BR60+Inputs!$B$6-BS59))</f>
        <v>0</v>
      </c>
      <c r="BP60" s="38">
        <f>Inputs!$B$27*(1+Inputs!$B$28)^($A60/12)*IF(Inputs!$B$72=1,$G60,1)*(1-Inputs!$C$72*$H60*(1-Inputs!$E$54*Inputs!$B$72))*(1+$I60)*IF(Inputs!$B$29=0,1,(MAX(BS59,0)/Inputs!$B$6)^Inputs!$B$29)</f>
        <v>17389.560822770371</v>
      </c>
      <c r="BQ60" s="38">
        <f>Inputs!$B$32*BS59/Inputs!$B$6</f>
        <v>0</v>
      </c>
      <c r="BR60" s="38">
        <f>Inputs!$B$33</f>
        <v>2500</v>
      </c>
      <c r="BS60" s="38">
        <f t="shared" si="25"/>
        <v>0</v>
      </c>
      <c r="BT60" s="38">
        <f t="shared" si="26"/>
        <v>0</v>
      </c>
      <c r="BU60" s="38">
        <f>Inputs!$B$19*(1-Inputs!$C$72*$H60)+Inputs!$B$21+Inputs!$B$72*$J60</f>
        <v>577500</v>
      </c>
      <c r="BV60" s="38">
        <f t="shared" si="27"/>
        <v>-577500</v>
      </c>
      <c r="BW60" s="38">
        <f t="shared" si="28"/>
        <v>1</v>
      </c>
      <c r="BX60" s="38">
        <f>MAX(0,MIN(Inputs!$C$36,CC59,BY60+BZ60+CA60+Inputs!$C$6-CB59))</f>
        <v>0</v>
      </c>
      <c r="BY60" s="38">
        <f>Inputs!$C$27*(1+Inputs!$C$28)^($A60/12)*IF(Inputs!$B$72=1,$G60,1)*(1-Inputs!$C$72*$H60*(1-Inputs!$E$54*Inputs!$B$72))*(1+$I60)*IF(Inputs!$C$29=0,1,(MAX(CB59,0)/Inputs!$C$6)^Inputs!$C$29)</f>
        <v>9400.5743777192365</v>
      </c>
      <c r="BZ60" s="38">
        <f>Inputs!$C$32*CB59/Inputs!$C$6</f>
        <v>2923.8988463103201</v>
      </c>
      <c r="CA60" s="38">
        <f>Inputs!$C$33</f>
        <v>2000</v>
      </c>
      <c r="CB60" s="38">
        <f t="shared" si="29"/>
        <v>332211.68633867503</v>
      </c>
      <c r="CC60" s="38">
        <f t="shared" si="30"/>
        <v>0</v>
      </c>
      <c r="CD60" s="38">
        <f>Inputs!$C$19*(1-Inputs!$C$72*$H60)+Inputs!$C$21+Inputs!$B$72*$J60</f>
        <v>480000</v>
      </c>
      <c r="CE60" s="38">
        <f t="shared" si="31"/>
        <v>-147788.31366132497</v>
      </c>
      <c r="CF60" s="38">
        <f t="shared" si="32"/>
        <v>1</v>
      </c>
      <c r="CG60" s="38">
        <f>MAX(0,MIN(Inputs!$D$36,CL59,CH60+CI60+CJ60+Inputs!$D$6-CK59))</f>
        <v>13027.900972004398</v>
      </c>
      <c r="CH60" s="38">
        <f>Inputs!$D$27*(1+Inputs!$D$28)^($A60/12)*IF(Inputs!$B$72=1,$G60,1)*(1-Inputs!$C$72*$H60*(1-Inputs!$E$54*Inputs!$B$72))*(1+$I60)*IF(Inputs!$D$29=0,1,(MAX(CK59,0)/Inputs!$D$6)^Inputs!$D$29)</f>
        <v>7327.9009720043441</v>
      </c>
      <c r="CI60" s="38">
        <f>Inputs!$D$32*CK59/Inputs!$D$6</f>
        <v>4200</v>
      </c>
      <c r="CJ60" s="38">
        <f>Inputs!$D$33</f>
        <v>1500</v>
      </c>
      <c r="CK60" s="38">
        <f t="shared" si="33"/>
        <v>880000</v>
      </c>
      <c r="CL60" s="38">
        <f t="shared" si="34"/>
        <v>123793.73039040365</v>
      </c>
      <c r="CM60" s="38">
        <f>Inputs!$D$19*(1-Inputs!$C$72*$H60)+Inputs!$D$21+Inputs!$B$72*$J60</f>
        <v>392150</v>
      </c>
      <c r="CN60" s="38">
        <f t="shared" si="35"/>
        <v>487850</v>
      </c>
      <c r="CO60" s="38">
        <f t="shared" si="36"/>
        <v>0</v>
      </c>
      <c r="CP60" s="38">
        <f>MAX(0,MIN(Inputs!$B$36,CU59,CQ60+CR60+CS60+Inputs!$B$6-CT59))</f>
        <v>0</v>
      </c>
      <c r="CQ60" s="38">
        <f>Inputs!$B$27*(1+Inputs!$B$28)^($A60/12)*IF(Inputs!$B$73=1,$G60,1)*(1-Inputs!$C$73*$H60*(1-Inputs!$E$54*Inputs!$B$73))*(1+$I60)*IF(Inputs!$B$29=0,1,(MAX(CT59,0)/Inputs!$B$6)^Inputs!$B$29)</f>
        <v>15461.195887028789</v>
      </c>
      <c r="CR60" s="38">
        <f>Inputs!$B$32*CT59/Inputs!$B$6</f>
        <v>0</v>
      </c>
      <c r="CS60" s="38">
        <f>Inputs!$B$33</f>
        <v>2500</v>
      </c>
      <c r="CT60" s="38">
        <f t="shared" si="37"/>
        <v>0</v>
      </c>
      <c r="CU60" s="38">
        <f t="shared" si="38"/>
        <v>0</v>
      </c>
      <c r="CV60" s="38">
        <f>Inputs!$B$19*(1-Inputs!$C$73*$H60)+Inputs!$B$21+Inputs!$B$73*$J60</f>
        <v>583500</v>
      </c>
      <c r="CW60" s="38">
        <f t="shared" si="39"/>
        <v>-583500</v>
      </c>
      <c r="CX60" s="38">
        <f t="shared" si="40"/>
        <v>1</v>
      </c>
      <c r="CY60" s="38">
        <f>MAX(0,MIN(Inputs!$C$36,DD59,CZ60+DA60+DB60+Inputs!$C$6-DC59))</f>
        <v>0</v>
      </c>
      <c r="CZ60" s="38">
        <f>Inputs!$C$27*(1+Inputs!$C$28)^($A60/12)*IF(Inputs!$B$73=1,$G60,1)*(1-Inputs!$C$73*$H60*(1-Inputs!$E$54*Inputs!$B$73))*(1+$I60)*IF(Inputs!$C$29=0,1,(MAX(DC59,0)/Inputs!$C$6)^Inputs!$C$29)</f>
        <v>8615.3486551212682</v>
      </c>
      <c r="DA60" s="38">
        <f>Inputs!$C$32*DC59/Inputs!$C$6</f>
        <v>3300.7933856242389</v>
      </c>
      <c r="DB60" s="38">
        <f>Inputs!$C$33</f>
        <v>2000</v>
      </c>
      <c r="DC60" s="38">
        <f t="shared" si="41"/>
        <v>377288.9999591643</v>
      </c>
      <c r="DD60" s="38">
        <f t="shared" si="42"/>
        <v>0</v>
      </c>
      <c r="DE60" s="38">
        <f>Inputs!$C$19*(1-Inputs!$C$73*$H60)+Inputs!$C$21+Inputs!$B$73*$J60</f>
        <v>486000</v>
      </c>
      <c r="DF60" s="38">
        <f t="shared" si="43"/>
        <v>-108711.0000408357</v>
      </c>
      <c r="DG60" s="38">
        <f t="shared" si="44"/>
        <v>1</v>
      </c>
      <c r="DH60" s="38">
        <f>MAX(0,MIN(Inputs!$D$36,DM59,DI60+DJ60+DK60+Inputs!$D$6-DL59))</f>
        <v>12215.29463703034</v>
      </c>
      <c r="DI60" s="38">
        <f>Inputs!$D$27*(1+Inputs!$D$28)^($A60/12)*IF(Inputs!$B$73=1,$G60,1)*(1-Inputs!$C$73*$H60*(1-Inputs!$E$54*Inputs!$B$73))*(1+$I60)*IF(Inputs!$D$29=0,1,(MAX(DL59,0)/Inputs!$D$6)^Inputs!$D$29)</f>
        <v>6515.2946370302907</v>
      </c>
      <c r="DJ60" s="38">
        <f>Inputs!$D$32*DL59/Inputs!$D$6</f>
        <v>4200</v>
      </c>
      <c r="DK60" s="38">
        <f>Inputs!$D$33</f>
        <v>1500</v>
      </c>
      <c r="DL60" s="38">
        <f t="shared" si="45"/>
        <v>880000</v>
      </c>
      <c r="DM60" s="38">
        <f t="shared" si="46"/>
        <v>165861.39121117257</v>
      </c>
      <c r="DN60" s="38">
        <f>Inputs!$D$19*(1-Inputs!$C$73*$H60)+Inputs!$D$21+Inputs!$B$73*$J60</f>
        <v>398150</v>
      </c>
      <c r="DO60" s="38">
        <f t="shared" si="47"/>
        <v>481850</v>
      </c>
      <c r="DP60" s="38">
        <f t="shared" si="48"/>
        <v>0</v>
      </c>
    </row>
    <row r="61" spans="1:120" x14ac:dyDescent="0.35">
      <c r="A61" s="29">
        <v>56</v>
      </c>
      <c r="B61" s="34">
        <f>EDATE(Inputs!$B$67,$A61)</f>
        <v>47969</v>
      </c>
      <c r="C61" s="35">
        <f>IF(Inputs!$E$47&lt;=0,Inputs!$E$46,Inputs!$E$44+(Inputs!$E$46-Inputs!$E$44)*MIN($A61/Inputs!$E$47,1))</f>
        <v>0.7</v>
      </c>
      <c r="D61" s="35">
        <f>MIN(Inputs!$E$57,Inputs!$E$55*(1+Inputs!$E$56)^($A61/12))*Inputs!$E$58*(1+Inputs!$E$59)^($A61/12)/Inputs!$E$45</f>
        <v>1.5</v>
      </c>
      <c r="E61" s="35">
        <f>MAX(Inputs!$E$44,MIN(C61,D61))</f>
        <v>0.7</v>
      </c>
      <c r="F61" s="35">
        <f>IF(Inputs!$E$50&lt;=0,Inputs!$E$49,Inputs!$E$48+(Inputs!$E$49-Inputs!$E$48)*MIN($A61/Inputs!$E$50,1))</f>
        <v>0.12</v>
      </c>
      <c r="G61" s="36">
        <f>(Inputs!$E$41*(1-E61*Inputs!$E$51)+Inputs!$E$42*(1-F61*Inputs!$E$51))/(Inputs!$E$41*(1-Inputs!$E$44*Inputs!$E$51)+Inputs!$E$42*(1-Inputs!$E$48*Inputs!$E$51))</f>
        <v>0.8423127463863338</v>
      </c>
      <c r="H61" s="35">
        <f>IF(Inputs!$E$53&lt;=0,Inputs!$E$52,Inputs!$E$52*MIN($A61/Inputs!$E$53,1))</f>
        <v>0.1</v>
      </c>
      <c r="I61" s="35">
        <f>IF(Inputs!$E$64&lt;=0,Inputs!$E$63,Inputs!$E$62+(Inputs!$E$63-Inputs!$E$62)*MIN($A61/Inputs!$E$64,1))</f>
        <v>0.03</v>
      </c>
      <c r="J61" s="37">
        <f>(E61-Inputs!$E$44)*Inputs!$E$45/Inputs!$E$60*Inputs!$E$61</f>
        <v>5999.9999999999991</v>
      </c>
      <c r="K61" s="29">
        <f t="shared" si="0"/>
        <v>0</v>
      </c>
      <c r="L61" s="29"/>
      <c r="M61" s="38">
        <f>MAX(0,MIN(Inputs!$B$36,R60,N61+O61+P61+Inputs!$B$6-Q60))</f>
        <v>0</v>
      </c>
      <c r="N61" s="38">
        <f>Inputs!$B$27*(1+Inputs!$B$28)^($A61/12)*IF(Inputs!$B$70=1,$G61,1)*(1-Inputs!$C$70*$H61*(1-Inputs!$E$54*Inputs!$B$70))*(1+$I61)*IF(Inputs!$B$29=0,1,(MAX(Q60,0)/Inputs!$B$6)^Inputs!$B$29)</f>
        <v>19400.453384561799</v>
      </c>
      <c r="O61" s="38">
        <f>Inputs!$B$32*Q60/Inputs!$B$6</f>
        <v>0</v>
      </c>
      <c r="P61" s="38">
        <f>Inputs!$B$33</f>
        <v>2500</v>
      </c>
      <c r="Q61" s="38">
        <f t="shared" si="1"/>
        <v>0</v>
      </c>
      <c r="R61" s="38">
        <f t="shared" si="2"/>
        <v>0</v>
      </c>
      <c r="S61" s="38">
        <f>Inputs!$B$19*(1-Inputs!$C$70*$H61)+Inputs!$B$21+Inputs!$B$70*$J61</f>
        <v>595000</v>
      </c>
      <c r="T61" s="38">
        <f t="shared" si="3"/>
        <v>-595000</v>
      </c>
      <c r="U61" s="38">
        <f t="shared" si="4"/>
        <v>1</v>
      </c>
      <c r="V61" s="38">
        <f>MAX(0,MIN(Inputs!$C$36,AA60,W61+X61+Y61+Inputs!$C$6-Z60))</f>
        <v>0</v>
      </c>
      <c r="W61" s="38">
        <f>Inputs!$C$27*(1+Inputs!$C$28)^($A61/12)*IF(Inputs!$B$70=1,$G61,1)*(1-Inputs!$C$70*$H61*(1-Inputs!$E$54*Inputs!$B$70))*(1+$I61)*IF(Inputs!$C$29=0,1,(MAX(Z60,0)/Inputs!$C$6)^Inputs!$C$29)</f>
        <v>10095.030061953332</v>
      </c>
      <c r="X61" s="38">
        <f>Inputs!$C$32*Z60/Inputs!$C$6</f>
        <v>2551.204593781416</v>
      </c>
      <c r="Y61" s="38">
        <f>Inputs!$C$33</f>
        <v>2000</v>
      </c>
      <c r="Z61" s="38">
        <f t="shared" si="5"/>
        <v>287718.75423687749</v>
      </c>
      <c r="AA61" s="38">
        <f t="shared" si="6"/>
        <v>0</v>
      </c>
      <c r="AB61" s="38">
        <f>Inputs!$C$19*(1-Inputs!$C$70*$H61)+Inputs!$C$21+Inputs!$B$70*$J61</f>
        <v>495000</v>
      </c>
      <c r="AC61" s="38">
        <f t="shared" si="7"/>
        <v>-207281.24576312251</v>
      </c>
      <c r="AD61" s="38">
        <f t="shared" si="8"/>
        <v>1</v>
      </c>
      <c r="AE61" s="38">
        <f>MAX(0,MIN(Inputs!$D$36,AJ60,AF61+AG61+AH61+Inputs!$D$6-AI60))</f>
        <v>13807.383487098152</v>
      </c>
      <c r="AF61" s="38">
        <f>Inputs!$D$27*(1+Inputs!$D$28)^($A61/12)*IF(Inputs!$B$70=1,$G61,1)*(1-Inputs!$C$70*$H61*(1-Inputs!$E$54*Inputs!$B$70))*(1+$I61)*IF(Inputs!$D$29=0,1,(MAX(AI60,0)/Inputs!$D$6)^Inputs!$D$29)</f>
        <v>8107.3834870981655</v>
      </c>
      <c r="AG61" s="38">
        <f>Inputs!$D$32*AI60/Inputs!$D$6</f>
        <v>4200</v>
      </c>
      <c r="AH61" s="38">
        <f>Inputs!$D$33</f>
        <v>1500</v>
      </c>
      <c r="AI61" s="38">
        <f t="shared" si="9"/>
        <v>880000</v>
      </c>
      <c r="AJ61" s="38">
        <f t="shared" si="10"/>
        <v>82265.922846582835</v>
      </c>
      <c r="AK61" s="38">
        <f>Inputs!$D$19*(1-Inputs!$C$70*$H61)+Inputs!$D$21+Inputs!$B$70*$J61</f>
        <v>404800</v>
      </c>
      <c r="AL61" s="38">
        <f t="shared" si="11"/>
        <v>475200</v>
      </c>
      <c r="AM61" s="38">
        <f t="shared" si="12"/>
        <v>0</v>
      </c>
      <c r="AN61" s="38">
        <f>MAX(0,MIN(Inputs!$B$36,AS60,AO61+AP61+AQ61+Inputs!$B$6-AR60))</f>
        <v>0</v>
      </c>
      <c r="AO61" s="38">
        <f>Inputs!$B$27*(1+Inputs!$B$28)^($A61/12)*IF(Inputs!$B$71=1,$G61,1)*(1-Inputs!$C$71*$H61*(1-Inputs!$E$54*Inputs!$B$71))*(1+$I61)*IF(Inputs!$B$29=0,1,(MAX(AR60,0)/Inputs!$B$6)^Inputs!$B$29)</f>
        <v>16341.249171490295</v>
      </c>
      <c r="AP61" s="38">
        <f>Inputs!$B$32*AR60/Inputs!$B$6</f>
        <v>0</v>
      </c>
      <c r="AQ61" s="38">
        <f>Inputs!$B$33</f>
        <v>2500</v>
      </c>
      <c r="AR61" s="38">
        <f t="shared" si="13"/>
        <v>0</v>
      </c>
      <c r="AS61" s="38">
        <f t="shared" si="14"/>
        <v>0</v>
      </c>
      <c r="AT61" s="38">
        <f>Inputs!$B$19*(1-Inputs!$C$71*$H61)+Inputs!$B$21+Inputs!$B$71*$J61</f>
        <v>601000</v>
      </c>
      <c r="AU61" s="38">
        <f t="shared" si="15"/>
        <v>-601000</v>
      </c>
      <c r="AV61" s="38">
        <f t="shared" si="16"/>
        <v>1</v>
      </c>
      <c r="AW61" s="38">
        <f>MAX(0,MIN(Inputs!$C$36,BB60,AX61+AY61+AZ61+Inputs!$C$6-BA60))</f>
        <v>0</v>
      </c>
      <c r="AX61" s="38">
        <f>Inputs!$C$27*(1+Inputs!$C$28)^($A61/12)*IF(Inputs!$B$71=1,$G61,1)*(1-Inputs!$C$71*$H61*(1-Inputs!$E$54*Inputs!$B$71))*(1+$I61)*IF(Inputs!$C$29=0,1,(MAX(BA60,0)/Inputs!$C$6)^Inputs!$C$29)</f>
        <v>8906.8752569997159</v>
      </c>
      <c r="AY61" s="38">
        <f>Inputs!$C$32*BA60/Inputs!$C$6</f>
        <v>3071.3040384856754</v>
      </c>
      <c r="AZ61" s="38">
        <f>Inputs!$C$33</f>
        <v>2000</v>
      </c>
      <c r="BA61" s="38">
        <f t="shared" si="17"/>
        <v>350028.22526577994</v>
      </c>
      <c r="BB61" s="38">
        <f t="shared" si="18"/>
        <v>0</v>
      </c>
      <c r="BC61" s="38">
        <f>Inputs!$C$19*(1-Inputs!$C$71*$H61)+Inputs!$C$21+Inputs!$B$71*$J61</f>
        <v>501000</v>
      </c>
      <c r="BD61" s="38">
        <f t="shared" si="19"/>
        <v>-150971.77473422006</v>
      </c>
      <c r="BE61" s="38">
        <f t="shared" si="20"/>
        <v>1</v>
      </c>
      <c r="BF61" s="38">
        <f>MAX(0,MIN(Inputs!$D$36,BK60,BG61+BH61+BI61+Inputs!$D$6-BJ60))</f>
        <v>12528.952451024903</v>
      </c>
      <c r="BG61" s="38">
        <f>Inputs!$D$27*(1+Inputs!$D$28)^($A61/12)*IF(Inputs!$B$71=1,$G61,1)*(1-Inputs!$C$71*$H61*(1-Inputs!$E$54*Inputs!$B$71))*(1+$I61)*IF(Inputs!$D$29=0,1,(MAX(BJ60,0)/Inputs!$D$6)^Inputs!$D$29)</f>
        <v>6828.9524510248675</v>
      </c>
      <c r="BH61" s="38">
        <f>Inputs!$D$32*BJ60/Inputs!$D$6</f>
        <v>4200</v>
      </c>
      <c r="BI61" s="38">
        <f>Inputs!$D$33</f>
        <v>1500</v>
      </c>
      <c r="BJ61" s="38">
        <f t="shared" si="21"/>
        <v>880000</v>
      </c>
      <c r="BK61" s="38">
        <f t="shared" si="22"/>
        <v>141437.18777993938</v>
      </c>
      <c r="BL61" s="38">
        <f>Inputs!$D$19*(1-Inputs!$C$71*$H61)+Inputs!$D$21+Inputs!$B$71*$J61</f>
        <v>410800</v>
      </c>
      <c r="BM61" s="38">
        <f t="shared" si="23"/>
        <v>469200</v>
      </c>
      <c r="BN61" s="38">
        <f t="shared" si="24"/>
        <v>0</v>
      </c>
      <c r="BO61" s="38">
        <f>MAX(0,MIN(Inputs!$B$36,BT60,BP61+BQ61+BR61+Inputs!$B$6-BS60))</f>
        <v>0</v>
      </c>
      <c r="BP61" s="38">
        <f>Inputs!$B$27*(1+Inputs!$B$28)^($A61/12)*IF(Inputs!$B$72=1,$G61,1)*(1-Inputs!$C$72*$H61*(1-Inputs!$E$54*Inputs!$B$72))*(1+$I61)*IF(Inputs!$B$29=0,1,(MAX(BS60,0)/Inputs!$B$6)^Inputs!$B$29)</f>
        <v>17460.408046105622</v>
      </c>
      <c r="BQ61" s="38">
        <f>Inputs!$B$32*BS60/Inputs!$B$6</f>
        <v>0</v>
      </c>
      <c r="BR61" s="38">
        <f>Inputs!$B$33</f>
        <v>2500</v>
      </c>
      <c r="BS61" s="38">
        <f t="shared" si="25"/>
        <v>0</v>
      </c>
      <c r="BT61" s="38">
        <f t="shared" si="26"/>
        <v>0</v>
      </c>
      <c r="BU61" s="38">
        <f>Inputs!$B$19*(1-Inputs!$C$72*$H61)+Inputs!$B$21+Inputs!$B$72*$J61</f>
        <v>577500</v>
      </c>
      <c r="BV61" s="38">
        <f t="shared" si="27"/>
        <v>-577500</v>
      </c>
      <c r="BW61" s="38">
        <f t="shared" si="28"/>
        <v>1</v>
      </c>
      <c r="BX61" s="38">
        <f>MAX(0,MIN(Inputs!$C$36,CC60,BY61+BZ61+CA61+Inputs!$C$6-CB60))</f>
        <v>0</v>
      </c>
      <c r="BY61" s="38">
        <f>Inputs!$C$27*(1+Inputs!$C$28)^($A61/12)*IF(Inputs!$B$72=1,$G61,1)*(1-Inputs!$C$72*$H61*(1-Inputs!$E$54*Inputs!$B$72))*(1+$I61)*IF(Inputs!$C$29=0,1,(MAX(CB60,0)/Inputs!$C$6)^Inputs!$C$29)</f>
        <v>9301.8852323439496</v>
      </c>
      <c r="BZ61" s="38">
        <f>Inputs!$C$32*CB60/Inputs!$C$6</f>
        <v>2803.0361034825701</v>
      </c>
      <c r="CA61" s="38">
        <f>Inputs!$C$33</f>
        <v>2000</v>
      </c>
      <c r="CB61" s="38">
        <f t="shared" si="29"/>
        <v>318106.76500284846</v>
      </c>
      <c r="CC61" s="38">
        <f t="shared" si="30"/>
        <v>0</v>
      </c>
      <c r="CD61" s="38">
        <f>Inputs!$C$19*(1-Inputs!$C$72*$H61)+Inputs!$C$21+Inputs!$B$72*$J61</f>
        <v>480000</v>
      </c>
      <c r="CE61" s="38">
        <f t="shared" si="31"/>
        <v>-161893.23499715154</v>
      </c>
      <c r="CF61" s="38">
        <f t="shared" si="32"/>
        <v>1</v>
      </c>
      <c r="CG61" s="38">
        <f>MAX(0,MIN(Inputs!$D$36,CL60,CH61+CI61+CJ61+Inputs!$D$6-CK60))</f>
        <v>12996.645138388383</v>
      </c>
      <c r="CH61" s="38">
        <f>Inputs!$D$27*(1+Inputs!$D$28)^($A61/12)*IF(Inputs!$B$72=1,$G61,1)*(1-Inputs!$C$72*$H61*(1-Inputs!$E$54*Inputs!$B$72))*(1+$I61)*IF(Inputs!$D$29=0,1,(MAX(CK60,0)/Inputs!$D$6)^Inputs!$D$29)</f>
        <v>7296.6451383883486</v>
      </c>
      <c r="CI61" s="38">
        <f>Inputs!$D$32*CK60/Inputs!$D$6</f>
        <v>4200</v>
      </c>
      <c r="CJ61" s="38">
        <f>Inputs!$D$33</f>
        <v>1500</v>
      </c>
      <c r="CK61" s="38">
        <f t="shared" si="33"/>
        <v>880000</v>
      </c>
      <c r="CL61" s="38">
        <f t="shared" si="34"/>
        <v>110797.08525201527</v>
      </c>
      <c r="CM61" s="38">
        <f>Inputs!$D$19*(1-Inputs!$C$72*$H61)+Inputs!$D$21+Inputs!$B$72*$J61</f>
        <v>392150</v>
      </c>
      <c r="CN61" s="38">
        <f t="shared" si="35"/>
        <v>487850</v>
      </c>
      <c r="CO61" s="38">
        <f t="shared" si="36"/>
        <v>0</v>
      </c>
      <c r="CP61" s="38">
        <f>MAX(0,MIN(Inputs!$B$36,CU60,CQ61+CR61+CS61+Inputs!$B$6-CT60))</f>
        <v>0</v>
      </c>
      <c r="CQ61" s="38">
        <f>Inputs!$B$27*(1+Inputs!$B$28)^($A61/12)*IF(Inputs!$B$73=1,$G61,1)*(1-Inputs!$C$73*$H61*(1-Inputs!$E$54*Inputs!$B$73))*(1+$I61)*IF(Inputs!$B$29=0,1,(MAX(CT60,0)/Inputs!$B$6)^Inputs!$B$29)</f>
        <v>15524.18671291578</v>
      </c>
      <c r="CR61" s="38">
        <f>Inputs!$B$32*CT60/Inputs!$B$6</f>
        <v>0</v>
      </c>
      <c r="CS61" s="38">
        <f>Inputs!$B$33</f>
        <v>2500</v>
      </c>
      <c r="CT61" s="38">
        <f t="shared" si="37"/>
        <v>0</v>
      </c>
      <c r="CU61" s="38">
        <f t="shared" si="38"/>
        <v>0</v>
      </c>
      <c r="CV61" s="38">
        <f>Inputs!$B$19*(1-Inputs!$C$73*$H61)+Inputs!$B$21+Inputs!$B$73*$J61</f>
        <v>583500</v>
      </c>
      <c r="CW61" s="38">
        <f t="shared" si="39"/>
        <v>-583500</v>
      </c>
      <c r="CX61" s="38">
        <f t="shared" si="40"/>
        <v>1</v>
      </c>
      <c r="CY61" s="38">
        <f>MAX(0,MIN(Inputs!$C$36,DD60,CZ61+DA61+DB61+Inputs!$C$6-DC60))</f>
        <v>0</v>
      </c>
      <c r="CZ61" s="38">
        <f>Inputs!$C$27*(1+Inputs!$C$28)^($A61/12)*IF(Inputs!$B$73=1,$G61,1)*(1-Inputs!$C$73*$H61*(1-Inputs!$E$54*Inputs!$B$73))*(1+$I61)*IF(Inputs!$C$29=0,1,(MAX(DC60,0)/Inputs!$C$6)^Inputs!$C$29)</f>
        <v>8537.6875059368722</v>
      </c>
      <c r="DA61" s="38">
        <f>Inputs!$C$32*DC60/Inputs!$C$6</f>
        <v>3183.3759371554484</v>
      </c>
      <c r="DB61" s="38">
        <f>Inputs!$C$33</f>
        <v>2000</v>
      </c>
      <c r="DC61" s="38">
        <f t="shared" si="41"/>
        <v>363567.93651607196</v>
      </c>
      <c r="DD61" s="38">
        <f t="shared" si="42"/>
        <v>0</v>
      </c>
      <c r="DE61" s="38">
        <f>Inputs!$C$19*(1-Inputs!$C$73*$H61)+Inputs!$C$21+Inputs!$B$73*$J61</f>
        <v>486000</v>
      </c>
      <c r="DF61" s="38">
        <f t="shared" si="43"/>
        <v>-122432.06348392804</v>
      </c>
      <c r="DG61" s="38">
        <f t="shared" si="44"/>
        <v>1</v>
      </c>
      <c r="DH61" s="38">
        <f>MAX(0,MIN(Inputs!$D$36,DM60,DI61+DJ61+DK61+Inputs!$D$6-DL60))</f>
        <v>12187.504828473669</v>
      </c>
      <c r="DI61" s="38">
        <f>Inputs!$D$27*(1+Inputs!$D$28)^($A61/12)*IF(Inputs!$B$73=1,$G61,1)*(1-Inputs!$C$73*$H61*(1-Inputs!$E$54*Inputs!$B$73))*(1+$I61)*IF(Inputs!$D$29=0,1,(MAX(DL60,0)/Inputs!$D$6)^Inputs!$D$29)</f>
        <v>6487.504828473624</v>
      </c>
      <c r="DJ61" s="38">
        <f>Inputs!$D$32*DL60/Inputs!$D$6</f>
        <v>4200</v>
      </c>
      <c r="DK61" s="38">
        <f>Inputs!$D$33</f>
        <v>1500</v>
      </c>
      <c r="DL61" s="38">
        <f t="shared" si="45"/>
        <v>880000</v>
      </c>
      <c r="DM61" s="38">
        <f t="shared" si="46"/>
        <v>153673.8863826989</v>
      </c>
      <c r="DN61" s="38">
        <f>Inputs!$D$19*(1-Inputs!$C$73*$H61)+Inputs!$D$21+Inputs!$B$73*$J61</f>
        <v>398150</v>
      </c>
      <c r="DO61" s="38">
        <f t="shared" si="47"/>
        <v>481850</v>
      </c>
      <c r="DP61" s="38">
        <f t="shared" si="48"/>
        <v>0</v>
      </c>
    </row>
    <row r="62" spans="1:120" x14ac:dyDescent="0.35">
      <c r="A62" s="29">
        <v>57</v>
      </c>
      <c r="B62" s="34">
        <f>EDATE(Inputs!$B$67,$A62)</f>
        <v>48000</v>
      </c>
      <c r="C62" s="35">
        <f>IF(Inputs!$E$47&lt;=0,Inputs!$E$46,Inputs!$E$44+(Inputs!$E$46-Inputs!$E$44)*MIN($A62/Inputs!$E$47,1))</f>
        <v>0.7</v>
      </c>
      <c r="D62" s="35">
        <f>MIN(Inputs!$E$57,Inputs!$E$55*(1+Inputs!$E$56)^($A62/12))*Inputs!$E$58*(1+Inputs!$E$59)^($A62/12)/Inputs!$E$45</f>
        <v>1.5</v>
      </c>
      <c r="E62" s="35">
        <f>MAX(Inputs!$E$44,MIN(C62,D62))</f>
        <v>0.7</v>
      </c>
      <c r="F62" s="35">
        <f>IF(Inputs!$E$50&lt;=0,Inputs!$E$49,Inputs!$E$48+(Inputs!$E$49-Inputs!$E$48)*MIN($A62/Inputs!$E$50,1))</f>
        <v>0.12</v>
      </c>
      <c r="G62" s="36">
        <f>(Inputs!$E$41*(1-E62*Inputs!$E$51)+Inputs!$E$42*(1-F62*Inputs!$E$51))/(Inputs!$E$41*(1-Inputs!$E$44*Inputs!$E$51)+Inputs!$E$42*(1-Inputs!$E$48*Inputs!$E$51))</f>
        <v>0.8423127463863338</v>
      </c>
      <c r="H62" s="35">
        <f>IF(Inputs!$E$53&lt;=0,Inputs!$E$52,Inputs!$E$52*MIN($A62/Inputs!$E$53,1))</f>
        <v>0.1</v>
      </c>
      <c r="I62" s="35">
        <f>IF(Inputs!$E$64&lt;=0,Inputs!$E$63,Inputs!$E$62+(Inputs!$E$63-Inputs!$E$62)*MIN($A62/Inputs!$E$64,1))</f>
        <v>0.03</v>
      </c>
      <c r="J62" s="37">
        <f>(E62-Inputs!$E$44)*Inputs!$E$45/Inputs!$E$60*Inputs!$E$61</f>
        <v>5999.9999999999991</v>
      </c>
      <c r="K62" s="29">
        <f t="shared" si="0"/>
        <v>0</v>
      </c>
      <c r="L62" s="29"/>
      <c r="M62" s="38">
        <f>MAX(0,MIN(Inputs!$B$36,R61,N62+O62+P62+Inputs!$B$6-Q61))</f>
        <v>0</v>
      </c>
      <c r="N62" s="38">
        <f>Inputs!$B$27*(1+Inputs!$B$28)^($A62/12)*IF(Inputs!$B$70=1,$G62,1)*(1-Inputs!$C$70*$H62*(1-Inputs!$E$54*Inputs!$B$70))*(1+$I62)*IF(Inputs!$B$29=0,1,(MAX(Q61,0)/Inputs!$B$6)^Inputs!$B$29)</f>
        <v>19479.493233109402</v>
      </c>
      <c r="O62" s="38">
        <f>Inputs!$B$32*Q61/Inputs!$B$6</f>
        <v>0</v>
      </c>
      <c r="P62" s="38">
        <f>Inputs!$B$33</f>
        <v>2500</v>
      </c>
      <c r="Q62" s="38">
        <f t="shared" si="1"/>
        <v>0</v>
      </c>
      <c r="R62" s="38">
        <f t="shared" si="2"/>
        <v>0</v>
      </c>
      <c r="S62" s="38">
        <f>Inputs!$B$19*(1-Inputs!$C$70*$H62)+Inputs!$B$21+Inputs!$B$70*$J62</f>
        <v>595000</v>
      </c>
      <c r="T62" s="38">
        <f t="shared" si="3"/>
        <v>-595000</v>
      </c>
      <c r="U62" s="38">
        <f t="shared" si="4"/>
        <v>1</v>
      </c>
      <c r="V62" s="38">
        <f>MAX(0,MIN(Inputs!$C$36,AA61,W62+X62+Y62+Inputs!$C$6-Z61))</f>
        <v>0</v>
      </c>
      <c r="W62" s="38">
        <f>Inputs!$C$27*(1+Inputs!$C$28)^($A62/12)*IF(Inputs!$B$70=1,$G62,1)*(1-Inputs!$C$70*$H62*(1-Inputs!$E$54*Inputs!$B$70))*(1+$I62)*IF(Inputs!$C$29=0,1,(MAX(Z61,0)/Inputs!$C$6)^Inputs!$C$29)</f>
        <v>9970.4964631519906</v>
      </c>
      <c r="X62" s="38">
        <f>Inputs!$C$32*Z61/Inputs!$C$6</f>
        <v>2427.6269888736533</v>
      </c>
      <c r="Y62" s="38">
        <f>Inputs!$C$33</f>
        <v>2000</v>
      </c>
      <c r="Z62" s="38">
        <f t="shared" si="5"/>
        <v>273320.63078485185</v>
      </c>
      <c r="AA62" s="38">
        <f t="shared" si="6"/>
        <v>0</v>
      </c>
      <c r="AB62" s="38">
        <f>Inputs!$C$19*(1-Inputs!$C$70*$H62)+Inputs!$C$21+Inputs!$B$70*$J62</f>
        <v>495000</v>
      </c>
      <c r="AC62" s="38">
        <f t="shared" si="7"/>
        <v>-221679.36921514815</v>
      </c>
      <c r="AD62" s="38">
        <f t="shared" si="8"/>
        <v>1</v>
      </c>
      <c r="AE62" s="38">
        <f>MAX(0,MIN(Inputs!$D$36,AJ61,AF62+AG62+AH62+Inputs!$D$6-AI61))</f>
        <v>13772.802912073792</v>
      </c>
      <c r="AF62" s="38">
        <f>Inputs!$D$27*(1+Inputs!$D$28)^($A62/12)*IF(Inputs!$B$70=1,$G62,1)*(1-Inputs!$C$70*$H62*(1-Inputs!$E$54*Inputs!$B$70))*(1+$I62)*IF(Inputs!$D$29=0,1,(MAX(AI61,0)/Inputs!$D$6)^Inputs!$D$29)</f>
        <v>8072.802912073761</v>
      </c>
      <c r="AG62" s="38">
        <f>Inputs!$D$32*AI61/Inputs!$D$6</f>
        <v>4200</v>
      </c>
      <c r="AH62" s="38">
        <f>Inputs!$D$33</f>
        <v>1500</v>
      </c>
      <c r="AI62" s="38">
        <f t="shared" si="9"/>
        <v>880000</v>
      </c>
      <c r="AJ62" s="38">
        <f t="shared" si="10"/>
        <v>68493.119934509043</v>
      </c>
      <c r="AK62" s="38">
        <f>Inputs!$D$19*(1-Inputs!$C$70*$H62)+Inputs!$D$21+Inputs!$B$70*$J62</f>
        <v>404800</v>
      </c>
      <c r="AL62" s="38">
        <f t="shared" si="11"/>
        <v>475200</v>
      </c>
      <c r="AM62" s="38">
        <f t="shared" si="12"/>
        <v>0</v>
      </c>
      <c r="AN62" s="38">
        <f>MAX(0,MIN(Inputs!$B$36,AS61,AO62+AP62+AQ62+Inputs!$B$6-AR61))</f>
        <v>0</v>
      </c>
      <c r="AO62" s="38">
        <f>Inputs!$B$27*(1+Inputs!$B$28)^($A62/12)*IF(Inputs!$B$71=1,$G62,1)*(1-Inputs!$C$71*$H62*(1-Inputs!$E$54*Inputs!$B$71))*(1+$I62)*IF(Inputs!$B$29=0,1,(MAX(AR61,0)/Inputs!$B$6)^Inputs!$B$29)</f>
        <v>16407.825443394388</v>
      </c>
      <c r="AP62" s="38">
        <f>Inputs!$B$32*AR61/Inputs!$B$6</f>
        <v>0</v>
      </c>
      <c r="AQ62" s="38">
        <f>Inputs!$B$33</f>
        <v>2500</v>
      </c>
      <c r="AR62" s="38">
        <f t="shared" si="13"/>
        <v>0</v>
      </c>
      <c r="AS62" s="38">
        <f t="shared" si="14"/>
        <v>0</v>
      </c>
      <c r="AT62" s="38">
        <f>Inputs!$B$19*(1-Inputs!$C$71*$H62)+Inputs!$B$21+Inputs!$B$71*$J62</f>
        <v>601000</v>
      </c>
      <c r="AU62" s="38">
        <f t="shared" si="15"/>
        <v>-601000</v>
      </c>
      <c r="AV62" s="38">
        <f t="shared" si="16"/>
        <v>1</v>
      </c>
      <c r="AW62" s="38">
        <f>MAX(0,MIN(Inputs!$C$36,BB61,AX62+AY62+AZ62+Inputs!$C$6-BA61))</f>
        <v>0</v>
      </c>
      <c r="AX62" s="38">
        <f>Inputs!$C$27*(1+Inputs!$C$28)^($A62/12)*IF(Inputs!$B$71=1,$G62,1)*(1-Inputs!$C$71*$H62*(1-Inputs!$E$54*Inputs!$B$71))*(1+$I62)*IF(Inputs!$C$29=0,1,(MAX(BA61,0)/Inputs!$C$6)^Inputs!$C$29)</f>
        <v>8820.1075374931661</v>
      </c>
      <c r="AY62" s="38">
        <f>Inputs!$C$32*BA61/Inputs!$C$6</f>
        <v>2953.363150680018</v>
      </c>
      <c r="AZ62" s="38">
        <f>Inputs!$C$33</f>
        <v>2000</v>
      </c>
      <c r="BA62" s="38">
        <f t="shared" si="17"/>
        <v>336254.75457760674</v>
      </c>
      <c r="BB62" s="38">
        <f t="shared" si="18"/>
        <v>0</v>
      </c>
      <c r="BC62" s="38">
        <f>Inputs!$C$19*(1-Inputs!$C$71*$H62)+Inputs!$C$21+Inputs!$B$71*$J62</f>
        <v>501000</v>
      </c>
      <c r="BD62" s="38">
        <f t="shared" si="19"/>
        <v>-164745.24542239326</v>
      </c>
      <c r="BE62" s="38">
        <f t="shared" si="20"/>
        <v>1</v>
      </c>
      <c r="BF62" s="38">
        <f>MAX(0,MIN(Inputs!$D$36,BK61,BG62+BH62+BI62+Inputs!$D$6-BJ61))</f>
        <v>12499.824791904422</v>
      </c>
      <c r="BG62" s="38">
        <f>Inputs!$D$27*(1+Inputs!$D$28)^($A62/12)*IF(Inputs!$B$71=1,$G62,1)*(1-Inputs!$C$71*$H62*(1-Inputs!$E$54*Inputs!$B$71))*(1+$I62)*IF(Inputs!$D$29=0,1,(MAX(BJ61,0)/Inputs!$D$6)^Inputs!$D$29)</f>
        <v>6799.8247919044425</v>
      </c>
      <c r="BH62" s="38">
        <f>Inputs!$D$32*BJ61/Inputs!$D$6</f>
        <v>4200</v>
      </c>
      <c r="BI62" s="38">
        <f>Inputs!$D$33</f>
        <v>1500</v>
      </c>
      <c r="BJ62" s="38">
        <f t="shared" si="21"/>
        <v>880000</v>
      </c>
      <c r="BK62" s="38">
        <f t="shared" si="22"/>
        <v>128937.36298803496</v>
      </c>
      <c r="BL62" s="38">
        <f>Inputs!$D$19*(1-Inputs!$C$71*$H62)+Inputs!$D$21+Inputs!$B$71*$J62</f>
        <v>410800</v>
      </c>
      <c r="BM62" s="38">
        <f t="shared" si="23"/>
        <v>469200</v>
      </c>
      <c r="BN62" s="38">
        <f t="shared" si="24"/>
        <v>0</v>
      </c>
      <c r="BO62" s="38">
        <f>MAX(0,MIN(Inputs!$B$36,BT61,BP62+BQ62+BR62+Inputs!$B$6-BS61))</f>
        <v>0</v>
      </c>
      <c r="BP62" s="38">
        <f>Inputs!$B$27*(1+Inputs!$B$28)^($A62/12)*IF(Inputs!$B$72=1,$G62,1)*(1-Inputs!$C$72*$H62*(1-Inputs!$E$54*Inputs!$B$72))*(1+$I62)*IF(Inputs!$B$29=0,1,(MAX(BS61,0)/Inputs!$B$6)^Inputs!$B$29)</f>
        <v>17531.54390979846</v>
      </c>
      <c r="BQ62" s="38">
        <f>Inputs!$B$32*BS61/Inputs!$B$6</f>
        <v>0</v>
      </c>
      <c r="BR62" s="38">
        <f>Inputs!$B$33</f>
        <v>2500</v>
      </c>
      <c r="BS62" s="38">
        <f t="shared" si="25"/>
        <v>0</v>
      </c>
      <c r="BT62" s="38">
        <f t="shared" si="26"/>
        <v>0</v>
      </c>
      <c r="BU62" s="38">
        <f>Inputs!$B$19*(1-Inputs!$C$72*$H62)+Inputs!$B$21+Inputs!$B$72*$J62</f>
        <v>577500</v>
      </c>
      <c r="BV62" s="38">
        <f t="shared" si="27"/>
        <v>-577500</v>
      </c>
      <c r="BW62" s="38">
        <f t="shared" si="28"/>
        <v>1</v>
      </c>
      <c r="BX62" s="38">
        <f>MAX(0,MIN(Inputs!$C$36,CC61,BY62+BZ62+CA62+Inputs!$C$6-CB61))</f>
        <v>0</v>
      </c>
      <c r="BY62" s="38">
        <f>Inputs!$C$27*(1+Inputs!$C$28)^($A62/12)*IF(Inputs!$B$72=1,$G62,1)*(1-Inputs!$C$72*$H62*(1-Inputs!$E$54*Inputs!$B$72))*(1+$I62)*IF(Inputs!$C$29=0,1,(MAX(CB61,0)/Inputs!$C$6)^Inputs!$C$29)</f>
        <v>9201.5391164938428</v>
      </c>
      <c r="BZ62" s="38">
        <f>Inputs!$C$32*CB61/Inputs!$C$6</f>
        <v>2684.0258297115333</v>
      </c>
      <c r="CA62" s="38">
        <f>Inputs!$C$33</f>
        <v>2000</v>
      </c>
      <c r="CB62" s="38">
        <f t="shared" si="29"/>
        <v>304221.20005664311</v>
      </c>
      <c r="CC62" s="38">
        <f t="shared" si="30"/>
        <v>0</v>
      </c>
      <c r="CD62" s="38">
        <f>Inputs!$C$19*(1-Inputs!$C$72*$H62)+Inputs!$C$21+Inputs!$B$72*$J62</f>
        <v>480000</v>
      </c>
      <c r="CE62" s="38">
        <f t="shared" si="31"/>
        <v>-175778.79994335689</v>
      </c>
      <c r="CF62" s="38">
        <f t="shared" si="32"/>
        <v>1</v>
      </c>
      <c r="CG62" s="38">
        <f>MAX(0,MIN(Inputs!$D$36,CL61,CH62+CI62+CJ62+Inputs!$D$6-CK61))</f>
        <v>12965.522620866424</v>
      </c>
      <c r="CH62" s="38">
        <f>Inputs!$D$27*(1+Inputs!$D$28)^($A62/12)*IF(Inputs!$B$72=1,$G62,1)*(1-Inputs!$C$72*$H62*(1-Inputs!$E$54*Inputs!$B$72))*(1+$I62)*IF(Inputs!$D$29=0,1,(MAX(CK61,0)/Inputs!$D$6)^Inputs!$D$29)</f>
        <v>7265.5226208663853</v>
      </c>
      <c r="CI62" s="38">
        <f>Inputs!$D$32*CK61/Inputs!$D$6</f>
        <v>4200</v>
      </c>
      <c r="CJ62" s="38">
        <f>Inputs!$D$33</f>
        <v>1500</v>
      </c>
      <c r="CK62" s="38">
        <f t="shared" si="33"/>
        <v>880000</v>
      </c>
      <c r="CL62" s="38">
        <f t="shared" si="34"/>
        <v>97831.562631148845</v>
      </c>
      <c r="CM62" s="38">
        <f>Inputs!$D$19*(1-Inputs!$C$72*$H62)+Inputs!$D$21+Inputs!$B$72*$J62</f>
        <v>392150</v>
      </c>
      <c r="CN62" s="38">
        <f t="shared" si="35"/>
        <v>487850</v>
      </c>
      <c r="CO62" s="38">
        <f t="shared" si="36"/>
        <v>0</v>
      </c>
      <c r="CP62" s="38">
        <f>MAX(0,MIN(Inputs!$B$36,CU61,CQ62+CR62+CS62+Inputs!$B$6-CT61))</f>
        <v>0</v>
      </c>
      <c r="CQ62" s="38">
        <f>Inputs!$B$27*(1+Inputs!$B$28)^($A62/12)*IF(Inputs!$B$73=1,$G62,1)*(1-Inputs!$C$73*$H62*(1-Inputs!$E$54*Inputs!$B$73))*(1+$I62)*IF(Inputs!$B$29=0,1,(MAX(CT61,0)/Inputs!$B$6)^Inputs!$B$29)</f>
        <v>15587.434171224666</v>
      </c>
      <c r="CR62" s="38">
        <f>Inputs!$B$32*CT61/Inputs!$B$6</f>
        <v>0</v>
      </c>
      <c r="CS62" s="38">
        <f>Inputs!$B$33</f>
        <v>2500</v>
      </c>
      <c r="CT62" s="38">
        <f t="shared" si="37"/>
        <v>0</v>
      </c>
      <c r="CU62" s="38">
        <f t="shared" si="38"/>
        <v>0</v>
      </c>
      <c r="CV62" s="38">
        <f>Inputs!$B$19*(1-Inputs!$C$73*$H62)+Inputs!$B$21+Inputs!$B$73*$J62</f>
        <v>583500</v>
      </c>
      <c r="CW62" s="38">
        <f t="shared" si="39"/>
        <v>-583500</v>
      </c>
      <c r="CX62" s="38">
        <f t="shared" si="40"/>
        <v>1</v>
      </c>
      <c r="CY62" s="38">
        <f>MAX(0,MIN(Inputs!$C$36,DD61,CZ62+DA62+DB62+Inputs!$C$6-DC61))</f>
        <v>0</v>
      </c>
      <c r="CZ62" s="38">
        <f>Inputs!$C$27*(1+Inputs!$C$28)^($A62/12)*IF(Inputs!$B$73=1,$G62,1)*(1-Inputs!$C$73*$H62*(1-Inputs!$E$54*Inputs!$B$73))*(1+$I62)*IF(Inputs!$C$29=0,1,(MAX(DC61,0)/Inputs!$C$6)^Inputs!$C$29)</f>
        <v>8458.9822338882168</v>
      </c>
      <c r="DA62" s="38">
        <f>Inputs!$C$32*DC61/Inputs!$C$6</f>
        <v>3067.6044643543564</v>
      </c>
      <c r="DB62" s="38">
        <f>Inputs!$C$33</f>
        <v>2000</v>
      </c>
      <c r="DC62" s="38">
        <f t="shared" si="41"/>
        <v>350041.34981782938</v>
      </c>
      <c r="DD62" s="38">
        <f t="shared" si="42"/>
        <v>0</v>
      </c>
      <c r="DE62" s="38">
        <f>Inputs!$C$19*(1-Inputs!$C$73*$H62)+Inputs!$C$21+Inputs!$B$73*$J62</f>
        <v>486000</v>
      </c>
      <c r="DF62" s="38">
        <f t="shared" si="43"/>
        <v>-135958.65018217062</v>
      </c>
      <c r="DG62" s="38">
        <f t="shared" si="44"/>
        <v>1</v>
      </c>
      <c r="DH62" s="38">
        <f>MAX(0,MIN(Inputs!$D$36,DM61,DI62+DJ62+DK62+Inputs!$D$6-DL61))</f>
        <v>12159.833552309196</v>
      </c>
      <c r="DI62" s="38">
        <f>Inputs!$D$27*(1+Inputs!$D$28)^($A62/12)*IF(Inputs!$B$73=1,$G62,1)*(1-Inputs!$C$73*$H62*(1-Inputs!$E$54*Inputs!$B$73))*(1+$I62)*IF(Inputs!$D$29=0,1,(MAX(DL61,0)/Inputs!$D$6)^Inputs!$D$29)</f>
        <v>6459.8335523092201</v>
      </c>
      <c r="DJ62" s="38">
        <f>Inputs!$D$32*DL61/Inputs!$D$6</f>
        <v>4200</v>
      </c>
      <c r="DK62" s="38">
        <f>Inputs!$D$33</f>
        <v>1500</v>
      </c>
      <c r="DL62" s="38">
        <f t="shared" si="45"/>
        <v>880000</v>
      </c>
      <c r="DM62" s="38">
        <f t="shared" si="46"/>
        <v>141514.0528303897</v>
      </c>
      <c r="DN62" s="38">
        <f>Inputs!$D$19*(1-Inputs!$C$73*$H62)+Inputs!$D$21+Inputs!$B$73*$J62</f>
        <v>398150</v>
      </c>
      <c r="DO62" s="38">
        <f t="shared" si="47"/>
        <v>481850</v>
      </c>
      <c r="DP62" s="38">
        <f t="shared" si="48"/>
        <v>0</v>
      </c>
    </row>
    <row r="63" spans="1:120" x14ac:dyDescent="0.35">
      <c r="A63" s="29">
        <v>58</v>
      </c>
      <c r="B63" s="34">
        <f>EDATE(Inputs!$B$67,$A63)</f>
        <v>48030</v>
      </c>
      <c r="C63" s="35">
        <f>IF(Inputs!$E$47&lt;=0,Inputs!$E$46,Inputs!$E$44+(Inputs!$E$46-Inputs!$E$44)*MIN($A63/Inputs!$E$47,1))</f>
        <v>0.7</v>
      </c>
      <c r="D63" s="35">
        <f>MIN(Inputs!$E$57,Inputs!$E$55*(1+Inputs!$E$56)^($A63/12))*Inputs!$E$58*(1+Inputs!$E$59)^($A63/12)/Inputs!$E$45</f>
        <v>1.5</v>
      </c>
      <c r="E63" s="35">
        <f>MAX(Inputs!$E$44,MIN(C63,D63))</f>
        <v>0.7</v>
      </c>
      <c r="F63" s="35">
        <f>IF(Inputs!$E$50&lt;=0,Inputs!$E$49,Inputs!$E$48+(Inputs!$E$49-Inputs!$E$48)*MIN($A63/Inputs!$E$50,1))</f>
        <v>0.12</v>
      </c>
      <c r="G63" s="36">
        <f>(Inputs!$E$41*(1-E63*Inputs!$E$51)+Inputs!$E$42*(1-F63*Inputs!$E$51))/(Inputs!$E$41*(1-Inputs!$E$44*Inputs!$E$51)+Inputs!$E$42*(1-Inputs!$E$48*Inputs!$E$51))</f>
        <v>0.8423127463863338</v>
      </c>
      <c r="H63" s="35">
        <f>IF(Inputs!$E$53&lt;=0,Inputs!$E$52,Inputs!$E$52*MIN($A63/Inputs!$E$53,1))</f>
        <v>0.1</v>
      </c>
      <c r="I63" s="35">
        <f>IF(Inputs!$E$64&lt;=0,Inputs!$E$63,Inputs!$E$62+(Inputs!$E$63-Inputs!$E$62)*MIN($A63/Inputs!$E$64,1))</f>
        <v>0.03</v>
      </c>
      <c r="J63" s="37">
        <f>(E63-Inputs!$E$44)*Inputs!$E$45/Inputs!$E$60*Inputs!$E$61</f>
        <v>5999.9999999999991</v>
      </c>
      <c r="K63" s="29">
        <f t="shared" si="0"/>
        <v>0</v>
      </c>
      <c r="L63" s="29"/>
      <c r="M63" s="38">
        <f>MAX(0,MIN(Inputs!$B$36,R62,N63+O63+P63+Inputs!$B$6-Q62))</f>
        <v>0</v>
      </c>
      <c r="N63" s="38">
        <f>Inputs!$B$27*(1+Inputs!$B$28)^($A63/12)*IF(Inputs!$B$70=1,$G63,1)*(1-Inputs!$C$70*$H63*(1-Inputs!$E$54*Inputs!$B$70))*(1+$I63)*IF(Inputs!$B$29=0,1,(MAX(Q62,0)/Inputs!$B$6)^Inputs!$B$29)</f>
        <v>19558.855099783832</v>
      </c>
      <c r="O63" s="38">
        <f>Inputs!$B$32*Q62/Inputs!$B$6</f>
        <v>0</v>
      </c>
      <c r="P63" s="38">
        <f>Inputs!$B$33</f>
        <v>2500</v>
      </c>
      <c r="Q63" s="38">
        <f t="shared" si="1"/>
        <v>0</v>
      </c>
      <c r="R63" s="38">
        <f t="shared" si="2"/>
        <v>0</v>
      </c>
      <c r="S63" s="38">
        <f>Inputs!$B$19*(1-Inputs!$C$70*$H63)+Inputs!$B$21+Inputs!$B$70*$J63</f>
        <v>595000</v>
      </c>
      <c r="T63" s="38">
        <f t="shared" si="3"/>
        <v>-595000</v>
      </c>
      <c r="U63" s="38">
        <f t="shared" si="4"/>
        <v>1</v>
      </c>
      <c r="V63" s="38">
        <f>MAX(0,MIN(Inputs!$C$36,AA62,W63+X63+Y63+Inputs!$C$6-Z62))</f>
        <v>0</v>
      </c>
      <c r="W63" s="38">
        <f>Inputs!$C$27*(1+Inputs!$C$28)^($A63/12)*IF(Inputs!$B$70=1,$G63,1)*(1-Inputs!$C$70*$H63*(1-Inputs!$E$54*Inputs!$B$70))*(1+$I63)*IF(Inputs!$C$29=0,1,(MAX(Z62,0)/Inputs!$C$6)^Inputs!$C$29)</f>
        <v>9843.3481179138125</v>
      </c>
      <c r="X63" s="38">
        <f>Inputs!$C$32*Z62/Inputs!$C$6</f>
        <v>2306.1428222471873</v>
      </c>
      <c r="Y63" s="38">
        <f>Inputs!$C$33</f>
        <v>2000</v>
      </c>
      <c r="Z63" s="38">
        <f t="shared" si="5"/>
        <v>259171.13984469086</v>
      </c>
      <c r="AA63" s="38">
        <f t="shared" si="6"/>
        <v>0</v>
      </c>
      <c r="AB63" s="38">
        <f>Inputs!$C$19*(1-Inputs!$C$70*$H63)+Inputs!$C$21+Inputs!$B$70*$J63</f>
        <v>495000</v>
      </c>
      <c r="AC63" s="38">
        <f t="shared" si="7"/>
        <v>-235828.86015530914</v>
      </c>
      <c r="AD63" s="38">
        <f t="shared" si="8"/>
        <v>1</v>
      </c>
      <c r="AE63" s="38">
        <f>MAX(0,MIN(Inputs!$D$36,AJ62,AF63+AG63+AH63+Inputs!$D$6-AI62))</f>
        <v>13738.369834225392</v>
      </c>
      <c r="AF63" s="38">
        <f>Inputs!$D$27*(1+Inputs!$D$28)^($A63/12)*IF(Inputs!$B$70=1,$G63,1)*(1-Inputs!$C$70*$H63*(1-Inputs!$E$54*Inputs!$B$70))*(1+$I63)*IF(Inputs!$D$29=0,1,(MAX(AI62,0)/Inputs!$D$6)^Inputs!$D$29)</f>
        <v>8038.3698342253465</v>
      </c>
      <c r="AG63" s="38">
        <f>Inputs!$D$32*AI62/Inputs!$D$6</f>
        <v>4200</v>
      </c>
      <c r="AH63" s="38">
        <f>Inputs!$D$33</f>
        <v>1500</v>
      </c>
      <c r="AI63" s="38">
        <f t="shared" si="9"/>
        <v>880000</v>
      </c>
      <c r="AJ63" s="38">
        <f t="shared" si="10"/>
        <v>54754.750100283651</v>
      </c>
      <c r="AK63" s="38">
        <f>Inputs!$D$19*(1-Inputs!$C$70*$H63)+Inputs!$D$21+Inputs!$B$70*$J63</f>
        <v>404800</v>
      </c>
      <c r="AL63" s="38">
        <f t="shared" si="11"/>
        <v>475200</v>
      </c>
      <c r="AM63" s="38">
        <f t="shared" si="12"/>
        <v>0</v>
      </c>
      <c r="AN63" s="38">
        <f>MAX(0,MIN(Inputs!$B$36,AS62,AO63+AP63+AQ63+Inputs!$B$6-AR62))</f>
        <v>0</v>
      </c>
      <c r="AO63" s="38">
        <f>Inputs!$B$27*(1+Inputs!$B$28)^($A63/12)*IF(Inputs!$B$71=1,$G63,1)*(1-Inputs!$C$71*$H63*(1-Inputs!$E$54*Inputs!$B$71))*(1+$I63)*IF(Inputs!$B$29=0,1,(MAX(AR62,0)/Inputs!$B$6)^Inputs!$B$29)</f>
        <v>16474.672955271271</v>
      </c>
      <c r="AP63" s="38">
        <f>Inputs!$B$32*AR62/Inputs!$B$6</f>
        <v>0</v>
      </c>
      <c r="AQ63" s="38">
        <f>Inputs!$B$33</f>
        <v>2500</v>
      </c>
      <c r="AR63" s="38">
        <f t="shared" si="13"/>
        <v>0</v>
      </c>
      <c r="AS63" s="38">
        <f t="shared" si="14"/>
        <v>0</v>
      </c>
      <c r="AT63" s="38">
        <f>Inputs!$B$19*(1-Inputs!$C$71*$H63)+Inputs!$B$21+Inputs!$B$71*$J63</f>
        <v>601000</v>
      </c>
      <c r="AU63" s="38">
        <f t="shared" si="15"/>
        <v>-601000</v>
      </c>
      <c r="AV63" s="38">
        <f t="shared" si="16"/>
        <v>1</v>
      </c>
      <c r="AW63" s="38">
        <f>MAX(0,MIN(Inputs!$C$36,BB62,AX63+AY63+AZ63+Inputs!$C$6-BA62))</f>
        <v>0</v>
      </c>
      <c r="AX63" s="38">
        <f>Inputs!$C$27*(1+Inputs!$C$28)^($A63/12)*IF(Inputs!$B$71=1,$G63,1)*(1-Inputs!$C$71*$H63*(1-Inputs!$E$54*Inputs!$B$71))*(1+$I63)*IF(Inputs!$C$29=0,1,(MAX(BA62,0)/Inputs!$C$6)^Inputs!$C$29)</f>
        <v>8732.0300617960165</v>
      </c>
      <c r="AY63" s="38">
        <f>Inputs!$C$32*BA62/Inputs!$C$6</f>
        <v>2837.1494917485566</v>
      </c>
      <c r="AZ63" s="38">
        <f>Inputs!$C$33</f>
        <v>2000</v>
      </c>
      <c r="BA63" s="38">
        <f t="shared" si="17"/>
        <v>322685.57502406219</v>
      </c>
      <c r="BB63" s="38">
        <f t="shared" si="18"/>
        <v>0</v>
      </c>
      <c r="BC63" s="38">
        <f>Inputs!$C$19*(1-Inputs!$C$71*$H63)+Inputs!$C$21+Inputs!$B$71*$J63</f>
        <v>501000</v>
      </c>
      <c r="BD63" s="38">
        <f t="shared" si="19"/>
        <v>-178314.42497593781</v>
      </c>
      <c r="BE63" s="38">
        <f t="shared" si="20"/>
        <v>1</v>
      </c>
      <c r="BF63" s="38">
        <f>MAX(0,MIN(Inputs!$D$36,BK62,BG63+BH63+BI63+Inputs!$D$6-BJ62))</f>
        <v>12470.821371535421</v>
      </c>
      <c r="BG63" s="38">
        <f>Inputs!$D$27*(1+Inputs!$D$28)^($A63/12)*IF(Inputs!$B$71=1,$G63,1)*(1-Inputs!$C$71*$H63*(1-Inputs!$E$54*Inputs!$B$71))*(1+$I63)*IF(Inputs!$D$29=0,1,(MAX(BJ62,0)/Inputs!$D$6)^Inputs!$D$29)</f>
        <v>6770.8213715354104</v>
      </c>
      <c r="BH63" s="38">
        <f>Inputs!$D$32*BJ62/Inputs!$D$6</f>
        <v>4200</v>
      </c>
      <c r="BI63" s="38">
        <f>Inputs!$D$33</f>
        <v>1500</v>
      </c>
      <c r="BJ63" s="38">
        <f t="shared" si="21"/>
        <v>880000</v>
      </c>
      <c r="BK63" s="38">
        <f t="shared" si="22"/>
        <v>116466.54161649954</v>
      </c>
      <c r="BL63" s="38">
        <f>Inputs!$D$19*(1-Inputs!$C$71*$H63)+Inputs!$D$21+Inputs!$B$71*$J63</f>
        <v>410800</v>
      </c>
      <c r="BM63" s="38">
        <f t="shared" si="23"/>
        <v>469200</v>
      </c>
      <c r="BN63" s="38">
        <f t="shared" si="24"/>
        <v>0</v>
      </c>
      <c r="BO63" s="38">
        <f>MAX(0,MIN(Inputs!$B$36,BT62,BP63+BQ63+BR63+Inputs!$B$6-BS62))</f>
        <v>0</v>
      </c>
      <c r="BP63" s="38">
        <f>Inputs!$B$27*(1+Inputs!$B$28)^($A63/12)*IF(Inputs!$B$72=1,$G63,1)*(1-Inputs!$C$72*$H63*(1-Inputs!$E$54*Inputs!$B$72))*(1+$I63)*IF(Inputs!$B$29=0,1,(MAX(BS62,0)/Inputs!$B$6)^Inputs!$B$29)</f>
        <v>17602.969589805449</v>
      </c>
      <c r="BQ63" s="38">
        <f>Inputs!$B$32*BS62/Inputs!$B$6</f>
        <v>0</v>
      </c>
      <c r="BR63" s="38">
        <f>Inputs!$B$33</f>
        <v>2500</v>
      </c>
      <c r="BS63" s="38">
        <f t="shared" si="25"/>
        <v>0</v>
      </c>
      <c r="BT63" s="38">
        <f t="shared" si="26"/>
        <v>0</v>
      </c>
      <c r="BU63" s="38">
        <f>Inputs!$B$19*(1-Inputs!$C$72*$H63)+Inputs!$B$21+Inputs!$B$72*$J63</f>
        <v>577500</v>
      </c>
      <c r="BV63" s="38">
        <f t="shared" si="27"/>
        <v>-577500</v>
      </c>
      <c r="BW63" s="38">
        <f t="shared" si="28"/>
        <v>1</v>
      </c>
      <c r="BX63" s="38">
        <f>MAX(0,MIN(Inputs!$C$36,CC62,BY63+BZ63+CA63+Inputs!$C$6-CB62))</f>
        <v>0</v>
      </c>
      <c r="BY63" s="38">
        <f>Inputs!$C$27*(1+Inputs!$C$28)^($A63/12)*IF(Inputs!$B$72=1,$G63,1)*(1-Inputs!$C$72*$H63*(1-Inputs!$E$54*Inputs!$B$72))*(1+$I63)*IF(Inputs!$C$29=0,1,(MAX(CB62,0)/Inputs!$C$6)^Inputs!$C$29)</f>
        <v>9099.4390259164302</v>
      </c>
      <c r="BZ63" s="38">
        <f>Inputs!$C$32*CB62/Inputs!$C$6</f>
        <v>2566.8663754779259</v>
      </c>
      <c r="CA63" s="38">
        <f>Inputs!$C$33</f>
        <v>2000</v>
      </c>
      <c r="CB63" s="38">
        <f t="shared" si="29"/>
        <v>290554.89465524873</v>
      </c>
      <c r="CC63" s="38">
        <f t="shared" si="30"/>
        <v>0</v>
      </c>
      <c r="CD63" s="38">
        <f>Inputs!$C$19*(1-Inputs!$C$72*$H63)+Inputs!$C$21+Inputs!$B$72*$J63</f>
        <v>480000</v>
      </c>
      <c r="CE63" s="38">
        <f t="shared" si="31"/>
        <v>-189445.10534475127</v>
      </c>
      <c r="CF63" s="38">
        <f t="shared" si="32"/>
        <v>1</v>
      </c>
      <c r="CG63" s="38">
        <f>MAX(0,MIN(Inputs!$D$36,CL62,CH63+CI63+CJ63+Inputs!$D$6-CK62))</f>
        <v>12934.53285080276</v>
      </c>
      <c r="CH63" s="38">
        <f>Inputs!$D$27*(1+Inputs!$D$28)^($A63/12)*IF(Inputs!$B$72=1,$G63,1)*(1-Inputs!$C$72*$H63*(1-Inputs!$E$54*Inputs!$B$72))*(1+$I63)*IF(Inputs!$D$29=0,1,(MAX(CK62,0)/Inputs!$D$6)^Inputs!$D$29)</f>
        <v>7234.5328508028115</v>
      </c>
      <c r="CI63" s="38">
        <f>Inputs!$D$32*CK62/Inputs!$D$6</f>
        <v>4200</v>
      </c>
      <c r="CJ63" s="38">
        <f>Inputs!$D$33</f>
        <v>1500</v>
      </c>
      <c r="CK63" s="38">
        <f t="shared" si="33"/>
        <v>880000</v>
      </c>
      <c r="CL63" s="38">
        <f t="shared" si="34"/>
        <v>84897.029780346085</v>
      </c>
      <c r="CM63" s="38">
        <f>Inputs!$D$19*(1-Inputs!$C$72*$H63)+Inputs!$D$21+Inputs!$B$72*$J63</f>
        <v>392150</v>
      </c>
      <c r="CN63" s="38">
        <f t="shared" si="35"/>
        <v>487850</v>
      </c>
      <c r="CO63" s="38">
        <f t="shared" si="36"/>
        <v>0</v>
      </c>
      <c r="CP63" s="38">
        <f>MAX(0,MIN(Inputs!$B$36,CU62,CQ63+CR63+CS63+Inputs!$B$6-CT62))</f>
        <v>0</v>
      </c>
      <c r="CQ63" s="38">
        <f>Inputs!$B$27*(1+Inputs!$B$28)^($A63/12)*IF(Inputs!$B$73=1,$G63,1)*(1-Inputs!$C$73*$H63*(1-Inputs!$E$54*Inputs!$B$73))*(1+$I63)*IF(Inputs!$B$29=0,1,(MAX(CT62,0)/Inputs!$B$6)^Inputs!$B$29)</f>
        <v>15650.939307507704</v>
      </c>
      <c r="CR63" s="38">
        <f>Inputs!$B$32*CT62/Inputs!$B$6</f>
        <v>0</v>
      </c>
      <c r="CS63" s="38">
        <f>Inputs!$B$33</f>
        <v>2500</v>
      </c>
      <c r="CT63" s="38">
        <f t="shared" si="37"/>
        <v>0</v>
      </c>
      <c r="CU63" s="38">
        <f t="shared" si="38"/>
        <v>0</v>
      </c>
      <c r="CV63" s="38">
        <f>Inputs!$B$19*(1-Inputs!$C$73*$H63)+Inputs!$B$21+Inputs!$B$73*$J63</f>
        <v>583500</v>
      </c>
      <c r="CW63" s="38">
        <f t="shared" si="39"/>
        <v>-583500</v>
      </c>
      <c r="CX63" s="38">
        <f t="shared" si="40"/>
        <v>1</v>
      </c>
      <c r="CY63" s="38">
        <f>MAX(0,MIN(Inputs!$C$36,DD62,CZ63+DA63+DB63+Inputs!$C$6-DC62))</f>
        <v>0</v>
      </c>
      <c r="CZ63" s="38">
        <f>Inputs!$C$27*(1+Inputs!$C$28)^($A63/12)*IF(Inputs!$B$73=1,$G63,1)*(1-Inputs!$C$73*$H63*(1-Inputs!$E$54*Inputs!$B$73))*(1+$I63)*IF(Inputs!$C$29=0,1,(MAX(DC62,0)/Inputs!$C$6)^Inputs!$C$29)</f>
        <v>8379.1807045816986</v>
      </c>
      <c r="DA63" s="38">
        <f>Inputs!$C$32*DC62/Inputs!$C$6</f>
        <v>2953.4738890879353</v>
      </c>
      <c r="DB63" s="38">
        <f>Inputs!$C$33</f>
        <v>2000</v>
      </c>
      <c r="DC63" s="38">
        <f t="shared" si="41"/>
        <v>336708.69522415975</v>
      </c>
      <c r="DD63" s="38">
        <f t="shared" si="42"/>
        <v>0</v>
      </c>
      <c r="DE63" s="38">
        <f>Inputs!$C$19*(1-Inputs!$C$73*$H63)+Inputs!$C$21+Inputs!$B$73*$J63</f>
        <v>486000</v>
      </c>
      <c r="DF63" s="38">
        <f t="shared" si="43"/>
        <v>-149291.30477584025</v>
      </c>
      <c r="DG63" s="38">
        <f t="shared" si="44"/>
        <v>1</v>
      </c>
      <c r="DH63" s="38">
        <f>MAX(0,MIN(Inputs!$D$36,DM62,DI63+DJ63+DK63+Inputs!$D$6-DL62))</f>
        <v>12132.280302958679</v>
      </c>
      <c r="DI63" s="38">
        <f>Inputs!$D$27*(1+Inputs!$D$28)^($A63/12)*IF(Inputs!$B$73=1,$G63,1)*(1-Inputs!$C$73*$H63*(1-Inputs!$E$54*Inputs!$B$73))*(1+$I63)*IF(Inputs!$D$29=0,1,(MAX(DL62,0)/Inputs!$D$6)^Inputs!$D$29)</f>
        <v>6432.2803029586394</v>
      </c>
      <c r="DJ63" s="38">
        <f>Inputs!$D$32*DL62/Inputs!$D$6</f>
        <v>4200</v>
      </c>
      <c r="DK63" s="38">
        <f>Inputs!$D$33</f>
        <v>1500</v>
      </c>
      <c r="DL63" s="38">
        <f t="shared" si="45"/>
        <v>880000</v>
      </c>
      <c r="DM63" s="38">
        <f t="shared" si="46"/>
        <v>129381.77252743102</v>
      </c>
      <c r="DN63" s="38">
        <f>Inputs!$D$19*(1-Inputs!$C$73*$H63)+Inputs!$D$21+Inputs!$B$73*$J63</f>
        <v>398150</v>
      </c>
      <c r="DO63" s="38">
        <f t="shared" si="47"/>
        <v>481850</v>
      </c>
      <c r="DP63" s="38">
        <f t="shared" si="48"/>
        <v>0</v>
      </c>
    </row>
    <row r="64" spans="1:120" x14ac:dyDescent="0.35">
      <c r="A64" s="29">
        <v>59</v>
      </c>
      <c r="B64" s="34">
        <f>EDATE(Inputs!$B$67,$A64)</f>
        <v>48061</v>
      </c>
      <c r="C64" s="35">
        <f>IF(Inputs!$E$47&lt;=0,Inputs!$E$46,Inputs!$E$44+(Inputs!$E$46-Inputs!$E$44)*MIN($A64/Inputs!$E$47,1))</f>
        <v>0.7</v>
      </c>
      <c r="D64" s="35">
        <f>MIN(Inputs!$E$57,Inputs!$E$55*(1+Inputs!$E$56)^($A64/12))*Inputs!$E$58*(1+Inputs!$E$59)^($A64/12)/Inputs!$E$45</f>
        <v>1.5</v>
      </c>
      <c r="E64" s="35">
        <f>MAX(Inputs!$E$44,MIN(C64,D64))</f>
        <v>0.7</v>
      </c>
      <c r="F64" s="35">
        <f>IF(Inputs!$E$50&lt;=0,Inputs!$E$49,Inputs!$E$48+(Inputs!$E$49-Inputs!$E$48)*MIN($A64/Inputs!$E$50,1))</f>
        <v>0.12</v>
      </c>
      <c r="G64" s="36">
        <f>(Inputs!$E$41*(1-E64*Inputs!$E$51)+Inputs!$E$42*(1-F64*Inputs!$E$51))/(Inputs!$E$41*(1-Inputs!$E$44*Inputs!$E$51)+Inputs!$E$42*(1-Inputs!$E$48*Inputs!$E$51))</f>
        <v>0.8423127463863338</v>
      </c>
      <c r="H64" s="35">
        <f>IF(Inputs!$E$53&lt;=0,Inputs!$E$52,Inputs!$E$52*MIN($A64/Inputs!$E$53,1))</f>
        <v>0.1</v>
      </c>
      <c r="I64" s="35">
        <f>IF(Inputs!$E$64&lt;=0,Inputs!$E$63,Inputs!$E$62+(Inputs!$E$63-Inputs!$E$62)*MIN($A64/Inputs!$E$64,1))</f>
        <v>0.03</v>
      </c>
      <c r="J64" s="37">
        <f>(E64-Inputs!$E$44)*Inputs!$E$45/Inputs!$E$60*Inputs!$E$61</f>
        <v>5999.9999999999991</v>
      </c>
      <c r="K64" s="29">
        <f t="shared" si="0"/>
        <v>0</v>
      </c>
      <c r="L64" s="29"/>
      <c r="M64" s="38">
        <f>MAX(0,MIN(Inputs!$B$36,R63,N64+O64+P64+Inputs!$B$6-Q63))</f>
        <v>0</v>
      </c>
      <c r="N64" s="38">
        <f>Inputs!$B$27*(1+Inputs!$B$28)^($A64/12)*IF(Inputs!$B$70=1,$G64,1)*(1-Inputs!$C$70*$H64*(1-Inputs!$E$54*Inputs!$B$70))*(1+$I64)*IF(Inputs!$B$29=0,1,(MAX(Q63,0)/Inputs!$B$6)^Inputs!$B$29)</f>
        <v>19638.540296526789</v>
      </c>
      <c r="O64" s="38">
        <f>Inputs!$B$32*Q63/Inputs!$B$6</f>
        <v>0</v>
      </c>
      <c r="P64" s="38">
        <f>Inputs!$B$33</f>
        <v>2500</v>
      </c>
      <c r="Q64" s="38">
        <f t="shared" si="1"/>
        <v>0</v>
      </c>
      <c r="R64" s="38">
        <f t="shared" si="2"/>
        <v>0</v>
      </c>
      <c r="S64" s="38">
        <f>Inputs!$B$19*(1-Inputs!$C$70*$H64)+Inputs!$B$21+Inputs!$B$70*$J64</f>
        <v>595000</v>
      </c>
      <c r="T64" s="38">
        <f t="shared" si="3"/>
        <v>-595000</v>
      </c>
      <c r="U64" s="38">
        <f t="shared" si="4"/>
        <v>1</v>
      </c>
      <c r="V64" s="38">
        <f>MAX(0,MIN(Inputs!$C$36,AA63,W64+X64+Y64+Inputs!$C$6-Z63))</f>
        <v>0</v>
      </c>
      <c r="W64" s="38">
        <f>Inputs!$C$27*(1+Inputs!$C$28)^($A64/12)*IF(Inputs!$B$70=1,$G64,1)*(1-Inputs!$C$70*$H64*(1-Inputs!$E$54*Inputs!$B$70))*(1+$I64)*IF(Inputs!$C$29=0,1,(MAX(Z63,0)/Inputs!$C$6)^Inputs!$C$29)</f>
        <v>9713.4028451645208</v>
      </c>
      <c r="X64" s="38">
        <f>Inputs!$C$32*Z63/Inputs!$C$6</f>
        <v>2186.7564924395788</v>
      </c>
      <c r="Y64" s="38">
        <f>Inputs!$C$33</f>
        <v>2000</v>
      </c>
      <c r="Z64" s="38">
        <f t="shared" si="5"/>
        <v>245270.98050708676</v>
      </c>
      <c r="AA64" s="38">
        <f t="shared" si="6"/>
        <v>0</v>
      </c>
      <c r="AB64" s="38">
        <f>Inputs!$C$19*(1-Inputs!$C$70*$H64)+Inputs!$C$21+Inputs!$B$70*$J64</f>
        <v>495000</v>
      </c>
      <c r="AC64" s="38">
        <f t="shared" si="7"/>
        <v>-249729.01949291324</v>
      </c>
      <c r="AD64" s="38">
        <f t="shared" si="8"/>
        <v>1</v>
      </c>
      <c r="AE64" s="38">
        <f>MAX(0,MIN(Inputs!$D$36,AJ63,AF64+AG64+AH64+Inputs!$D$6-AI63))</f>
        <v>13704.083624430466</v>
      </c>
      <c r="AF64" s="38">
        <f>Inputs!$D$27*(1+Inputs!$D$28)^($A64/12)*IF(Inputs!$B$70=1,$G64,1)*(1-Inputs!$C$70*$H64*(1-Inputs!$E$54*Inputs!$B$70))*(1+$I64)*IF(Inputs!$D$29=0,1,(MAX(AI63,0)/Inputs!$D$6)^Inputs!$D$29)</f>
        <v>8004.0836244304483</v>
      </c>
      <c r="AG64" s="38">
        <f>Inputs!$D$32*AI63/Inputs!$D$6</f>
        <v>4200</v>
      </c>
      <c r="AH64" s="38">
        <f>Inputs!$D$33</f>
        <v>1500</v>
      </c>
      <c r="AI64" s="38">
        <f t="shared" si="9"/>
        <v>880000</v>
      </c>
      <c r="AJ64" s="38">
        <f t="shared" si="10"/>
        <v>41050.666475853184</v>
      </c>
      <c r="AK64" s="38">
        <f>Inputs!$D$19*(1-Inputs!$C$70*$H64)+Inputs!$D$21+Inputs!$B$70*$J64</f>
        <v>404800</v>
      </c>
      <c r="AL64" s="38">
        <f t="shared" si="11"/>
        <v>475200</v>
      </c>
      <c r="AM64" s="38">
        <f t="shared" si="12"/>
        <v>0</v>
      </c>
      <c r="AN64" s="38">
        <f>MAX(0,MIN(Inputs!$B$36,AS63,AO64+AP64+AQ64+Inputs!$B$6-AR63))</f>
        <v>0</v>
      </c>
      <c r="AO64" s="38">
        <f>Inputs!$B$27*(1+Inputs!$B$28)^($A64/12)*IF(Inputs!$B$71=1,$G64,1)*(1-Inputs!$C$71*$H64*(1-Inputs!$E$54*Inputs!$B$71))*(1+$I64)*IF(Inputs!$B$29=0,1,(MAX(AR63,0)/Inputs!$B$6)^Inputs!$B$29)</f>
        <v>16541.79281218617</v>
      </c>
      <c r="AP64" s="38">
        <f>Inputs!$B$32*AR63/Inputs!$B$6</f>
        <v>0</v>
      </c>
      <c r="AQ64" s="38">
        <f>Inputs!$B$33</f>
        <v>2500</v>
      </c>
      <c r="AR64" s="38">
        <f t="shared" si="13"/>
        <v>0</v>
      </c>
      <c r="AS64" s="38">
        <f t="shared" si="14"/>
        <v>0</v>
      </c>
      <c r="AT64" s="38">
        <f>Inputs!$B$19*(1-Inputs!$C$71*$H64)+Inputs!$B$21+Inputs!$B$71*$J64</f>
        <v>601000</v>
      </c>
      <c r="AU64" s="38">
        <f t="shared" si="15"/>
        <v>-601000</v>
      </c>
      <c r="AV64" s="38">
        <f t="shared" si="16"/>
        <v>1</v>
      </c>
      <c r="AW64" s="38">
        <f>MAX(0,MIN(Inputs!$C$36,BB63,AX64+AY64+AZ64+Inputs!$C$6-BA63))</f>
        <v>0</v>
      </c>
      <c r="AX64" s="38">
        <f>Inputs!$C$27*(1+Inputs!$C$28)^($A64/12)*IF(Inputs!$B$71=1,$G64,1)*(1-Inputs!$C$71*$H64*(1-Inputs!$E$54*Inputs!$B$71))*(1+$I64)*IF(Inputs!$C$29=0,1,(MAX(BA63,0)/Inputs!$C$6)^Inputs!$C$29)</f>
        <v>8642.5719073799482</v>
      </c>
      <c r="AY64" s="38">
        <f>Inputs!$C$32*BA63/Inputs!$C$6</f>
        <v>2722.659539265524</v>
      </c>
      <c r="AZ64" s="38">
        <f>Inputs!$C$33</f>
        <v>2000</v>
      </c>
      <c r="BA64" s="38">
        <f t="shared" si="17"/>
        <v>309320.34357741673</v>
      </c>
      <c r="BB64" s="38">
        <f t="shared" si="18"/>
        <v>0</v>
      </c>
      <c r="BC64" s="38">
        <f>Inputs!$C$19*(1-Inputs!$C$71*$H64)+Inputs!$C$21+Inputs!$B$71*$J64</f>
        <v>501000</v>
      </c>
      <c r="BD64" s="38">
        <f t="shared" si="19"/>
        <v>-191679.65642258327</v>
      </c>
      <c r="BE64" s="38">
        <f t="shared" si="20"/>
        <v>1</v>
      </c>
      <c r="BF64" s="38">
        <f>MAX(0,MIN(Inputs!$D$36,BK63,BG64+BH64+BI64+Inputs!$D$6-BJ63))</f>
        <v>12441.941659999895</v>
      </c>
      <c r="BG64" s="38">
        <f>Inputs!$D$27*(1+Inputs!$D$28)^($A64/12)*IF(Inputs!$B$71=1,$G64,1)*(1-Inputs!$C$71*$H64*(1-Inputs!$E$54*Inputs!$B$71))*(1+$I64)*IF(Inputs!$D$29=0,1,(MAX(BJ63,0)/Inputs!$D$6)^Inputs!$D$29)</f>
        <v>6741.9416599998913</v>
      </c>
      <c r="BH64" s="38">
        <f>Inputs!$D$32*BJ63/Inputs!$D$6</f>
        <v>4200</v>
      </c>
      <c r="BI64" s="38">
        <f>Inputs!$D$33</f>
        <v>1500</v>
      </c>
      <c r="BJ64" s="38">
        <f t="shared" si="21"/>
        <v>880000</v>
      </c>
      <c r="BK64" s="38">
        <f t="shared" si="22"/>
        <v>104024.59995649965</v>
      </c>
      <c r="BL64" s="38">
        <f>Inputs!$D$19*(1-Inputs!$C$71*$H64)+Inputs!$D$21+Inputs!$B$71*$J64</f>
        <v>410800</v>
      </c>
      <c r="BM64" s="38">
        <f t="shared" si="23"/>
        <v>469200</v>
      </c>
      <c r="BN64" s="38">
        <f t="shared" si="24"/>
        <v>0</v>
      </c>
      <c r="BO64" s="38">
        <f>MAX(0,MIN(Inputs!$B$36,BT63,BP64+BQ64+BR64+Inputs!$B$6-BS63))</f>
        <v>0</v>
      </c>
      <c r="BP64" s="38">
        <f>Inputs!$B$27*(1+Inputs!$B$28)^($A64/12)*IF(Inputs!$B$72=1,$G64,1)*(1-Inputs!$C$72*$H64*(1-Inputs!$E$54*Inputs!$B$72))*(1+$I64)*IF(Inputs!$B$29=0,1,(MAX(BS63,0)/Inputs!$B$6)^Inputs!$B$29)</f>
        <v>17674.686266874112</v>
      </c>
      <c r="BQ64" s="38">
        <f>Inputs!$B$32*BS63/Inputs!$B$6</f>
        <v>0</v>
      </c>
      <c r="BR64" s="38">
        <f>Inputs!$B$33</f>
        <v>2500</v>
      </c>
      <c r="BS64" s="38">
        <f t="shared" si="25"/>
        <v>0</v>
      </c>
      <c r="BT64" s="38">
        <f t="shared" si="26"/>
        <v>0</v>
      </c>
      <c r="BU64" s="38">
        <f>Inputs!$B$19*(1-Inputs!$C$72*$H64)+Inputs!$B$21+Inputs!$B$72*$J64</f>
        <v>577500</v>
      </c>
      <c r="BV64" s="38">
        <f t="shared" si="27"/>
        <v>-577500</v>
      </c>
      <c r="BW64" s="38">
        <f t="shared" si="28"/>
        <v>1</v>
      </c>
      <c r="BX64" s="38">
        <f>MAX(0,MIN(Inputs!$C$36,CC63,BY64+BZ64+CA64+Inputs!$C$6-CB63))</f>
        <v>0</v>
      </c>
      <c r="BY64" s="38">
        <f>Inputs!$C$27*(1+Inputs!$C$28)^($A64/12)*IF(Inputs!$B$72=1,$G64,1)*(1-Inputs!$C$72*$H64*(1-Inputs!$E$54*Inputs!$B$72))*(1+$I64)*IF(Inputs!$C$29=0,1,(MAX(CB63,0)/Inputs!$C$6)^Inputs!$C$29)</f>
        <v>8995.4791108382069</v>
      </c>
      <c r="BZ64" s="38">
        <f>Inputs!$C$32*CB63/Inputs!$C$6</f>
        <v>2451.5569236536608</v>
      </c>
      <c r="CA64" s="38">
        <f>Inputs!$C$33</f>
        <v>2000</v>
      </c>
      <c r="CB64" s="38">
        <f t="shared" si="29"/>
        <v>277107.85862075689</v>
      </c>
      <c r="CC64" s="38">
        <f t="shared" si="30"/>
        <v>0</v>
      </c>
      <c r="CD64" s="38">
        <f>Inputs!$C$19*(1-Inputs!$C$72*$H64)+Inputs!$C$21+Inputs!$B$72*$J64</f>
        <v>480000</v>
      </c>
      <c r="CE64" s="38">
        <f t="shared" si="31"/>
        <v>-202892.14137924311</v>
      </c>
      <c r="CF64" s="38">
        <f t="shared" si="32"/>
        <v>1</v>
      </c>
      <c r="CG64" s="38">
        <f>MAX(0,MIN(Inputs!$D$36,CL63,CH64+CI64+CJ64+Inputs!$D$6-CK63))</f>
        <v>12903.675261987373</v>
      </c>
      <c r="CH64" s="38">
        <f>Inputs!$D$27*(1+Inputs!$D$28)^($A64/12)*IF(Inputs!$B$72=1,$G64,1)*(1-Inputs!$C$72*$H64*(1-Inputs!$E$54*Inputs!$B$72))*(1+$I64)*IF(Inputs!$D$29=0,1,(MAX(CK63,0)/Inputs!$D$6)^Inputs!$D$29)</f>
        <v>7203.6752619874032</v>
      </c>
      <c r="CI64" s="38">
        <f>Inputs!$D$32*CK63/Inputs!$D$6</f>
        <v>4200</v>
      </c>
      <c r="CJ64" s="38">
        <f>Inputs!$D$33</f>
        <v>1500</v>
      </c>
      <c r="CK64" s="38">
        <f t="shared" si="33"/>
        <v>880000</v>
      </c>
      <c r="CL64" s="38">
        <f t="shared" si="34"/>
        <v>71993.354518358712</v>
      </c>
      <c r="CM64" s="38">
        <f>Inputs!$D$19*(1-Inputs!$C$72*$H64)+Inputs!$D$21+Inputs!$B$72*$J64</f>
        <v>392150</v>
      </c>
      <c r="CN64" s="38">
        <f t="shared" si="35"/>
        <v>487850</v>
      </c>
      <c r="CO64" s="38">
        <f t="shared" si="36"/>
        <v>0</v>
      </c>
      <c r="CP64" s="38">
        <f>MAX(0,MIN(Inputs!$B$36,CU63,CQ64+CR64+CS64+Inputs!$B$6-CT63))</f>
        <v>0</v>
      </c>
      <c r="CQ64" s="38">
        <f>Inputs!$B$27*(1+Inputs!$B$28)^($A64/12)*IF(Inputs!$B$73=1,$G64,1)*(1-Inputs!$C$73*$H64*(1-Inputs!$E$54*Inputs!$B$73))*(1+$I64)*IF(Inputs!$B$29=0,1,(MAX(CT63,0)/Inputs!$B$6)^Inputs!$B$29)</f>
        <v>15714.703171576859</v>
      </c>
      <c r="CR64" s="38">
        <f>Inputs!$B$32*CT63/Inputs!$B$6</f>
        <v>0</v>
      </c>
      <c r="CS64" s="38">
        <f>Inputs!$B$33</f>
        <v>2500</v>
      </c>
      <c r="CT64" s="38">
        <f t="shared" si="37"/>
        <v>0</v>
      </c>
      <c r="CU64" s="38">
        <f t="shared" si="38"/>
        <v>0</v>
      </c>
      <c r="CV64" s="38">
        <f>Inputs!$B$19*(1-Inputs!$C$73*$H64)+Inputs!$B$21+Inputs!$B$73*$J64</f>
        <v>583500</v>
      </c>
      <c r="CW64" s="38">
        <f t="shared" si="39"/>
        <v>-583500</v>
      </c>
      <c r="CX64" s="38">
        <f t="shared" si="40"/>
        <v>1</v>
      </c>
      <c r="CY64" s="38">
        <f>MAX(0,MIN(Inputs!$C$36,DD63,CZ64+DA64+DB64+Inputs!$C$6-DC63))</f>
        <v>0</v>
      </c>
      <c r="CZ64" s="38">
        <f>Inputs!$C$27*(1+Inputs!$C$28)^($A64/12)*IF(Inputs!$B$73=1,$G64,1)*(1-Inputs!$C$73*$H64*(1-Inputs!$E$54*Inputs!$B$73))*(1+$I64)*IF(Inputs!$C$29=0,1,(MAX(DC63,0)/Inputs!$C$6)^Inputs!$C$29)</f>
        <v>8298.226829447678</v>
      </c>
      <c r="DA64" s="38">
        <f>Inputs!$C$32*DC63/Inputs!$C$6</f>
        <v>2840.9796159538478</v>
      </c>
      <c r="DB64" s="38">
        <f>Inputs!$C$33</f>
        <v>2000</v>
      </c>
      <c r="DC64" s="38">
        <f t="shared" si="41"/>
        <v>323569.48877875821</v>
      </c>
      <c r="DD64" s="38">
        <f t="shared" si="42"/>
        <v>0</v>
      </c>
      <c r="DE64" s="38">
        <f>Inputs!$C$19*(1-Inputs!$C$73*$H64)+Inputs!$C$21+Inputs!$B$73*$J64</f>
        <v>486000</v>
      </c>
      <c r="DF64" s="38">
        <f t="shared" si="43"/>
        <v>-162430.51122124179</v>
      </c>
      <c r="DG64" s="38">
        <f t="shared" si="44"/>
        <v>1</v>
      </c>
      <c r="DH64" s="38">
        <f>MAX(0,MIN(Inputs!$D$36,DM63,DI64+DJ64+DK64+Inputs!$D$6-DL63))</f>
        <v>12104.844576999894</v>
      </c>
      <c r="DI64" s="38">
        <f>Inputs!$D$27*(1+Inputs!$D$28)^($A64/12)*IF(Inputs!$B$73=1,$G64,1)*(1-Inputs!$C$73*$H64*(1-Inputs!$E$54*Inputs!$B$73))*(1+$I64)*IF(Inputs!$D$29=0,1,(MAX(DL63,0)/Inputs!$D$6)^Inputs!$D$29)</f>
        <v>6404.8445769998971</v>
      </c>
      <c r="DJ64" s="38">
        <f>Inputs!$D$32*DL63/Inputs!$D$6</f>
        <v>4200</v>
      </c>
      <c r="DK64" s="38">
        <f>Inputs!$D$33</f>
        <v>1500</v>
      </c>
      <c r="DL64" s="38">
        <f t="shared" si="45"/>
        <v>880000</v>
      </c>
      <c r="DM64" s="38">
        <f t="shared" si="46"/>
        <v>117276.92795043113</v>
      </c>
      <c r="DN64" s="38">
        <f>Inputs!$D$19*(1-Inputs!$C$73*$H64)+Inputs!$D$21+Inputs!$B$73*$J64</f>
        <v>398150</v>
      </c>
      <c r="DO64" s="38">
        <f t="shared" si="47"/>
        <v>481850</v>
      </c>
      <c r="DP64" s="38">
        <f t="shared" si="48"/>
        <v>0</v>
      </c>
    </row>
    <row r="65" spans="1:120" x14ac:dyDescent="0.35">
      <c r="A65" s="29">
        <v>60</v>
      </c>
      <c r="B65" s="34">
        <f>EDATE(Inputs!$B$67,$A65)</f>
        <v>48092</v>
      </c>
      <c r="C65" s="35">
        <f>IF(Inputs!$E$47&lt;=0,Inputs!$E$46,Inputs!$E$44+(Inputs!$E$46-Inputs!$E$44)*MIN($A65/Inputs!$E$47,1))</f>
        <v>0.7</v>
      </c>
      <c r="D65" s="35">
        <f>MIN(Inputs!$E$57,Inputs!$E$55*(1+Inputs!$E$56)^($A65/12))*Inputs!$E$58*(1+Inputs!$E$59)^($A65/12)/Inputs!$E$45</f>
        <v>1.5</v>
      </c>
      <c r="E65" s="35">
        <f>MAX(Inputs!$E$44,MIN(C65,D65))</f>
        <v>0.7</v>
      </c>
      <c r="F65" s="35">
        <f>IF(Inputs!$E$50&lt;=0,Inputs!$E$49,Inputs!$E$48+(Inputs!$E$49-Inputs!$E$48)*MIN($A65/Inputs!$E$50,1))</f>
        <v>0.12</v>
      </c>
      <c r="G65" s="36">
        <f>(Inputs!$E$41*(1-E65*Inputs!$E$51)+Inputs!$E$42*(1-F65*Inputs!$E$51))/(Inputs!$E$41*(1-Inputs!$E$44*Inputs!$E$51)+Inputs!$E$42*(1-Inputs!$E$48*Inputs!$E$51))</f>
        <v>0.8423127463863338</v>
      </c>
      <c r="H65" s="35">
        <f>IF(Inputs!$E$53&lt;=0,Inputs!$E$52,Inputs!$E$52*MIN($A65/Inputs!$E$53,1))</f>
        <v>0.1</v>
      </c>
      <c r="I65" s="35">
        <f>IF(Inputs!$E$64&lt;=0,Inputs!$E$63,Inputs!$E$62+(Inputs!$E$63-Inputs!$E$62)*MIN($A65/Inputs!$E$64,1))</f>
        <v>0.03</v>
      </c>
      <c r="J65" s="37">
        <f>(E65-Inputs!$E$44)*Inputs!$E$45/Inputs!$E$60*Inputs!$E$61</f>
        <v>5999.9999999999991</v>
      </c>
      <c r="K65" s="29">
        <f t="shared" si="0"/>
        <v>0</v>
      </c>
      <c r="L65" s="29"/>
      <c r="M65" s="38">
        <f>MAX(0,MIN(Inputs!$B$36,R64,N65+O65+P65+Inputs!$B$6-Q64))</f>
        <v>0</v>
      </c>
      <c r="N65" s="38">
        <f>Inputs!$B$27*(1+Inputs!$B$28)^($A65/12)*IF(Inputs!$B$70=1,$G65,1)*(1-Inputs!$C$70*$H65*(1-Inputs!$E$54*Inputs!$B$70))*(1+$I65)*IF(Inputs!$B$29=0,1,(MAX(Q64,0)/Inputs!$B$6)^Inputs!$B$29)</f>
        <v>19718.550140625</v>
      </c>
      <c r="O65" s="38">
        <f>Inputs!$B$32*Q64/Inputs!$B$6</f>
        <v>0</v>
      </c>
      <c r="P65" s="38">
        <f>Inputs!$B$33</f>
        <v>2500</v>
      </c>
      <c r="Q65" s="38">
        <f t="shared" si="1"/>
        <v>0</v>
      </c>
      <c r="R65" s="38">
        <f t="shared" si="2"/>
        <v>0</v>
      </c>
      <c r="S65" s="38">
        <f>Inputs!$B$19*(1-Inputs!$C$70*$H65)+Inputs!$B$21+Inputs!$B$70*$J65</f>
        <v>595000</v>
      </c>
      <c r="T65" s="38">
        <f t="shared" si="3"/>
        <v>-595000</v>
      </c>
      <c r="U65" s="38">
        <f t="shared" si="4"/>
        <v>1</v>
      </c>
      <c r="V65" s="38">
        <f>MAX(0,MIN(Inputs!$C$36,AA64,W65+X65+Y65+Inputs!$C$6-Z64))</f>
        <v>0</v>
      </c>
      <c r="W65" s="38">
        <f>Inputs!$C$27*(1+Inputs!$C$28)^($A65/12)*IF(Inputs!$B$70=1,$G65,1)*(1-Inputs!$C$70*$H65*(1-Inputs!$E$54*Inputs!$B$70))*(1+$I65)*IF(Inputs!$C$29=0,1,(MAX(Z64,0)/Inputs!$C$6)^Inputs!$C$29)</f>
        <v>9580.4582530545758</v>
      </c>
      <c r="X65" s="38">
        <f>Inputs!$C$32*Z64/Inputs!$C$6</f>
        <v>2069.4738980285442</v>
      </c>
      <c r="Y65" s="38">
        <f>Inputs!$C$33</f>
        <v>2000</v>
      </c>
      <c r="Z65" s="38">
        <f t="shared" si="5"/>
        <v>231621.04835600362</v>
      </c>
      <c r="AA65" s="38">
        <f t="shared" si="6"/>
        <v>0</v>
      </c>
      <c r="AB65" s="38">
        <f>Inputs!$C$19*(1-Inputs!$C$70*$H65)+Inputs!$C$21+Inputs!$B$70*$J65</f>
        <v>495000</v>
      </c>
      <c r="AC65" s="38">
        <f t="shared" si="7"/>
        <v>-263378.95164399641</v>
      </c>
      <c r="AD65" s="38">
        <f t="shared" si="8"/>
        <v>1</v>
      </c>
      <c r="AE65" s="38">
        <f>MAX(0,MIN(Inputs!$D$36,AJ64,AF65+AG65+AH65+Inputs!$D$6-AI64))</f>
        <v>13669.94365625002</v>
      </c>
      <c r="AF65" s="38">
        <f>Inputs!$D$27*(1+Inputs!$D$28)^($A65/12)*IF(Inputs!$B$70=1,$G65,1)*(1-Inputs!$C$70*$H65*(1-Inputs!$E$54*Inputs!$B$70))*(1+$I65)*IF(Inputs!$D$29=0,1,(MAX(AI64,0)/Inputs!$D$6)^Inputs!$D$29)</f>
        <v>7969.9436562500005</v>
      </c>
      <c r="AG65" s="38">
        <f>Inputs!$D$32*AI64/Inputs!$D$6</f>
        <v>4200</v>
      </c>
      <c r="AH65" s="38">
        <f>Inputs!$D$33</f>
        <v>1500</v>
      </c>
      <c r="AI65" s="38">
        <f t="shared" si="9"/>
        <v>880000</v>
      </c>
      <c r="AJ65" s="38">
        <f t="shared" si="10"/>
        <v>27380.722819603165</v>
      </c>
      <c r="AK65" s="38">
        <f>Inputs!$D$19*(1-Inputs!$C$70*$H65)+Inputs!$D$21+Inputs!$B$70*$J65</f>
        <v>404800</v>
      </c>
      <c r="AL65" s="38">
        <f t="shared" si="11"/>
        <v>475200</v>
      </c>
      <c r="AM65" s="38">
        <f t="shared" si="12"/>
        <v>0</v>
      </c>
      <c r="AN65" s="38">
        <f>MAX(0,MIN(Inputs!$B$36,AS64,AO65+AP65+AQ65+Inputs!$B$6-AR64))</f>
        <v>0</v>
      </c>
      <c r="AO65" s="38">
        <f>Inputs!$B$27*(1+Inputs!$B$28)^($A65/12)*IF(Inputs!$B$71=1,$G65,1)*(1-Inputs!$C$71*$H65*(1-Inputs!$E$54*Inputs!$B$71))*(1+$I65)*IF(Inputs!$B$29=0,1,(MAX(AR64,0)/Inputs!$B$6)^Inputs!$B$29)</f>
        <v>16609.186123706473</v>
      </c>
      <c r="AP65" s="38">
        <f>Inputs!$B$32*AR64/Inputs!$B$6</f>
        <v>0</v>
      </c>
      <c r="AQ65" s="38">
        <f>Inputs!$B$33</f>
        <v>2500</v>
      </c>
      <c r="AR65" s="38">
        <f t="shared" si="13"/>
        <v>0</v>
      </c>
      <c r="AS65" s="38">
        <f t="shared" si="14"/>
        <v>0</v>
      </c>
      <c r="AT65" s="38">
        <f>Inputs!$B$19*(1-Inputs!$C$71*$H65)+Inputs!$B$21+Inputs!$B$71*$J65</f>
        <v>601000</v>
      </c>
      <c r="AU65" s="38">
        <f t="shared" si="15"/>
        <v>-601000</v>
      </c>
      <c r="AV65" s="38">
        <f t="shared" si="16"/>
        <v>1</v>
      </c>
      <c r="AW65" s="38">
        <f>MAX(0,MIN(Inputs!$C$36,BB64,AX65+AY65+AZ65+Inputs!$C$6-BA64))</f>
        <v>0</v>
      </c>
      <c r="AX65" s="38">
        <f>Inputs!$C$27*(1+Inputs!$C$28)^($A65/12)*IF(Inputs!$B$71=1,$G65,1)*(1-Inputs!$C$71*$H65*(1-Inputs!$E$54*Inputs!$B$71))*(1+$I65)*IF(Inputs!$C$29=0,1,(MAX(BA64,0)/Inputs!$C$6)^Inputs!$C$29)</f>
        <v>8551.6562386742407</v>
      </c>
      <c r="AY65" s="38">
        <f>Inputs!$C$32*BA64/Inputs!$C$6</f>
        <v>2609.8903989344535</v>
      </c>
      <c r="AZ65" s="38">
        <f>Inputs!$C$33</f>
        <v>2000</v>
      </c>
      <c r="BA65" s="38">
        <f t="shared" si="17"/>
        <v>296158.79693980806</v>
      </c>
      <c r="BB65" s="38">
        <f t="shared" si="18"/>
        <v>0</v>
      </c>
      <c r="BC65" s="38">
        <f>Inputs!$C$19*(1-Inputs!$C$71*$H65)+Inputs!$C$21+Inputs!$B$71*$J65</f>
        <v>501000</v>
      </c>
      <c r="BD65" s="38">
        <f t="shared" si="19"/>
        <v>-204841.20306019194</v>
      </c>
      <c r="BE65" s="38">
        <f t="shared" si="20"/>
        <v>1</v>
      </c>
      <c r="BF65" s="38">
        <f>MAX(0,MIN(Inputs!$D$36,BK64,BG65+BH65+BI65+Inputs!$D$6-BJ64))</f>
        <v>12413.185129640275</v>
      </c>
      <c r="BG65" s="38">
        <f>Inputs!$D$27*(1+Inputs!$D$28)^($A65/12)*IF(Inputs!$B$71=1,$G65,1)*(1-Inputs!$C$71*$H65*(1-Inputs!$E$54*Inputs!$B$71))*(1+$I65)*IF(Inputs!$D$29=0,1,(MAX(BJ64,0)/Inputs!$D$6)^Inputs!$D$29)</f>
        <v>6713.1851296402765</v>
      </c>
      <c r="BH65" s="38">
        <f>Inputs!$D$32*BJ64/Inputs!$D$6</f>
        <v>4200</v>
      </c>
      <c r="BI65" s="38">
        <f>Inputs!$D$33</f>
        <v>1500</v>
      </c>
      <c r="BJ65" s="38">
        <f t="shared" si="21"/>
        <v>880000</v>
      </c>
      <c r="BK65" s="38">
        <f t="shared" si="22"/>
        <v>91611.414826859371</v>
      </c>
      <c r="BL65" s="38">
        <f>Inputs!$D$19*(1-Inputs!$C$71*$H65)+Inputs!$D$21+Inputs!$B$71*$J65</f>
        <v>410800</v>
      </c>
      <c r="BM65" s="38">
        <f t="shared" si="23"/>
        <v>469200</v>
      </c>
      <c r="BN65" s="38">
        <f t="shared" si="24"/>
        <v>0</v>
      </c>
      <c r="BO65" s="38">
        <f>MAX(0,MIN(Inputs!$B$36,BT64,BP65+BQ65+BR65+Inputs!$B$6-BS64))</f>
        <v>0</v>
      </c>
      <c r="BP65" s="38">
        <f>Inputs!$B$27*(1+Inputs!$B$28)^($A65/12)*IF(Inputs!$B$72=1,$G65,1)*(1-Inputs!$C$72*$H65*(1-Inputs!$E$54*Inputs!$B$72))*(1+$I65)*IF(Inputs!$B$29=0,1,(MAX(BS64,0)/Inputs!$B$6)^Inputs!$B$29)</f>
        <v>17746.695126562499</v>
      </c>
      <c r="BQ65" s="38">
        <f>Inputs!$B$32*BS64/Inputs!$B$6</f>
        <v>0</v>
      </c>
      <c r="BR65" s="38">
        <f>Inputs!$B$33</f>
        <v>2500</v>
      </c>
      <c r="BS65" s="38">
        <f t="shared" si="25"/>
        <v>0</v>
      </c>
      <c r="BT65" s="38">
        <f t="shared" si="26"/>
        <v>0</v>
      </c>
      <c r="BU65" s="38">
        <f>Inputs!$B$19*(1-Inputs!$C$72*$H65)+Inputs!$B$21+Inputs!$B$72*$J65</f>
        <v>577500</v>
      </c>
      <c r="BV65" s="38">
        <f t="shared" si="27"/>
        <v>-577500</v>
      </c>
      <c r="BW65" s="38">
        <f t="shared" si="28"/>
        <v>1</v>
      </c>
      <c r="BX65" s="38">
        <f>MAX(0,MIN(Inputs!$C$36,CC64,BY65+BZ65+CA65+Inputs!$C$6-CB64))</f>
        <v>0</v>
      </c>
      <c r="BY65" s="38">
        <f>Inputs!$C$27*(1+Inputs!$C$28)^($A65/12)*IF(Inputs!$B$72=1,$G65,1)*(1-Inputs!$C$72*$H65*(1-Inputs!$E$54*Inputs!$B$72))*(1+$I65)*IF(Inputs!$C$29=0,1,(MAX(CB64,0)/Inputs!$C$6)^Inputs!$C$29)</f>
        <v>8889.5435313269136</v>
      </c>
      <c r="BZ65" s="38">
        <f>Inputs!$C$32*CB64/Inputs!$C$6</f>
        <v>2338.097557112636</v>
      </c>
      <c r="CA65" s="38">
        <f>Inputs!$C$33</f>
        <v>2000</v>
      </c>
      <c r="CB65" s="38">
        <f t="shared" si="29"/>
        <v>263880.21753231733</v>
      </c>
      <c r="CC65" s="38">
        <f t="shared" si="30"/>
        <v>0</v>
      </c>
      <c r="CD65" s="38">
        <f>Inputs!$C$19*(1-Inputs!$C$72*$H65)+Inputs!$C$21+Inputs!$B$72*$J65</f>
        <v>480000</v>
      </c>
      <c r="CE65" s="38">
        <f t="shared" si="31"/>
        <v>-216119.78246768267</v>
      </c>
      <c r="CF65" s="38">
        <f t="shared" si="32"/>
        <v>1</v>
      </c>
      <c r="CG65" s="38">
        <f>MAX(0,MIN(Inputs!$D$36,CL64,CH65+CI65+CJ65+Inputs!$D$6-CK64))</f>
        <v>12872.949290625053</v>
      </c>
      <c r="CH65" s="38">
        <f>Inputs!$D$27*(1+Inputs!$D$28)^($A65/12)*IF(Inputs!$B$72=1,$G65,1)*(1-Inputs!$C$72*$H65*(1-Inputs!$E$54*Inputs!$B$72))*(1+$I65)*IF(Inputs!$D$29=0,1,(MAX(CK64,0)/Inputs!$D$6)^Inputs!$D$29)</f>
        <v>7172.9492906250007</v>
      </c>
      <c r="CI65" s="38">
        <f>Inputs!$D$32*CK64/Inputs!$D$6</f>
        <v>4200</v>
      </c>
      <c r="CJ65" s="38">
        <f>Inputs!$D$33</f>
        <v>1500</v>
      </c>
      <c r="CK65" s="38">
        <f t="shared" si="33"/>
        <v>880000</v>
      </c>
      <c r="CL65" s="38">
        <f t="shared" si="34"/>
        <v>59120.40522773366</v>
      </c>
      <c r="CM65" s="38">
        <f>Inputs!$D$19*(1-Inputs!$C$72*$H65)+Inputs!$D$21+Inputs!$B$72*$J65</f>
        <v>392150</v>
      </c>
      <c r="CN65" s="38">
        <f t="shared" si="35"/>
        <v>487850</v>
      </c>
      <c r="CO65" s="38">
        <f t="shared" si="36"/>
        <v>0</v>
      </c>
      <c r="CP65" s="38">
        <f>MAX(0,MIN(Inputs!$B$36,CU64,CQ65+CR65+CS65+Inputs!$B$6-CT64))</f>
        <v>0</v>
      </c>
      <c r="CQ65" s="38">
        <f>Inputs!$B$27*(1+Inputs!$B$28)^($A65/12)*IF(Inputs!$B$73=1,$G65,1)*(1-Inputs!$C$73*$H65*(1-Inputs!$E$54*Inputs!$B$73))*(1+$I65)*IF(Inputs!$B$29=0,1,(MAX(CT64,0)/Inputs!$B$6)^Inputs!$B$29)</f>
        <v>15778.726817521148</v>
      </c>
      <c r="CR65" s="38">
        <f>Inputs!$B$32*CT64/Inputs!$B$6</f>
        <v>0</v>
      </c>
      <c r="CS65" s="38">
        <f>Inputs!$B$33</f>
        <v>2500</v>
      </c>
      <c r="CT65" s="38">
        <f t="shared" si="37"/>
        <v>0</v>
      </c>
      <c r="CU65" s="38">
        <f t="shared" si="38"/>
        <v>0</v>
      </c>
      <c r="CV65" s="38">
        <f>Inputs!$B$19*(1-Inputs!$C$73*$H65)+Inputs!$B$21+Inputs!$B$73*$J65</f>
        <v>583500</v>
      </c>
      <c r="CW65" s="38">
        <f t="shared" si="39"/>
        <v>-583500</v>
      </c>
      <c r="CX65" s="38">
        <f t="shared" si="40"/>
        <v>1</v>
      </c>
      <c r="CY65" s="38">
        <f>MAX(0,MIN(Inputs!$C$36,DD64,CZ65+DA65+DB65+Inputs!$C$6-DC64))</f>
        <v>0</v>
      </c>
      <c r="CZ65" s="38">
        <f>Inputs!$C$27*(1+Inputs!$C$28)^($A65/12)*IF(Inputs!$B$73=1,$G65,1)*(1-Inputs!$C$73*$H65*(1-Inputs!$E$54*Inputs!$B$73))*(1+$I65)*IF(Inputs!$C$29=0,1,(MAX(DC64,0)/Inputs!$C$6)^Inputs!$C$29)</f>
        <v>8216.0601425963396</v>
      </c>
      <c r="DA65" s="38">
        <f>Inputs!$C$32*DC64/Inputs!$C$6</f>
        <v>2730.1175615707721</v>
      </c>
      <c r="DB65" s="38">
        <f>Inputs!$C$33</f>
        <v>2000</v>
      </c>
      <c r="DC65" s="38">
        <f t="shared" si="41"/>
        <v>310623.31107459107</v>
      </c>
      <c r="DD65" s="38">
        <f t="shared" si="42"/>
        <v>0</v>
      </c>
      <c r="DE65" s="38">
        <f>Inputs!$C$19*(1-Inputs!$C$73*$H65)+Inputs!$C$21+Inputs!$B$73*$J65</f>
        <v>486000</v>
      </c>
      <c r="DF65" s="38">
        <f t="shared" si="43"/>
        <v>-175376.68892540893</v>
      </c>
      <c r="DG65" s="38">
        <f t="shared" si="44"/>
        <v>1</v>
      </c>
      <c r="DH65" s="38">
        <f>MAX(0,MIN(Inputs!$D$36,DM64,DI65+DJ65+DK65+Inputs!$D$6-DL64))</f>
        <v>12077.525873158243</v>
      </c>
      <c r="DI65" s="38">
        <f>Inputs!$D$27*(1+Inputs!$D$28)^($A65/12)*IF(Inputs!$B$73=1,$G65,1)*(1-Inputs!$C$73*$H65*(1-Inputs!$E$54*Inputs!$B$73))*(1+$I65)*IF(Inputs!$D$29=0,1,(MAX(DL64,0)/Inputs!$D$6)^Inputs!$D$29)</f>
        <v>6377.5258731582626</v>
      </c>
      <c r="DJ65" s="38">
        <f>Inputs!$D$32*DL64/Inputs!$D$6</f>
        <v>4200</v>
      </c>
      <c r="DK65" s="38">
        <f>Inputs!$D$33</f>
        <v>1500</v>
      </c>
      <c r="DL65" s="38">
        <f t="shared" si="45"/>
        <v>880000</v>
      </c>
      <c r="DM65" s="38">
        <f t="shared" si="46"/>
        <v>105199.40207727288</v>
      </c>
      <c r="DN65" s="38">
        <f>Inputs!$D$19*(1-Inputs!$C$73*$H65)+Inputs!$D$21+Inputs!$B$73*$J65</f>
        <v>398150</v>
      </c>
      <c r="DO65" s="38">
        <f t="shared" si="47"/>
        <v>481850</v>
      </c>
      <c r="DP65" s="38">
        <f t="shared" si="48"/>
        <v>0</v>
      </c>
    </row>
    <row r="66" spans="1:120" x14ac:dyDescent="0.35">
      <c r="A66" s="29">
        <v>61</v>
      </c>
      <c r="B66" s="34">
        <f>EDATE(Inputs!$B$67,$A66)</f>
        <v>48122</v>
      </c>
      <c r="C66" s="35">
        <f>IF(Inputs!$E$47&lt;=0,Inputs!$E$46,Inputs!$E$44+(Inputs!$E$46-Inputs!$E$44)*MIN($A66/Inputs!$E$47,1))</f>
        <v>0.7</v>
      </c>
      <c r="D66" s="35">
        <f>MIN(Inputs!$E$57,Inputs!$E$55*(1+Inputs!$E$56)^($A66/12))*Inputs!$E$58*(1+Inputs!$E$59)^($A66/12)/Inputs!$E$45</f>
        <v>1.5</v>
      </c>
      <c r="E66" s="35">
        <f>MAX(Inputs!$E$44,MIN(C66,D66))</f>
        <v>0.7</v>
      </c>
      <c r="F66" s="35">
        <f>IF(Inputs!$E$50&lt;=0,Inputs!$E$49,Inputs!$E$48+(Inputs!$E$49-Inputs!$E$48)*MIN($A66/Inputs!$E$50,1))</f>
        <v>0.12</v>
      </c>
      <c r="G66" s="36">
        <f>(Inputs!$E$41*(1-E66*Inputs!$E$51)+Inputs!$E$42*(1-F66*Inputs!$E$51))/(Inputs!$E$41*(1-Inputs!$E$44*Inputs!$E$51)+Inputs!$E$42*(1-Inputs!$E$48*Inputs!$E$51))</f>
        <v>0.8423127463863338</v>
      </c>
      <c r="H66" s="35">
        <f>IF(Inputs!$E$53&lt;=0,Inputs!$E$52,Inputs!$E$52*MIN($A66/Inputs!$E$53,1))</f>
        <v>0.1</v>
      </c>
      <c r="I66" s="35">
        <f>IF(Inputs!$E$64&lt;=0,Inputs!$E$63,Inputs!$E$62+(Inputs!$E$63-Inputs!$E$62)*MIN($A66/Inputs!$E$64,1))</f>
        <v>0.03</v>
      </c>
      <c r="J66" s="37">
        <f>(E66-Inputs!$E$44)*Inputs!$E$45/Inputs!$E$60*Inputs!$E$61</f>
        <v>5999.9999999999991</v>
      </c>
      <c r="K66" s="29">
        <f t="shared" si="0"/>
        <v>0</v>
      </c>
      <c r="L66" s="29"/>
      <c r="M66" s="38">
        <f>MAX(0,MIN(Inputs!$B$36,R65,N66+O66+P66+Inputs!$B$6-Q65))</f>
        <v>0</v>
      </c>
      <c r="N66" s="38">
        <f>Inputs!$B$27*(1+Inputs!$B$28)^($A66/12)*IF(Inputs!$B$70=1,$G66,1)*(1-Inputs!$C$70*$H66*(1-Inputs!$E$54*Inputs!$B$70))*(1+$I66)*IF(Inputs!$B$29=0,1,(MAX(Q65,0)/Inputs!$B$6)^Inputs!$B$29)</f>
        <v>19798.885954731988</v>
      </c>
      <c r="O66" s="38">
        <f>Inputs!$B$32*Q65/Inputs!$B$6</f>
        <v>0</v>
      </c>
      <c r="P66" s="38">
        <f>Inputs!$B$33</f>
        <v>2500</v>
      </c>
      <c r="Q66" s="38">
        <f t="shared" si="1"/>
        <v>0</v>
      </c>
      <c r="R66" s="38">
        <f t="shared" si="2"/>
        <v>0</v>
      </c>
      <c r="S66" s="38">
        <f>Inputs!$B$19*(1-Inputs!$C$70*$H66)+Inputs!$B$21+Inputs!$B$70*$J66</f>
        <v>595000</v>
      </c>
      <c r="T66" s="38">
        <f t="shared" si="3"/>
        <v>-595000</v>
      </c>
      <c r="U66" s="38">
        <f t="shared" si="4"/>
        <v>1</v>
      </c>
      <c r="V66" s="38">
        <f>MAX(0,MIN(Inputs!$C$36,AA65,W66+X66+Y66+Inputs!$C$6-Z65))</f>
        <v>0</v>
      </c>
      <c r="W66" s="38">
        <f>Inputs!$C$27*(1+Inputs!$C$28)^($A66/12)*IF(Inputs!$B$70=1,$G66,1)*(1-Inputs!$C$70*$H66*(1-Inputs!$E$54*Inputs!$B$70))*(1+$I66)*IF(Inputs!$C$29=0,1,(MAX(Z65,0)/Inputs!$C$6)^Inputs!$C$29)</f>
        <v>9444.2885317669079</v>
      </c>
      <c r="X66" s="38">
        <f>Inputs!$C$32*Z65/Inputs!$C$6</f>
        <v>1954.3025955037801</v>
      </c>
      <c r="Y66" s="38">
        <f>Inputs!$C$33</f>
        <v>2000</v>
      </c>
      <c r="Z66" s="38">
        <f t="shared" si="5"/>
        <v>218222.45722873294</v>
      </c>
      <c r="AA66" s="38">
        <f t="shared" si="6"/>
        <v>0</v>
      </c>
      <c r="AB66" s="38">
        <f>Inputs!$C$19*(1-Inputs!$C$70*$H66)+Inputs!$C$21+Inputs!$B$70*$J66</f>
        <v>495000</v>
      </c>
      <c r="AC66" s="38">
        <f t="shared" si="7"/>
        <v>-276777.54277126706</v>
      </c>
      <c r="AD66" s="38">
        <f t="shared" si="8"/>
        <v>1</v>
      </c>
      <c r="AE66" s="38">
        <f>MAX(0,MIN(Inputs!$D$36,AJ65,AF66+AG66+AH66+Inputs!$D$6-AI65))</f>
        <v>13635.949305916904</v>
      </c>
      <c r="AF66" s="38">
        <f>Inputs!$D$27*(1+Inputs!$D$28)^($A66/12)*IF(Inputs!$B$70=1,$G66,1)*(1-Inputs!$C$70*$H66*(1-Inputs!$E$54*Inputs!$B$70))*(1+$I66)*IF(Inputs!$D$29=0,1,(MAX(AI65,0)/Inputs!$D$6)^Inputs!$D$29)</f>
        <v>7935.9493059168944</v>
      </c>
      <c r="AG66" s="38">
        <f>Inputs!$D$32*AI65/Inputs!$D$6</f>
        <v>4200</v>
      </c>
      <c r="AH66" s="38">
        <f>Inputs!$D$33</f>
        <v>1500</v>
      </c>
      <c r="AI66" s="38">
        <f t="shared" si="9"/>
        <v>880000</v>
      </c>
      <c r="AJ66" s="38">
        <f t="shared" si="10"/>
        <v>13744.773513686261</v>
      </c>
      <c r="AK66" s="38">
        <f>Inputs!$D$19*(1-Inputs!$C$70*$H66)+Inputs!$D$21+Inputs!$B$70*$J66</f>
        <v>404800</v>
      </c>
      <c r="AL66" s="38">
        <f t="shared" si="11"/>
        <v>475200</v>
      </c>
      <c r="AM66" s="38">
        <f t="shared" si="12"/>
        <v>0</v>
      </c>
      <c r="AN66" s="38">
        <f>MAX(0,MIN(Inputs!$B$36,AS65,AO66+AP66+AQ66+Inputs!$B$6-AR65))</f>
        <v>0</v>
      </c>
      <c r="AO66" s="38">
        <f>Inputs!$B$27*(1+Inputs!$B$28)^($A66/12)*IF(Inputs!$B$71=1,$G66,1)*(1-Inputs!$C$71*$H66*(1-Inputs!$E$54*Inputs!$B$71))*(1+$I66)*IF(Inputs!$B$29=0,1,(MAX(AR65,0)/Inputs!$B$6)^Inputs!$B$29)</f>
        <v>16676.854003920111</v>
      </c>
      <c r="AP66" s="38">
        <f>Inputs!$B$32*AR65/Inputs!$B$6</f>
        <v>0</v>
      </c>
      <c r="AQ66" s="38">
        <f>Inputs!$B$33</f>
        <v>2500</v>
      </c>
      <c r="AR66" s="38">
        <f t="shared" si="13"/>
        <v>0</v>
      </c>
      <c r="AS66" s="38">
        <f t="shared" si="14"/>
        <v>0</v>
      </c>
      <c r="AT66" s="38">
        <f>Inputs!$B$19*(1-Inputs!$C$71*$H66)+Inputs!$B$21+Inputs!$B$71*$J66</f>
        <v>601000</v>
      </c>
      <c r="AU66" s="38">
        <f t="shared" si="15"/>
        <v>-601000</v>
      </c>
      <c r="AV66" s="38">
        <f t="shared" si="16"/>
        <v>1</v>
      </c>
      <c r="AW66" s="38">
        <f>MAX(0,MIN(Inputs!$C$36,BB65,AX66+AY66+AZ66+Inputs!$C$6-BA65))</f>
        <v>0</v>
      </c>
      <c r="AX66" s="38">
        <f>Inputs!$C$27*(1+Inputs!$C$28)^($A66/12)*IF(Inputs!$B$71=1,$G66,1)*(1-Inputs!$C$71*$H66*(1-Inputs!$E$54*Inputs!$B$71))*(1+$I66)*IF(Inputs!$C$29=0,1,(MAX(BA65,0)/Inputs!$C$6)^Inputs!$C$29)</f>
        <v>8459.1996095893028</v>
      </c>
      <c r="AY66" s="38">
        <f>Inputs!$C$32*BA65/Inputs!$C$6</f>
        <v>2498.8398491796302</v>
      </c>
      <c r="AZ66" s="38">
        <f>Inputs!$C$33</f>
        <v>2000</v>
      </c>
      <c r="BA66" s="38">
        <f t="shared" si="17"/>
        <v>283200.75748103915</v>
      </c>
      <c r="BB66" s="38">
        <f t="shared" si="18"/>
        <v>0</v>
      </c>
      <c r="BC66" s="38">
        <f>Inputs!$C$19*(1-Inputs!$C$71*$H66)+Inputs!$C$21+Inputs!$B$71*$J66</f>
        <v>501000</v>
      </c>
      <c r="BD66" s="38">
        <f t="shared" si="19"/>
        <v>-217799.24251896085</v>
      </c>
      <c r="BE66" s="38">
        <f t="shared" si="20"/>
        <v>1</v>
      </c>
      <c r="BF66" s="38">
        <f>MAX(0,MIN(Inputs!$D$36,BK65,BG66+BH66+BI66+Inputs!$D$6-BJ65))</f>
        <v>12384.551255049533</v>
      </c>
      <c r="BG66" s="38">
        <f>Inputs!$D$27*(1+Inputs!$D$28)^($A66/12)*IF(Inputs!$B$71=1,$G66,1)*(1-Inputs!$C$71*$H66*(1-Inputs!$E$54*Inputs!$B$71))*(1+$I66)*IF(Inputs!$D$29=0,1,(MAX(BJ65,0)/Inputs!$D$6)^Inputs!$D$29)</f>
        <v>6684.5512550495787</v>
      </c>
      <c r="BH66" s="38">
        <f>Inputs!$D$32*BJ65/Inputs!$D$6</f>
        <v>4200</v>
      </c>
      <c r="BI66" s="38">
        <f>Inputs!$D$33</f>
        <v>1500</v>
      </c>
      <c r="BJ66" s="38">
        <f t="shared" si="21"/>
        <v>880000</v>
      </c>
      <c r="BK66" s="38">
        <f t="shared" si="22"/>
        <v>79226.863571809838</v>
      </c>
      <c r="BL66" s="38">
        <f>Inputs!$D$19*(1-Inputs!$C$71*$H66)+Inputs!$D$21+Inputs!$B$71*$J66</f>
        <v>410800</v>
      </c>
      <c r="BM66" s="38">
        <f t="shared" si="23"/>
        <v>469200</v>
      </c>
      <c r="BN66" s="38">
        <f t="shared" si="24"/>
        <v>0</v>
      </c>
      <c r="BO66" s="38">
        <f>MAX(0,MIN(Inputs!$B$36,BT65,BP66+BQ66+BR66+Inputs!$B$6-BS65))</f>
        <v>0</v>
      </c>
      <c r="BP66" s="38">
        <f>Inputs!$B$27*(1+Inputs!$B$28)^($A66/12)*IF(Inputs!$B$72=1,$G66,1)*(1-Inputs!$C$72*$H66*(1-Inputs!$E$54*Inputs!$B$72))*(1+$I66)*IF(Inputs!$B$29=0,1,(MAX(BS65,0)/Inputs!$B$6)^Inputs!$B$29)</f>
        <v>17818.997359258788</v>
      </c>
      <c r="BQ66" s="38">
        <f>Inputs!$B$32*BS65/Inputs!$B$6</f>
        <v>0</v>
      </c>
      <c r="BR66" s="38">
        <f>Inputs!$B$33</f>
        <v>2500</v>
      </c>
      <c r="BS66" s="38">
        <f t="shared" si="25"/>
        <v>0</v>
      </c>
      <c r="BT66" s="38">
        <f t="shared" si="26"/>
        <v>0</v>
      </c>
      <c r="BU66" s="38">
        <f>Inputs!$B$19*(1-Inputs!$C$72*$H66)+Inputs!$B$21+Inputs!$B$72*$J66</f>
        <v>577500</v>
      </c>
      <c r="BV66" s="38">
        <f t="shared" si="27"/>
        <v>-577500</v>
      </c>
      <c r="BW66" s="38">
        <f t="shared" si="28"/>
        <v>1</v>
      </c>
      <c r="BX66" s="38">
        <f>MAX(0,MIN(Inputs!$C$36,CC65,BY66+BZ66+CA66+Inputs!$C$6-CB65))</f>
        <v>0</v>
      </c>
      <c r="BY66" s="38">
        <f>Inputs!$C$27*(1+Inputs!$C$28)^($A66/12)*IF(Inputs!$B$72=1,$G66,1)*(1-Inputs!$C$72*$H66*(1-Inputs!$E$54*Inputs!$B$72))*(1+$I66)*IF(Inputs!$C$29=0,1,(MAX(CB65,0)/Inputs!$C$6)^Inputs!$C$29)</f>
        <v>8781.5051176323468</v>
      </c>
      <c r="BZ66" s="38">
        <f>Inputs!$C$32*CB65/Inputs!$C$6</f>
        <v>2226.4893354289275</v>
      </c>
      <c r="CA66" s="38">
        <f>Inputs!$C$33</f>
        <v>2000</v>
      </c>
      <c r="CB66" s="38">
        <f t="shared" si="29"/>
        <v>250872.22307925607</v>
      </c>
      <c r="CC66" s="38">
        <f t="shared" si="30"/>
        <v>0</v>
      </c>
      <c r="CD66" s="38">
        <f>Inputs!$C$19*(1-Inputs!$C$72*$H66)+Inputs!$C$21+Inputs!$B$72*$J66</f>
        <v>480000</v>
      </c>
      <c r="CE66" s="38">
        <f t="shared" si="31"/>
        <v>-229127.77692074393</v>
      </c>
      <c r="CF66" s="38">
        <f t="shared" si="32"/>
        <v>1</v>
      </c>
      <c r="CG66" s="38">
        <f>MAX(0,MIN(Inputs!$D$36,CL65,CH66+CI66+CJ66+Inputs!$D$6-CK65))</f>
        <v>12842.35437532526</v>
      </c>
      <c r="CH66" s="38">
        <f>Inputs!$D$27*(1+Inputs!$D$28)^($A66/12)*IF(Inputs!$B$72=1,$G66,1)*(1-Inputs!$C$72*$H66*(1-Inputs!$E$54*Inputs!$B$72))*(1+$I66)*IF(Inputs!$D$29=0,1,(MAX(CK65,0)/Inputs!$D$6)^Inputs!$D$29)</f>
        <v>7142.3543753252052</v>
      </c>
      <c r="CI66" s="38">
        <f>Inputs!$D$32*CK65/Inputs!$D$6</f>
        <v>4200</v>
      </c>
      <c r="CJ66" s="38">
        <f>Inputs!$D$33</f>
        <v>1500</v>
      </c>
      <c r="CK66" s="38">
        <f t="shared" si="33"/>
        <v>880000</v>
      </c>
      <c r="CL66" s="38">
        <f t="shared" si="34"/>
        <v>46278.0508524084</v>
      </c>
      <c r="CM66" s="38">
        <f>Inputs!$D$19*(1-Inputs!$C$72*$H66)+Inputs!$D$21+Inputs!$B$72*$J66</f>
        <v>392150</v>
      </c>
      <c r="CN66" s="38">
        <f t="shared" si="35"/>
        <v>487850</v>
      </c>
      <c r="CO66" s="38">
        <f t="shared" si="36"/>
        <v>0</v>
      </c>
      <c r="CP66" s="38">
        <f>MAX(0,MIN(Inputs!$B$36,CU65,CQ66+CR66+CS66+Inputs!$B$6-CT65))</f>
        <v>0</v>
      </c>
      <c r="CQ66" s="38">
        <f>Inputs!$B$27*(1+Inputs!$B$28)^($A66/12)*IF(Inputs!$B$73=1,$G66,1)*(1-Inputs!$C$73*$H66*(1-Inputs!$E$54*Inputs!$B$73))*(1+$I66)*IF(Inputs!$B$29=0,1,(MAX(CT65,0)/Inputs!$B$6)^Inputs!$B$29)</f>
        <v>15843.011303724104</v>
      </c>
      <c r="CR66" s="38">
        <f>Inputs!$B$32*CT65/Inputs!$B$6</f>
        <v>0</v>
      </c>
      <c r="CS66" s="38">
        <f>Inputs!$B$33</f>
        <v>2500</v>
      </c>
      <c r="CT66" s="38">
        <f t="shared" si="37"/>
        <v>0</v>
      </c>
      <c r="CU66" s="38">
        <f t="shared" si="38"/>
        <v>0</v>
      </c>
      <c r="CV66" s="38">
        <f>Inputs!$B$19*(1-Inputs!$C$73*$H66)+Inputs!$B$21+Inputs!$B$73*$J66</f>
        <v>583500</v>
      </c>
      <c r="CW66" s="38">
        <f t="shared" si="39"/>
        <v>-583500</v>
      </c>
      <c r="CX66" s="38">
        <f t="shared" si="40"/>
        <v>1</v>
      </c>
      <c r="CY66" s="38">
        <f>MAX(0,MIN(Inputs!$C$36,DD65,CZ66+DA66+DB66+Inputs!$C$6-DC65))</f>
        <v>0</v>
      </c>
      <c r="CZ66" s="38">
        <f>Inputs!$C$27*(1+Inputs!$C$28)^($A66/12)*IF(Inputs!$B$73=1,$G66,1)*(1-Inputs!$C$73*$H66*(1-Inputs!$E$54*Inputs!$B$73))*(1+$I66)*IF(Inputs!$C$29=0,1,(MAX(DC65,0)/Inputs!$C$6)^Inputs!$C$29)</f>
        <v>8132.6153184624118</v>
      </c>
      <c r="DA66" s="38">
        <f>Inputs!$C$32*DC65/Inputs!$C$6</f>
        <v>2620.8841871918617</v>
      </c>
      <c r="DB66" s="38">
        <f>Inputs!$C$33</f>
        <v>2000</v>
      </c>
      <c r="DC66" s="38">
        <f t="shared" si="41"/>
        <v>297869.8115689368</v>
      </c>
      <c r="DD66" s="38">
        <f t="shared" si="42"/>
        <v>0</v>
      </c>
      <c r="DE66" s="38">
        <f>Inputs!$C$19*(1-Inputs!$C$73*$H66)+Inputs!$C$21+Inputs!$B$73*$J66</f>
        <v>486000</v>
      </c>
      <c r="DF66" s="38">
        <f t="shared" si="43"/>
        <v>-188130.1884310632</v>
      </c>
      <c r="DG66" s="38">
        <f t="shared" si="44"/>
        <v>1</v>
      </c>
      <c r="DH66" s="38">
        <f>MAX(0,MIN(Inputs!$D$36,DM65,DI66+DJ66+DK66+Inputs!$D$6-DL65))</f>
        <v>12050.323692297097</v>
      </c>
      <c r="DI66" s="38">
        <f>Inputs!$D$27*(1+Inputs!$D$28)^($A66/12)*IF(Inputs!$B$73=1,$G66,1)*(1-Inputs!$C$73*$H66*(1-Inputs!$E$54*Inputs!$B$73))*(1+$I66)*IF(Inputs!$D$29=0,1,(MAX(DL65,0)/Inputs!$D$6)^Inputs!$D$29)</f>
        <v>6350.3236922970991</v>
      </c>
      <c r="DJ66" s="38">
        <f>Inputs!$D$32*DL65/Inputs!$D$6</f>
        <v>4200</v>
      </c>
      <c r="DK66" s="38">
        <f>Inputs!$D$33</f>
        <v>1500</v>
      </c>
      <c r="DL66" s="38">
        <f t="shared" si="45"/>
        <v>880000</v>
      </c>
      <c r="DM66" s="38">
        <f t="shared" si="46"/>
        <v>93149.078384975786</v>
      </c>
      <c r="DN66" s="38">
        <f>Inputs!$D$19*(1-Inputs!$C$73*$H66)+Inputs!$D$21+Inputs!$B$73*$J66</f>
        <v>398150</v>
      </c>
      <c r="DO66" s="38">
        <f t="shared" si="47"/>
        <v>481850</v>
      </c>
      <c r="DP66" s="38">
        <f t="shared" si="48"/>
        <v>0</v>
      </c>
    </row>
    <row r="67" spans="1:120" x14ac:dyDescent="0.35">
      <c r="A67" s="29">
        <v>62</v>
      </c>
      <c r="B67" s="34">
        <f>EDATE(Inputs!$B$67,$A67)</f>
        <v>48153</v>
      </c>
      <c r="C67" s="35">
        <f>IF(Inputs!$E$47&lt;=0,Inputs!$E$46,Inputs!$E$44+(Inputs!$E$46-Inputs!$E$44)*MIN($A67/Inputs!$E$47,1))</f>
        <v>0.7</v>
      </c>
      <c r="D67" s="35">
        <f>MIN(Inputs!$E$57,Inputs!$E$55*(1+Inputs!$E$56)^($A67/12))*Inputs!$E$58*(1+Inputs!$E$59)^($A67/12)/Inputs!$E$45</f>
        <v>1.5</v>
      </c>
      <c r="E67" s="35">
        <f>MAX(Inputs!$E$44,MIN(C67,D67))</f>
        <v>0.7</v>
      </c>
      <c r="F67" s="35">
        <f>IF(Inputs!$E$50&lt;=0,Inputs!$E$49,Inputs!$E$48+(Inputs!$E$49-Inputs!$E$48)*MIN($A67/Inputs!$E$50,1))</f>
        <v>0.12</v>
      </c>
      <c r="G67" s="36">
        <f>(Inputs!$E$41*(1-E67*Inputs!$E$51)+Inputs!$E$42*(1-F67*Inputs!$E$51))/(Inputs!$E$41*(1-Inputs!$E$44*Inputs!$E$51)+Inputs!$E$42*(1-Inputs!$E$48*Inputs!$E$51))</f>
        <v>0.8423127463863338</v>
      </c>
      <c r="H67" s="35">
        <f>IF(Inputs!$E$53&lt;=0,Inputs!$E$52,Inputs!$E$52*MIN($A67/Inputs!$E$53,1))</f>
        <v>0.1</v>
      </c>
      <c r="I67" s="35">
        <f>IF(Inputs!$E$64&lt;=0,Inputs!$E$63,Inputs!$E$62+(Inputs!$E$63-Inputs!$E$62)*MIN($A67/Inputs!$E$64,1))</f>
        <v>0.03</v>
      </c>
      <c r="J67" s="37">
        <f>(E67-Inputs!$E$44)*Inputs!$E$45/Inputs!$E$60*Inputs!$E$61</f>
        <v>5999.9999999999991</v>
      </c>
      <c r="K67" s="29">
        <f t="shared" si="0"/>
        <v>0</v>
      </c>
      <c r="L67" s="29"/>
      <c r="M67" s="38">
        <f>MAX(0,MIN(Inputs!$B$36,R66,N67+O67+P67+Inputs!$B$6-Q66))</f>
        <v>0</v>
      </c>
      <c r="N67" s="38">
        <f>Inputs!$B$27*(1+Inputs!$B$28)^($A67/12)*IF(Inputs!$B$70=1,$G67,1)*(1-Inputs!$C$70*$H67*(1-Inputs!$E$54*Inputs!$B$70))*(1+$I67)*IF(Inputs!$B$29=0,1,(MAX(Q66,0)/Inputs!$B$6)^Inputs!$B$29)</f>
        <v>19879.5490668899</v>
      </c>
      <c r="O67" s="38">
        <f>Inputs!$B$32*Q66/Inputs!$B$6</f>
        <v>0</v>
      </c>
      <c r="P67" s="38">
        <f>Inputs!$B$33</f>
        <v>2500</v>
      </c>
      <c r="Q67" s="38">
        <f t="shared" si="1"/>
        <v>0</v>
      </c>
      <c r="R67" s="38">
        <f t="shared" si="2"/>
        <v>0</v>
      </c>
      <c r="S67" s="38">
        <f>Inputs!$B$19*(1-Inputs!$C$70*$H67)+Inputs!$B$21+Inputs!$B$70*$J67</f>
        <v>595000</v>
      </c>
      <c r="T67" s="38">
        <f t="shared" si="3"/>
        <v>-595000</v>
      </c>
      <c r="U67" s="38">
        <f t="shared" si="4"/>
        <v>1</v>
      </c>
      <c r="V67" s="38">
        <f>MAX(0,MIN(Inputs!$C$36,AA66,W67+X67+Y67+Inputs!$C$6-Z66))</f>
        <v>0</v>
      </c>
      <c r="W67" s="38">
        <f>Inputs!$C$27*(1+Inputs!$C$28)^($A67/12)*IF(Inputs!$B$70=1,$G67,1)*(1-Inputs!$C$70*$H67*(1-Inputs!$E$54*Inputs!$B$70))*(1+$I67)*IF(Inputs!$C$29=0,1,(MAX(Z66,0)/Inputs!$C$6)^Inputs!$C$29)</f>
        <v>9304.6405702518623</v>
      </c>
      <c r="X67" s="38">
        <f>Inputs!$C$32*Z66/Inputs!$C$6</f>
        <v>1841.251982867434</v>
      </c>
      <c r="Y67" s="38">
        <f>Inputs!$C$33</f>
        <v>2000</v>
      </c>
      <c r="Z67" s="38">
        <f t="shared" si="5"/>
        <v>205076.56467561366</v>
      </c>
      <c r="AA67" s="38">
        <f t="shared" si="6"/>
        <v>0</v>
      </c>
      <c r="AB67" s="38">
        <f>Inputs!$C$19*(1-Inputs!$C$70*$H67)+Inputs!$C$21+Inputs!$B$70*$J67</f>
        <v>495000</v>
      </c>
      <c r="AC67" s="38">
        <f t="shared" si="7"/>
        <v>-289923.43532438634</v>
      </c>
      <c r="AD67" s="38">
        <f t="shared" si="8"/>
        <v>1</v>
      </c>
      <c r="AE67" s="38">
        <f>MAX(0,MIN(Inputs!$D$36,AJ66,AF67+AG67+AH67+Inputs!$D$6-AI66))</f>
        <v>13602.099952324643</v>
      </c>
      <c r="AF67" s="38">
        <f>Inputs!$D$27*(1+Inputs!$D$28)^($A67/12)*IF(Inputs!$B$70=1,$G67,1)*(1-Inputs!$C$70*$H67*(1-Inputs!$E$54*Inputs!$B$70))*(1+$I67)*IF(Inputs!$D$29=0,1,(MAX(AI66,0)/Inputs!$D$6)^Inputs!$D$29)</f>
        <v>7902.0999523245973</v>
      </c>
      <c r="AG67" s="38">
        <f>Inputs!$D$32*AI66/Inputs!$D$6</f>
        <v>4200</v>
      </c>
      <c r="AH67" s="38">
        <f>Inputs!$D$33</f>
        <v>1500</v>
      </c>
      <c r="AI67" s="38">
        <f t="shared" si="9"/>
        <v>880000</v>
      </c>
      <c r="AJ67" s="38">
        <f t="shared" si="10"/>
        <v>142.67356136161834</v>
      </c>
      <c r="AK67" s="38">
        <f>Inputs!$D$19*(1-Inputs!$C$70*$H67)+Inputs!$D$21+Inputs!$B$70*$J67</f>
        <v>404800</v>
      </c>
      <c r="AL67" s="38">
        <f t="shared" si="11"/>
        <v>475200</v>
      </c>
      <c r="AM67" s="38">
        <f t="shared" si="12"/>
        <v>0</v>
      </c>
      <c r="AN67" s="38">
        <f>MAX(0,MIN(Inputs!$B$36,AS66,AO67+AP67+AQ67+Inputs!$B$6-AR66))</f>
        <v>0</v>
      </c>
      <c r="AO67" s="38">
        <f>Inputs!$B$27*(1+Inputs!$B$28)^($A67/12)*IF(Inputs!$B$71=1,$G67,1)*(1-Inputs!$C$71*$H67*(1-Inputs!$E$54*Inputs!$B$71))*(1+$I67)*IF(Inputs!$B$29=0,1,(MAX(AR66,0)/Inputs!$B$6)^Inputs!$B$29)</f>
        <v>16744.797571453913</v>
      </c>
      <c r="AP67" s="38">
        <f>Inputs!$B$32*AR66/Inputs!$B$6</f>
        <v>0</v>
      </c>
      <c r="AQ67" s="38">
        <f>Inputs!$B$33</f>
        <v>2500</v>
      </c>
      <c r="AR67" s="38">
        <f t="shared" si="13"/>
        <v>0</v>
      </c>
      <c r="AS67" s="38">
        <f t="shared" si="14"/>
        <v>0</v>
      </c>
      <c r="AT67" s="38">
        <f>Inputs!$B$19*(1-Inputs!$C$71*$H67)+Inputs!$B$21+Inputs!$B$71*$J67</f>
        <v>601000</v>
      </c>
      <c r="AU67" s="38">
        <f t="shared" si="15"/>
        <v>-601000</v>
      </c>
      <c r="AV67" s="38">
        <f t="shared" si="16"/>
        <v>1</v>
      </c>
      <c r="AW67" s="38">
        <f>MAX(0,MIN(Inputs!$C$36,BB66,AX67+AY67+AZ67+Inputs!$C$6-BA66))</f>
        <v>0</v>
      </c>
      <c r="AX67" s="38">
        <f>Inputs!$C$27*(1+Inputs!$C$28)^($A67/12)*IF(Inputs!$B$71=1,$G67,1)*(1-Inputs!$C$71*$H67*(1-Inputs!$E$54*Inputs!$B$71))*(1+$I67)*IF(Inputs!$C$29=0,1,(MAX(BA66,0)/Inputs!$C$6)^Inputs!$C$29)</f>
        <v>8365.1111580983834</v>
      </c>
      <c r="AY67" s="38">
        <f>Inputs!$C$32*BA66/Inputs!$C$6</f>
        <v>2389.5063912462674</v>
      </c>
      <c r="AZ67" s="38">
        <f>Inputs!$C$33</f>
        <v>2000</v>
      </c>
      <c r="BA67" s="38">
        <f t="shared" si="17"/>
        <v>270446.13993169449</v>
      </c>
      <c r="BB67" s="38">
        <f t="shared" si="18"/>
        <v>0</v>
      </c>
      <c r="BC67" s="38">
        <f>Inputs!$C$19*(1-Inputs!$C$71*$H67)+Inputs!$C$21+Inputs!$B$71*$J67</f>
        <v>501000</v>
      </c>
      <c r="BD67" s="38">
        <f t="shared" si="19"/>
        <v>-230553.86006830551</v>
      </c>
      <c r="BE67" s="38">
        <f t="shared" si="20"/>
        <v>1</v>
      </c>
      <c r="BF67" s="38">
        <f>MAX(0,MIN(Inputs!$D$36,BK66,BG67+BH67+BI67+Inputs!$D$6-BJ66))</f>
        <v>12356.039513061871</v>
      </c>
      <c r="BG67" s="38">
        <f>Inputs!$D$27*(1+Inputs!$D$28)^($A67/12)*IF(Inputs!$B$71=1,$G67,1)*(1-Inputs!$C$71*$H67*(1-Inputs!$E$54*Inputs!$B$71))*(1+$I67)*IF(Inputs!$D$29=0,1,(MAX(BJ66,0)/Inputs!$D$6)^Inputs!$D$29)</f>
        <v>6656.039513061849</v>
      </c>
      <c r="BH67" s="38">
        <f>Inputs!$D$32*BJ66/Inputs!$D$6</f>
        <v>4200</v>
      </c>
      <c r="BI67" s="38">
        <f>Inputs!$D$33</f>
        <v>1500</v>
      </c>
      <c r="BJ67" s="38">
        <f t="shared" si="21"/>
        <v>880000</v>
      </c>
      <c r="BK67" s="38">
        <f t="shared" si="22"/>
        <v>66870.824058747967</v>
      </c>
      <c r="BL67" s="38">
        <f>Inputs!$D$19*(1-Inputs!$C$71*$H67)+Inputs!$D$21+Inputs!$B$71*$J67</f>
        <v>410800</v>
      </c>
      <c r="BM67" s="38">
        <f t="shared" si="23"/>
        <v>469200</v>
      </c>
      <c r="BN67" s="38">
        <f t="shared" si="24"/>
        <v>0</v>
      </c>
      <c r="BO67" s="38">
        <f>MAX(0,MIN(Inputs!$B$36,BT66,BP67+BQ67+BR67+Inputs!$B$6-BS66))</f>
        <v>0</v>
      </c>
      <c r="BP67" s="38">
        <f>Inputs!$B$27*(1+Inputs!$B$28)^($A67/12)*IF(Inputs!$B$72=1,$G67,1)*(1-Inputs!$C$72*$H67*(1-Inputs!$E$54*Inputs!$B$72))*(1+$I67)*IF(Inputs!$B$29=0,1,(MAX(BS66,0)/Inputs!$B$6)^Inputs!$B$29)</f>
        <v>17891.594160200912</v>
      </c>
      <c r="BQ67" s="38">
        <f>Inputs!$B$32*BS66/Inputs!$B$6</f>
        <v>0</v>
      </c>
      <c r="BR67" s="38">
        <f>Inputs!$B$33</f>
        <v>2500</v>
      </c>
      <c r="BS67" s="38">
        <f t="shared" si="25"/>
        <v>0</v>
      </c>
      <c r="BT67" s="38">
        <f t="shared" si="26"/>
        <v>0</v>
      </c>
      <c r="BU67" s="38">
        <f>Inputs!$B$19*(1-Inputs!$C$72*$H67)+Inputs!$B$21+Inputs!$B$72*$J67</f>
        <v>577500</v>
      </c>
      <c r="BV67" s="38">
        <f t="shared" si="27"/>
        <v>-577500</v>
      </c>
      <c r="BW67" s="38">
        <f t="shared" si="28"/>
        <v>1</v>
      </c>
      <c r="BX67" s="38">
        <f>MAX(0,MIN(Inputs!$C$36,CC66,BY67+BZ67+CA67+Inputs!$C$6-CB66))</f>
        <v>0</v>
      </c>
      <c r="BY67" s="38">
        <f>Inputs!$C$27*(1+Inputs!$C$28)^($A67/12)*IF(Inputs!$B$72=1,$G67,1)*(1-Inputs!$C$72*$H67*(1-Inputs!$E$54*Inputs!$B$72))*(1+$I67)*IF(Inputs!$C$29=0,1,(MAX(CB66,0)/Inputs!$C$6)^Inputs!$C$29)</f>
        <v>8671.2237936665224</v>
      </c>
      <c r="BZ67" s="38">
        <f>Inputs!$C$32*CB66/Inputs!$C$6</f>
        <v>2116.7343822312228</v>
      </c>
      <c r="CA67" s="38">
        <f>Inputs!$C$33</f>
        <v>2000</v>
      </c>
      <c r="CB67" s="38">
        <f t="shared" si="29"/>
        <v>238084.26490335833</v>
      </c>
      <c r="CC67" s="38">
        <f t="shared" si="30"/>
        <v>0</v>
      </c>
      <c r="CD67" s="38">
        <f>Inputs!$C$19*(1-Inputs!$C$72*$H67)+Inputs!$C$21+Inputs!$B$72*$J67</f>
        <v>480000</v>
      </c>
      <c r="CE67" s="38">
        <f t="shared" si="31"/>
        <v>-241915.73509664167</v>
      </c>
      <c r="CF67" s="38">
        <f t="shared" si="32"/>
        <v>1</v>
      </c>
      <c r="CG67" s="38">
        <f>MAX(0,MIN(Inputs!$D$36,CL66,CH67+CI67+CJ67+Inputs!$D$6-CK66))</f>
        <v>12811.88995709212</v>
      </c>
      <c r="CH67" s="38">
        <f>Inputs!$D$27*(1+Inputs!$D$28)^($A67/12)*IF(Inputs!$B$72=1,$G67,1)*(1-Inputs!$C$72*$H67*(1-Inputs!$E$54*Inputs!$B$72))*(1+$I67)*IF(Inputs!$D$29=0,1,(MAX(CK66,0)/Inputs!$D$6)^Inputs!$D$29)</f>
        <v>7111.8899570921376</v>
      </c>
      <c r="CI67" s="38">
        <f>Inputs!$D$32*CK66/Inputs!$D$6</f>
        <v>4200</v>
      </c>
      <c r="CJ67" s="38">
        <f>Inputs!$D$33</f>
        <v>1500</v>
      </c>
      <c r="CK67" s="38">
        <f t="shared" si="33"/>
        <v>880000</v>
      </c>
      <c r="CL67" s="38">
        <f t="shared" si="34"/>
        <v>33466.160895316279</v>
      </c>
      <c r="CM67" s="38">
        <f>Inputs!$D$19*(1-Inputs!$C$72*$H67)+Inputs!$D$21+Inputs!$B$72*$J67</f>
        <v>392150</v>
      </c>
      <c r="CN67" s="38">
        <f t="shared" si="35"/>
        <v>487850</v>
      </c>
      <c r="CO67" s="38">
        <f t="shared" si="36"/>
        <v>0</v>
      </c>
      <c r="CP67" s="38">
        <f>MAX(0,MIN(Inputs!$B$36,CU66,CQ67+CR67+CS67+Inputs!$B$6-CT66))</f>
        <v>0</v>
      </c>
      <c r="CQ67" s="38">
        <f>Inputs!$B$27*(1+Inputs!$B$28)^($A67/12)*IF(Inputs!$B$73=1,$G67,1)*(1-Inputs!$C$73*$H67*(1-Inputs!$E$54*Inputs!$B$73))*(1+$I67)*IF(Inputs!$B$29=0,1,(MAX(CT66,0)/Inputs!$B$6)^Inputs!$B$29)</f>
        <v>15907.557692881215</v>
      </c>
      <c r="CR67" s="38">
        <f>Inputs!$B$32*CT66/Inputs!$B$6</f>
        <v>0</v>
      </c>
      <c r="CS67" s="38">
        <f>Inputs!$B$33</f>
        <v>2500</v>
      </c>
      <c r="CT67" s="38">
        <f t="shared" si="37"/>
        <v>0</v>
      </c>
      <c r="CU67" s="38">
        <f t="shared" si="38"/>
        <v>0</v>
      </c>
      <c r="CV67" s="38">
        <f>Inputs!$B$19*(1-Inputs!$C$73*$H67)+Inputs!$B$21+Inputs!$B$73*$J67</f>
        <v>583500</v>
      </c>
      <c r="CW67" s="38">
        <f t="shared" si="39"/>
        <v>-583500</v>
      </c>
      <c r="CX67" s="38">
        <f t="shared" si="40"/>
        <v>1</v>
      </c>
      <c r="CY67" s="38">
        <f>MAX(0,MIN(Inputs!$C$36,DD66,CZ67+DA67+DB67+Inputs!$C$6-DC66))</f>
        <v>0</v>
      </c>
      <c r="CZ67" s="38">
        <f>Inputs!$C$27*(1+Inputs!$C$28)^($A67/12)*IF(Inputs!$B$73=1,$G67,1)*(1-Inputs!$C$73*$H67*(1-Inputs!$E$54*Inputs!$B$73))*(1+$I67)*IF(Inputs!$C$29=0,1,(MAX(DC66,0)/Inputs!$C$6)^Inputs!$C$29)</f>
        <v>8047.821619879589</v>
      </c>
      <c r="DA67" s="38">
        <f>Inputs!$C$32*DC66/Inputs!$C$6</f>
        <v>2513.2765351129042</v>
      </c>
      <c r="DB67" s="38">
        <f>Inputs!$C$33</f>
        <v>2000</v>
      </c>
      <c r="DC67" s="38">
        <f t="shared" si="41"/>
        <v>285308.71341394435</v>
      </c>
      <c r="DD67" s="38">
        <f t="shared" si="42"/>
        <v>0</v>
      </c>
      <c r="DE67" s="38">
        <f>Inputs!$C$19*(1-Inputs!$C$73*$H67)+Inputs!$C$21+Inputs!$B$73*$J67</f>
        <v>486000</v>
      </c>
      <c r="DF67" s="38">
        <f t="shared" si="43"/>
        <v>-200691.28658605565</v>
      </c>
      <c r="DG67" s="38">
        <f t="shared" si="44"/>
        <v>1</v>
      </c>
      <c r="DH67" s="38">
        <f>MAX(0,MIN(Inputs!$D$36,DM66,DI67+DJ67+DK67+Inputs!$D$6-DL66))</f>
        <v>12023.237537408713</v>
      </c>
      <c r="DI67" s="38">
        <f>Inputs!$D$27*(1+Inputs!$D$28)^($A67/12)*IF(Inputs!$B$73=1,$G67,1)*(1-Inputs!$C$73*$H67*(1-Inputs!$E$54*Inputs!$B$73))*(1+$I67)*IF(Inputs!$D$29=0,1,(MAX(DL66,0)/Inputs!$D$6)^Inputs!$D$29)</f>
        <v>6323.237537408756</v>
      </c>
      <c r="DJ67" s="38">
        <f>Inputs!$D$32*DL66/Inputs!$D$6</f>
        <v>4200</v>
      </c>
      <c r="DK67" s="38">
        <f>Inputs!$D$33</f>
        <v>1500</v>
      </c>
      <c r="DL67" s="38">
        <f t="shared" si="45"/>
        <v>880000</v>
      </c>
      <c r="DM67" s="38">
        <f t="shared" si="46"/>
        <v>81125.840847567073</v>
      </c>
      <c r="DN67" s="38">
        <f>Inputs!$D$19*(1-Inputs!$C$73*$H67)+Inputs!$D$21+Inputs!$B$73*$J67</f>
        <v>398150</v>
      </c>
      <c r="DO67" s="38">
        <f t="shared" si="47"/>
        <v>481850</v>
      </c>
      <c r="DP67" s="38">
        <f t="shared" si="48"/>
        <v>0</v>
      </c>
    </row>
    <row r="68" spans="1:120" x14ac:dyDescent="0.35">
      <c r="A68" s="29">
        <v>63</v>
      </c>
      <c r="B68" s="34">
        <f>EDATE(Inputs!$B$67,$A68)</f>
        <v>48183</v>
      </c>
      <c r="C68" s="35">
        <f>IF(Inputs!$E$47&lt;=0,Inputs!$E$46,Inputs!$E$44+(Inputs!$E$46-Inputs!$E$44)*MIN($A68/Inputs!$E$47,1))</f>
        <v>0.7</v>
      </c>
      <c r="D68" s="35">
        <f>MIN(Inputs!$E$57,Inputs!$E$55*(1+Inputs!$E$56)^($A68/12))*Inputs!$E$58*(1+Inputs!$E$59)^($A68/12)/Inputs!$E$45</f>
        <v>1.5</v>
      </c>
      <c r="E68" s="35">
        <f>MAX(Inputs!$E$44,MIN(C68,D68))</f>
        <v>0.7</v>
      </c>
      <c r="F68" s="35">
        <f>IF(Inputs!$E$50&lt;=0,Inputs!$E$49,Inputs!$E$48+(Inputs!$E$49-Inputs!$E$48)*MIN($A68/Inputs!$E$50,1))</f>
        <v>0.12</v>
      </c>
      <c r="G68" s="36">
        <f>(Inputs!$E$41*(1-E68*Inputs!$E$51)+Inputs!$E$42*(1-F68*Inputs!$E$51))/(Inputs!$E$41*(1-Inputs!$E$44*Inputs!$E$51)+Inputs!$E$42*(1-Inputs!$E$48*Inputs!$E$51))</f>
        <v>0.8423127463863338</v>
      </c>
      <c r="H68" s="35">
        <f>IF(Inputs!$E$53&lt;=0,Inputs!$E$52,Inputs!$E$52*MIN($A68/Inputs!$E$53,1))</f>
        <v>0.1</v>
      </c>
      <c r="I68" s="35">
        <f>IF(Inputs!$E$64&lt;=0,Inputs!$E$63,Inputs!$E$62+(Inputs!$E$63-Inputs!$E$62)*MIN($A68/Inputs!$E$64,1))</f>
        <v>0.03</v>
      </c>
      <c r="J68" s="37">
        <f>(E68-Inputs!$E$44)*Inputs!$E$45/Inputs!$E$60*Inputs!$E$61</f>
        <v>5999.9999999999991</v>
      </c>
      <c r="K68" s="29">
        <f t="shared" si="0"/>
        <v>0</v>
      </c>
      <c r="L68" s="29"/>
      <c r="M68" s="38">
        <f>MAX(0,MIN(Inputs!$B$36,R67,N68+O68+P68+Inputs!$B$6-Q67))</f>
        <v>0</v>
      </c>
      <c r="N68" s="38">
        <f>Inputs!$B$27*(1+Inputs!$B$28)^($A68/12)*IF(Inputs!$B$70=1,$G68,1)*(1-Inputs!$C$70*$H68*(1-Inputs!$E$54*Inputs!$B$70))*(1+$I68)*IF(Inputs!$B$29=0,1,(MAX(Q67,0)/Inputs!$B$6)^Inputs!$B$29)</f>
        <v>19960.540810551523</v>
      </c>
      <c r="O68" s="38">
        <f>Inputs!$B$32*Q67/Inputs!$B$6</f>
        <v>0</v>
      </c>
      <c r="P68" s="38">
        <f>Inputs!$B$33</f>
        <v>2500</v>
      </c>
      <c r="Q68" s="38">
        <f t="shared" si="1"/>
        <v>0</v>
      </c>
      <c r="R68" s="38">
        <f t="shared" si="2"/>
        <v>0</v>
      </c>
      <c r="S68" s="38">
        <f>Inputs!$B$19*(1-Inputs!$C$70*$H68)+Inputs!$B$21+Inputs!$B$70*$J68</f>
        <v>595000</v>
      </c>
      <c r="T68" s="38">
        <f t="shared" si="3"/>
        <v>-595000</v>
      </c>
      <c r="U68" s="38">
        <f t="shared" si="4"/>
        <v>1</v>
      </c>
      <c r="V68" s="38">
        <f>MAX(0,MIN(Inputs!$C$36,AA67,W68+X68+Y68+Inputs!$C$6-Z67))</f>
        <v>0</v>
      </c>
      <c r="W68" s="38">
        <f>Inputs!$C$27*(1+Inputs!$C$28)^($A68/12)*IF(Inputs!$B$70=1,$G68,1)*(1-Inputs!$C$70*$H68*(1-Inputs!$E$54*Inputs!$B$70))*(1+$I68)*IF(Inputs!$C$29=0,1,(MAX(Z67,0)/Inputs!$C$6)^Inputs!$C$29)</f>
        <v>9161.2292157396769</v>
      </c>
      <c r="X68" s="38">
        <f>Inputs!$C$32*Z67/Inputs!$C$6</f>
        <v>1730.3335144504899</v>
      </c>
      <c r="Y68" s="38">
        <f>Inputs!$C$33</f>
        <v>2000</v>
      </c>
      <c r="Z68" s="38">
        <f t="shared" si="5"/>
        <v>192185.00194542349</v>
      </c>
      <c r="AA68" s="38">
        <f t="shared" si="6"/>
        <v>0</v>
      </c>
      <c r="AB68" s="38">
        <f>Inputs!$C$19*(1-Inputs!$C$70*$H68)+Inputs!$C$21+Inputs!$B$70*$J68</f>
        <v>495000</v>
      </c>
      <c r="AC68" s="38">
        <f t="shared" si="7"/>
        <v>-302814.99805457651</v>
      </c>
      <c r="AD68" s="38">
        <f t="shared" si="8"/>
        <v>1</v>
      </c>
      <c r="AE68" s="38">
        <f>MAX(0,MIN(Inputs!$D$36,AJ67,AF68+AG68+AH68+Inputs!$D$6-AI67))</f>
        <v>142.67356136161834</v>
      </c>
      <c r="AF68" s="38">
        <f>Inputs!$D$27*(1+Inputs!$D$28)^($A68/12)*IF(Inputs!$B$70=1,$G68,1)*(1-Inputs!$C$70*$H68*(1-Inputs!$E$54*Inputs!$B$70))*(1+$I68)*IF(Inputs!$D$29=0,1,(MAX(AI67,0)/Inputs!$D$6)^Inputs!$D$29)</f>
        <v>7868.394977015786</v>
      </c>
      <c r="AG68" s="38">
        <f>Inputs!$D$32*AI67/Inputs!$D$6</f>
        <v>4200</v>
      </c>
      <c r="AH68" s="38">
        <f>Inputs!$D$33</f>
        <v>1500</v>
      </c>
      <c r="AI68" s="38">
        <f t="shared" si="9"/>
        <v>866574.27858434583</v>
      </c>
      <c r="AJ68" s="38">
        <f t="shared" si="10"/>
        <v>0</v>
      </c>
      <c r="AK68" s="38">
        <f>Inputs!$D$19*(1-Inputs!$C$70*$H68)+Inputs!$D$21+Inputs!$B$70*$J68</f>
        <v>404800</v>
      </c>
      <c r="AL68" s="38">
        <f t="shared" si="11"/>
        <v>461774.27858434583</v>
      </c>
      <c r="AM68" s="38">
        <f t="shared" si="12"/>
        <v>0</v>
      </c>
      <c r="AN68" s="38">
        <f>MAX(0,MIN(Inputs!$B$36,AS67,AO68+AP68+AQ68+Inputs!$B$6-AR67))</f>
        <v>0</v>
      </c>
      <c r="AO68" s="38">
        <f>Inputs!$B$27*(1+Inputs!$B$28)^($A68/12)*IF(Inputs!$B$71=1,$G68,1)*(1-Inputs!$C$71*$H68*(1-Inputs!$E$54*Inputs!$B$71))*(1+$I68)*IF(Inputs!$B$29=0,1,(MAX(AR67,0)/Inputs!$B$6)^Inputs!$B$29)</f>
        <v>16813.01794949215</v>
      </c>
      <c r="AP68" s="38">
        <f>Inputs!$B$32*AR67/Inputs!$B$6</f>
        <v>0</v>
      </c>
      <c r="AQ68" s="38">
        <f>Inputs!$B$33</f>
        <v>2500</v>
      </c>
      <c r="AR68" s="38">
        <f t="shared" si="13"/>
        <v>0</v>
      </c>
      <c r="AS68" s="38">
        <f t="shared" si="14"/>
        <v>0</v>
      </c>
      <c r="AT68" s="38">
        <f>Inputs!$B$19*(1-Inputs!$C$71*$H68)+Inputs!$B$21+Inputs!$B$71*$J68</f>
        <v>601000</v>
      </c>
      <c r="AU68" s="38">
        <f t="shared" si="15"/>
        <v>-601000</v>
      </c>
      <c r="AV68" s="38">
        <f t="shared" si="16"/>
        <v>1</v>
      </c>
      <c r="AW68" s="38">
        <f>MAX(0,MIN(Inputs!$C$36,BB67,AX68+AY68+AZ68+Inputs!$C$6-BA67))</f>
        <v>0</v>
      </c>
      <c r="AX68" s="38">
        <f>Inputs!$C$27*(1+Inputs!$C$28)^($A68/12)*IF(Inputs!$B$71=1,$G68,1)*(1-Inputs!$C$71*$H68*(1-Inputs!$E$54*Inputs!$B$71))*(1+$I68)*IF(Inputs!$C$29=0,1,(MAX(BA67,0)/Inputs!$C$6)^Inputs!$C$29)</f>
        <v>8269.2916719194163</v>
      </c>
      <c r="AY68" s="38">
        <f>Inputs!$C$32*BA67/Inputs!$C$6</f>
        <v>2281.889305673672</v>
      </c>
      <c r="AZ68" s="38">
        <f>Inputs!$C$33</f>
        <v>2000</v>
      </c>
      <c r="BA68" s="38">
        <f t="shared" si="17"/>
        <v>257894.9589541014</v>
      </c>
      <c r="BB68" s="38">
        <f t="shared" si="18"/>
        <v>0</v>
      </c>
      <c r="BC68" s="38">
        <f>Inputs!$C$19*(1-Inputs!$C$71*$H68)+Inputs!$C$21+Inputs!$B$71*$J68</f>
        <v>501000</v>
      </c>
      <c r="BD68" s="38">
        <f t="shared" si="19"/>
        <v>-243105.0410458986</v>
      </c>
      <c r="BE68" s="38">
        <f t="shared" si="20"/>
        <v>1</v>
      </c>
      <c r="BF68" s="38">
        <f>MAX(0,MIN(Inputs!$D$36,BK67,BG68+BH68+BI68+Inputs!$D$6-BJ67))</f>
        <v>12327.649382742587</v>
      </c>
      <c r="BG68" s="38">
        <f>Inputs!$D$27*(1+Inputs!$D$28)^($A68/12)*IF(Inputs!$B$71=1,$G68,1)*(1-Inputs!$C$71*$H68*(1-Inputs!$E$54*Inputs!$B$71))*(1+$I68)*IF(Inputs!$D$29=0,1,(MAX(BJ67,0)/Inputs!$D$6)^Inputs!$D$29)</f>
        <v>6627.6493827426002</v>
      </c>
      <c r="BH68" s="38">
        <f>Inputs!$D$32*BJ67/Inputs!$D$6</f>
        <v>4200</v>
      </c>
      <c r="BI68" s="38">
        <f>Inputs!$D$33</f>
        <v>1500</v>
      </c>
      <c r="BJ68" s="38">
        <f t="shared" si="21"/>
        <v>880000</v>
      </c>
      <c r="BK68" s="38">
        <f t="shared" si="22"/>
        <v>54543.174676005379</v>
      </c>
      <c r="BL68" s="38">
        <f>Inputs!$D$19*(1-Inputs!$C$71*$H68)+Inputs!$D$21+Inputs!$B$71*$J68</f>
        <v>410800</v>
      </c>
      <c r="BM68" s="38">
        <f t="shared" si="23"/>
        <v>469200</v>
      </c>
      <c r="BN68" s="38">
        <f t="shared" si="24"/>
        <v>0</v>
      </c>
      <c r="BO68" s="38">
        <f>MAX(0,MIN(Inputs!$B$36,BT67,BP68+BQ68+BR68+Inputs!$B$6-BS67))</f>
        <v>0</v>
      </c>
      <c r="BP68" s="38">
        <f>Inputs!$B$27*(1+Inputs!$B$28)^($A68/12)*IF(Inputs!$B$72=1,$G68,1)*(1-Inputs!$C$72*$H68*(1-Inputs!$E$54*Inputs!$B$72))*(1+$I68)*IF(Inputs!$B$29=0,1,(MAX(BS67,0)/Inputs!$B$6)^Inputs!$B$29)</f>
        <v>17964.486729496373</v>
      </c>
      <c r="BQ68" s="38">
        <f>Inputs!$B$32*BS67/Inputs!$B$6</f>
        <v>0</v>
      </c>
      <c r="BR68" s="38">
        <f>Inputs!$B$33</f>
        <v>2500</v>
      </c>
      <c r="BS68" s="38">
        <f t="shared" si="25"/>
        <v>0</v>
      </c>
      <c r="BT68" s="38">
        <f t="shared" si="26"/>
        <v>0</v>
      </c>
      <c r="BU68" s="38">
        <f>Inputs!$B$19*(1-Inputs!$C$72*$H68)+Inputs!$B$21+Inputs!$B$72*$J68</f>
        <v>577500</v>
      </c>
      <c r="BV68" s="38">
        <f t="shared" si="27"/>
        <v>-577500</v>
      </c>
      <c r="BW68" s="38">
        <f t="shared" si="28"/>
        <v>1</v>
      </c>
      <c r="BX68" s="38">
        <f>MAX(0,MIN(Inputs!$C$36,CC67,BY68+BZ68+CA68+Inputs!$C$6-CB67))</f>
        <v>0</v>
      </c>
      <c r="BY68" s="38">
        <f>Inputs!$C$27*(1+Inputs!$C$28)^($A68/12)*IF(Inputs!$B$72=1,$G68,1)*(1-Inputs!$C$72*$H68*(1-Inputs!$E$54*Inputs!$B$72))*(1+$I68)*IF(Inputs!$C$29=0,1,(MAX(CB67,0)/Inputs!$C$6)^Inputs!$C$29)</f>
        <v>8558.5447108130684</v>
      </c>
      <c r="BZ68" s="38">
        <f>Inputs!$C$32*CB67/Inputs!$C$6</f>
        <v>2008.8359851220855</v>
      </c>
      <c r="CA68" s="38">
        <f>Inputs!$C$33</f>
        <v>2000</v>
      </c>
      <c r="CB68" s="38">
        <f t="shared" si="29"/>
        <v>225516.88420742319</v>
      </c>
      <c r="CC68" s="38">
        <f t="shared" si="30"/>
        <v>0</v>
      </c>
      <c r="CD68" s="38">
        <f>Inputs!$C$19*(1-Inputs!$C$72*$H68)+Inputs!$C$21+Inputs!$B$72*$J68</f>
        <v>480000</v>
      </c>
      <c r="CE68" s="38">
        <f t="shared" si="31"/>
        <v>-254483.11579257681</v>
      </c>
      <c r="CF68" s="38">
        <f t="shared" si="32"/>
        <v>1</v>
      </c>
      <c r="CG68" s="38">
        <f>MAX(0,MIN(Inputs!$D$36,CL67,CH68+CI68+CJ68+Inputs!$D$6-CK67))</f>
        <v>12781.555479314178</v>
      </c>
      <c r="CH68" s="38">
        <f>Inputs!$D$27*(1+Inputs!$D$28)^($A68/12)*IF(Inputs!$B$72=1,$G68,1)*(1-Inputs!$C$72*$H68*(1-Inputs!$E$54*Inputs!$B$72))*(1+$I68)*IF(Inputs!$D$29=0,1,(MAX(CK67,0)/Inputs!$D$6)^Inputs!$D$29)</f>
        <v>7081.5554793142073</v>
      </c>
      <c r="CI68" s="38">
        <f>Inputs!$D$32*CK67/Inputs!$D$6</f>
        <v>4200</v>
      </c>
      <c r="CJ68" s="38">
        <f>Inputs!$D$33</f>
        <v>1500</v>
      </c>
      <c r="CK68" s="38">
        <f t="shared" si="33"/>
        <v>880000</v>
      </c>
      <c r="CL68" s="38">
        <f t="shared" si="34"/>
        <v>20684.605416002101</v>
      </c>
      <c r="CM68" s="38">
        <f>Inputs!$D$19*(1-Inputs!$C$72*$H68)+Inputs!$D$21+Inputs!$B$72*$J68</f>
        <v>392150</v>
      </c>
      <c r="CN68" s="38">
        <f t="shared" si="35"/>
        <v>487850</v>
      </c>
      <c r="CO68" s="38">
        <f t="shared" si="36"/>
        <v>0</v>
      </c>
      <c r="CP68" s="38">
        <f>MAX(0,MIN(Inputs!$B$36,CU67,CQ68+CR68+CS68+Inputs!$B$6-CT67))</f>
        <v>0</v>
      </c>
      <c r="CQ68" s="38">
        <f>Inputs!$B$27*(1+Inputs!$B$28)^($A68/12)*IF(Inputs!$B$73=1,$G68,1)*(1-Inputs!$C$73*$H68*(1-Inputs!$E$54*Inputs!$B$73))*(1+$I68)*IF(Inputs!$B$29=0,1,(MAX(CT67,0)/Inputs!$B$6)^Inputs!$B$29)</f>
        <v>15972.367052017542</v>
      </c>
      <c r="CR68" s="38">
        <f>Inputs!$B$32*CT67/Inputs!$B$6</f>
        <v>0</v>
      </c>
      <c r="CS68" s="38">
        <f>Inputs!$B$33</f>
        <v>2500</v>
      </c>
      <c r="CT68" s="38">
        <f t="shared" si="37"/>
        <v>0</v>
      </c>
      <c r="CU68" s="38">
        <f t="shared" si="38"/>
        <v>0</v>
      </c>
      <c r="CV68" s="38">
        <f>Inputs!$B$19*(1-Inputs!$C$73*$H68)+Inputs!$B$21+Inputs!$B$73*$J68</f>
        <v>583500</v>
      </c>
      <c r="CW68" s="38">
        <f t="shared" si="39"/>
        <v>-583500</v>
      </c>
      <c r="CX68" s="38">
        <f t="shared" si="40"/>
        <v>1</v>
      </c>
      <c r="CY68" s="38">
        <f>MAX(0,MIN(Inputs!$C$36,DD67,CZ68+DA68+DB68+Inputs!$C$6-DC67))</f>
        <v>0</v>
      </c>
      <c r="CZ68" s="38">
        <f>Inputs!$C$27*(1+Inputs!$C$28)^($A68/12)*IF(Inputs!$B$73=1,$G68,1)*(1-Inputs!$C$73*$H68*(1-Inputs!$E$54*Inputs!$B$73))*(1+$I68)*IF(Inputs!$C$29=0,1,(MAX(DC67,0)/Inputs!$C$6)^Inputs!$C$29)</f>
        <v>7961.6022640270285</v>
      </c>
      <c r="DA68" s="38">
        <f>Inputs!$C$32*DC67/Inputs!$C$6</f>
        <v>2407.2922694301551</v>
      </c>
      <c r="DB68" s="38">
        <f>Inputs!$C$33</f>
        <v>2000</v>
      </c>
      <c r="DC68" s="38">
        <f t="shared" si="41"/>
        <v>272939.81888048712</v>
      </c>
      <c r="DD68" s="38">
        <f t="shared" si="42"/>
        <v>0</v>
      </c>
      <c r="DE68" s="38">
        <f>Inputs!$C$19*(1-Inputs!$C$73*$H68)+Inputs!$C$21+Inputs!$B$73*$J68</f>
        <v>486000</v>
      </c>
      <c r="DF68" s="38">
        <f t="shared" si="43"/>
        <v>-213060.18111951288</v>
      </c>
      <c r="DG68" s="38">
        <f t="shared" si="44"/>
        <v>1</v>
      </c>
      <c r="DH68" s="38">
        <f>MAX(0,MIN(Inputs!$D$36,DM67,DI68+DJ68+DK68+Inputs!$D$6-DL67))</f>
        <v>11996.266913605505</v>
      </c>
      <c r="DI68" s="38">
        <f>Inputs!$D$27*(1+Inputs!$D$28)^($A68/12)*IF(Inputs!$B$73=1,$G68,1)*(1-Inputs!$C$73*$H68*(1-Inputs!$E$54*Inputs!$B$73))*(1+$I68)*IF(Inputs!$D$29=0,1,(MAX(DL67,0)/Inputs!$D$6)^Inputs!$D$29)</f>
        <v>6296.2669136054701</v>
      </c>
      <c r="DJ68" s="38">
        <f>Inputs!$D$32*DL67/Inputs!$D$6</f>
        <v>4200</v>
      </c>
      <c r="DK68" s="38">
        <f>Inputs!$D$33</f>
        <v>1500</v>
      </c>
      <c r="DL68" s="38">
        <f t="shared" si="45"/>
        <v>880000</v>
      </c>
      <c r="DM68" s="38">
        <f t="shared" si="46"/>
        <v>69129.573933961568</v>
      </c>
      <c r="DN68" s="38">
        <f>Inputs!$D$19*(1-Inputs!$C$73*$H68)+Inputs!$D$21+Inputs!$B$73*$J68</f>
        <v>398150</v>
      </c>
      <c r="DO68" s="38">
        <f t="shared" si="47"/>
        <v>481850</v>
      </c>
      <c r="DP68" s="38">
        <f t="shared" si="48"/>
        <v>0</v>
      </c>
    </row>
    <row r="69" spans="1:120" x14ac:dyDescent="0.35">
      <c r="A69" s="29">
        <v>64</v>
      </c>
      <c r="B69" s="34">
        <f>EDATE(Inputs!$B$67,$A69)</f>
        <v>48214</v>
      </c>
      <c r="C69" s="35">
        <f>IF(Inputs!$E$47&lt;=0,Inputs!$E$46,Inputs!$E$44+(Inputs!$E$46-Inputs!$E$44)*MIN($A69/Inputs!$E$47,1))</f>
        <v>0.7</v>
      </c>
      <c r="D69" s="35">
        <f>MIN(Inputs!$E$57,Inputs!$E$55*(1+Inputs!$E$56)^($A69/12))*Inputs!$E$58*(1+Inputs!$E$59)^($A69/12)/Inputs!$E$45</f>
        <v>1.5</v>
      </c>
      <c r="E69" s="35">
        <f>MAX(Inputs!$E$44,MIN(C69,D69))</f>
        <v>0.7</v>
      </c>
      <c r="F69" s="35">
        <f>IF(Inputs!$E$50&lt;=0,Inputs!$E$49,Inputs!$E$48+(Inputs!$E$49-Inputs!$E$48)*MIN($A69/Inputs!$E$50,1))</f>
        <v>0.12</v>
      </c>
      <c r="G69" s="36">
        <f>(Inputs!$E$41*(1-E69*Inputs!$E$51)+Inputs!$E$42*(1-F69*Inputs!$E$51))/(Inputs!$E$41*(1-Inputs!$E$44*Inputs!$E$51)+Inputs!$E$42*(1-Inputs!$E$48*Inputs!$E$51))</f>
        <v>0.8423127463863338</v>
      </c>
      <c r="H69" s="35">
        <f>IF(Inputs!$E$53&lt;=0,Inputs!$E$52,Inputs!$E$52*MIN($A69/Inputs!$E$53,1))</f>
        <v>0.1</v>
      </c>
      <c r="I69" s="35">
        <f>IF(Inputs!$E$64&lt;=0,Inputs!$E$63,Inputs!$E$62+(Inputs!$E$63-Inputs!$E$62)*MIN($A69/Inputs!$E$64,1))</f>
        <v>0.03</v>
      </c>
      <c r="J69" s="37">
        <f>(E69-Inputs!$E$44)*Inputs!$E$45/Inputs!$E$60*Inputs!$E$61</f>
        <v>5999.9999999999991</v>
      </c>
      <c r="K69" s="29">
        <f t="shared" si="0"/>
        <v>0</v>
      </c>
      <c r="L69" s="29"/>
      <c r="M69" s="38">
        <f>MAX(0,MIN(Inputs!$B$36,R68,N69+O69+P69+Inputs!$B$6-Q68))</f>
        <v>0</v>
      </c>
      <c r="N69" s="38">
        <f>Inputs!$B$27*(1+Inputs!$B$28)^($A69/12)*IF(Inputs!$B$70=1,$G69,1)*(1-Inputs!$C$70*$H69*(1-Inputs!$E$54*Inputs!$B$70))*(1+$I69)*IF(Inputs!$B$29=0,1,(MAX(Q68,0)/Inputs!$B$6)^Inputs!$B$29)</f>
        <v>20041.862524602268</v>
      </c>
      <c r="O69" s="38">
        <f>Inputs!$B$32*Q68/Inputs!$B$6</f>
        <v>0</v>
      </c>
      <c r="P69" s="38">
        <f>Inputs!$B$33</f>
        <v>2500</v>
      </c>
      <c r="Q69" s="38">
        <f t="shared" si="1"/>
        <v>0</v>
      </c>
      <c r="R69" s="38">
        <f t="shared" si="2"/>
        <v>0</v>
      </c>
      <c r="S69" s="38">
        <f>Inputs!$B$19*(1-Inputs!$C$70*$H69)+Inputs!$B$21+Inputs!$B$70*$J69</f>
        <v>595000</v>
      </c>
      <c r="T69" s="38">
        <f t="shared" si="3"/>
        <v>-595000</v>
      </c>
      <c r="U69" s="38">
        <f t="shared" si="4"/>
        <v>1</v>
      </c>
      <c r="V69" s="38">
        <f>MAX(0,MIN(Inputs!$C$36,AA68,W69+X69+Y69+Inputs!$C$6-Z68))</f>
        <v>0</v>
      </c>
      <c r="W69" s="38">
        <f>Inputs!$C$27*(1+Inputs!$C$28)^($A69/12)*IF(Inputs!$B$70=1,$G69,1)*(1-Inputs!$C$70*$H69*(1-Inputs!$E$54*Inputs!$B$70))*(1+$I69)*IF(Inputs!$C$29=0,1,(MAX(Z68,0)/Inputs!$C$6)^Inputs!$C$29)</f>
        <v>9013.7314349497792</v>
      </c>
      <c r="X69" s="38">
        <f>Inputs!$C$32*Z68/Inputs!$C$6</f>
        <v>1621.5609539145103</v>
      </c>
      <c r="Y69" s="38">
        <f>Inputs!$C$33</f>
        <v>2000</v>
      </c>
      <c r="Z69" s="38">
        <f t="shared" si="5"/>
        <v>179549.70955655919</v>
      </c>
      <c r="AA69" s="38">
        <f t="shared" si="6"/>
        <v>0</v>
      </c>
      <c r="AB69" s="38">
        <f>Inputs!$C$19*(1-Inputs!$C$70*$H69)+Inputs!$C$21+Inputs!$B$70*$J69</f>
        <v>495000</v>
      </c>
      <c r="AC69" s="38">
        <f t="shared" si="7"/>
        <v>-315450.29044344078</v>
      </c>
      <c r="AD69" s="38">
        <f t="shared" si="8"/>
        <v>1</v>
      </c>
      <c r="AE69" s="38">
        <f>MAX(0,MIN(Inputs!$D$36,AJ68,AF69+AG69+AH69+Inputs!$D$6-AI68))</f>
        <v>0</v>
      </c>
      <c r="AF69" s="38">
        <f>Inputs!$D$27*(1+Inputs!$D$28)^($A69/12)*IF(Inputs!$B$70=1,$G69,1)*(1-Inputs!$C$70*$H69*(1-Inputs!$E$54*Inputs!$B$70))*(1+$I69)*IF(Inputs!$D$29=0,1,(MAX(AI68,0)/Inputs!$D$6)^Inputs!$D$29)</f>
        <v>7774.8379762348623</v>
      </c>
      <c r="AG69" s="38">
        <f>Inputs!$D$32*AI68/Inputs!$D$6</f>
        <v>4135.9226932434685</v>
      </c>
      <c r="AH69" s="38">
        <f>Inputs!$D$33</f>
        <v>1500</v>
      </c>
      <c r="AI69" s="38">
        <f t="shared" si="9"/>
        <v>853163.51791486749</v>
      </c>
      <c r="AJ69" s="38">
        <f t="shared" si="10"/>
        <v>0</v>
      </c>
      <c r="AK69" s="38">
        <f>Inputs!$D$19*(1-Inputs!$C$70*$H69)+Inputs!$D$21+Inputs!$B$70*$J69</f>
        <v>404800</v>
      </c>
      <c r="AL69" s="38">
        <f t="shared" si="11"/>
        <v>448363.51791486749</v>
      </c>
      <c r="AM69" s="38">
        <f t="shared" si="12"/>
        <v>0</v>
      </c>
      <c r="AN69" s="38">
        <f>MAX(0,MIN(Inputs!$B$36,AS68,AO69+AP69+AQ69+Inputs!$B$6-AR68))</f>
        <v>0</v>
      </c>
      <c r="AO69" s="38">
        <f>Inputs!$B$27*(1+Inputs!$B$28)^($A69/12)*IF(Inputs!$B$71=1,$G69,1)*(1-Inputs!$C$71*$H69*(1-Inputs!$E$54*Inputs!$B$71))*(1+$I69)*IF(Inputs!$B$29=0,1,(MAX(AR68,0)/Inputs!$B$6)^Inputs!$B$29)</f>
        <v>16881.516265795079</v>
      </c>
      <c r="AP69" s="38">
        <f>Inputs!$B$32*AR68/Inputs!$B$6</f>
        <v>0</v>
      </c>
      <c r="AQ69" s="38">
        <f>Inputs!$B$33</f>
        <v>2500</v>
      </c>
      <c r="AR69" s="38">
        <f t="shared" si="13"/>
        <v>0</v>
      </c>
      <c r="AS69" s="38">
        <f t="shared" si="14"/>
        <v>0</v>
      </c>
      <c r="AT69" s="38">
        <f>Inputs!$B$19*(1-Inputs!$C$71*$H69)+Inputs!$B$21+Inputs!$B$71*$J69</f>
        <v>601000</v>
      </c>
      <c r="AU69" s="38">
        <f t="shared" si="15"/>
        <v>-601000</v>
      </c>
      <c r="AV69" s="38">
        <f t="shared" si="16"/>
        <v>1</v>
      </c>
      <c r="AW69" s="38">
        <f>MAX(0,MIN(Inputs!$C$36,BB68,AX69+AY69+AZ69+Inputs!$C$6-BA68))</f>
        <v>0</v>
      </c>
      <c r="AX69" s="38">
        <f>Inputs!$C$27*(1+Inputs!$C$28)^($A69/12)*IF(Inputs!$B$71=1,$G69,1)*(1-Inputs!$C$71*$H69*(1-Inputs!$E$54*Inputs!$B$71))*(1+$I69)*IF(Inputs!$C$29=0,1,(MAX(BA68,0)/Inputs!$C$6)^Inputs!$C$29)</f>
        <v>8171.6324993845619</v>
      </c>
      <c r="AY69" s="38">
        <f>Inputs!$C$32*BA68/Inputs!$C$6</f>
        <v>2175.9887161752304</v>
      </c>
      <c r="AZ69" s="38">
        <f>Inputs!$C$33</f>
        <v>2000</v>
      </c>
      <c r="BA69" s="38">
        <f t="shared" si="17"/>
        <v>245547.33773854162</v>
      </c>
      <c r="BB69" s="38">
        <f t="shared" si="18"/>
        <v>0</v>
      </c>
      <c r="BC69" s="38">
        <f>Inputs!$C$19*(1-Inputs!$C$71*$H69)+Inputs!$C$21+Inputs!$B$71*$J69</f>
        <v>501000</v>
      </c>
      <c r="BD69" s="38">
        <f t="shared" si="19"/>
        <v>-255452.66226145838</v>
      </c>
      <c r="BE69" s="38">
        <f t="shared" si="20"/>
        <v>1</v>
      </c>
      <c r="BF69" s="38">
        <f>MAX(0,MIN(Inputs!$D$36,BK68,BG69+BH69+BI69+Inputs!$D$6-BJ68))</f>
        <v>12299.380345379352</v>
      </c>
      <c r="BG69" s="38">
        <f>Inputs!$D$27*(1+Inputs!$D$28)^($A69/12)*IF(Inputs!$B$71=1,$G69,1)*(1-Inputs!$C$71*$H69*(1-Inputs!$E$54*Inputs!$B$71))*(1+$I69)*IF(Inputs!$D$29=0,1,(MAX(BJ68,0)/Inputs!$D$6)^Inputs!$D$29)</f>
        <v>6599.3803453793007</v>
      </c>
      <c r="BH69" s="38">
        <f>Inputs!$D$32*BJ68/Inputs!$D$6</f>
        <v>4200</v>
      </c>
      <c r="BI69" s="38">
        <f>Inputs!$D$33</f>
        <v>1500</v>
      </c>
      <c r="BJ69" s="38">
        <f t="shared" si="21"/>
        <v>880000</v>
      </c>
      <c r="BK69" s="38">
        <f t="shared" si="22"/>
        <v>42243.794330626028</v>
      </c>
      <c r="BL69" s="38">
        <f>Inputs!$D$19*(1-Inputs!$C$71*$H69)+Inputs!$D$21+Inputs!$B$71*$J69</f>
        <v>410800</v>
      </c>
      <c r="BM69" s="38">
        <f t="shared" si="23"/>
        <v>469200</v>
      </c>
      <c r="BN69" s="38">
        <f t="shared" si="24"/>
        <v>0</v>
      </c>
      <c r="BO69" s="38">
        <f>MAX(0,MIN(Inputs!$B$36,BT68,BP69+BQ69+BR69+Inputs!$B$6-BS68))</f>
        <v>0</v>
      </c>
      <c r="BP69" s="38">
        <f>Inputs!$B$27*(1+Inputs!$B$28)^($A69/12)*IF(Inputs!$B$72=1,$G69,1)*(1-Inputs!$C$72*$H69*(1-Inputs!$E$54*Inputs!$B$72))*(1+$I69)*IF(Inputs!$B$29=0,1,(MAX(BS68,0)/Inputs!$B$6)^Inputs!$B$29)</f>
        <v>18037.676272142045</v>
      </c>
      <c r="BQ69" s="38">
        <f>Inputs!$B$32*BS68/Inputs!$B$6</f>
        <v>0</v>
      </c>
      <c r="BR69" s="38">
        <f>Inputs!$B$33</f>
        <v>2500</v>
      </c>
      <c r="BS69" s="38">
        <f t="shared" si="25"/>
        <v>0</v>
      </c>
      <c r="BT69" s="38">
        <f t="shared" si="26"/>
        <v>0</v>
      </c>
      <c r="BU69" s="38">
        <f>Inputs!$B$19*(1-Inputs!$C$72*$H69)+Inputs!$B$21+Inputs!$B$72*$J69</f>
        <v>577500</v>
      </c>
      <c r="BV69" s="38">
        <f t="shared" si="27"/>
        <v>-577500</v>
      </c>
      <c r="BW69" s="38">
        <f t="shared" si="28"/>
        <v>1</v>
      </c>
      <c r="BX69" s="38">
        <f>MAX(0,MIN(Inputs!$C$36,CC68,BY69+BZ69+CA69+Inputs!$C$6-CB68))</f>
        <v>0</v>
      </c>
      <c r="BY69" s="38">
        <f>Inputs!$C$27*(1+Inputs!$C$28)^($A69/12)*IF(Inputs!$B$72=1,$G69,1)*(1-Inputs!$C$72*$H69*(1-Inputs!$E$54*Inputs!$B$72))*(1+$I69)*IF(Inputs!$C$29=0,1,(MAX(CB68,0)/Inputs!$C$6)^Inputs!$C$29)</f>
        <v>8443.2960248416057</v>
      </c>
      <c r="BZ69" s="38">
        <f>Inputs!$C$32*CB68/Inputs!$C$6</f>
        <v>1902.798710500133</v>
      </c>
      <c r="CA69" s="38">
        <f>Inputs!$C$33</f>
        <v>2000</v>
      </c>
      <c r="CB69" s="38">
        <f t="shared" si="29"/>
        <v>213170.78947208147</v>
      </c>
      <c r="CC69" s="38">
        <f t="shared" si="30"/>
        <v>0</v>
      </c>
      <c r="CD69" s="38">
        <f>Inputs!$C$19*(1-Inputs!$C$72*$H69)+Inputs!$C$21+Inputs!$B$72*$J69</f>
        <v>480000</v>
      </c>
      <c r="CE69" s="38">
        <f t="shared" si="31"/>
        <v>-266829.21052791853</v>
      </c>
      <c r="CF69" s="38">
        <f t="shared" si="32"/>
        <v>1</v>
      </c>
      <c r="CG69" s="38">
        <f>MAX(0,MIN(Inputs!$D$36,CL68,CH69+CI69+CJ69+Inputs!$D$6-CK68))</f>
        <v>12751.350387753919</v>
      </c>
      <c r="CH69" s="38">
        <f>Inputs!$D$27*(1+Inputs!$D$28)^($A69/12)*IF(Inputs!$B$72=1,$G69,1)*(1-Inputs!$C$72*$H69*(1-Inputs!$E$54*Inputs!$B$72))*(1+$I69)*IF(Inputs!$D$29=0,1,(MAX(CK68,0)/Inputs!$D$6)^Inputs!$D$29)</f>
        <v>7051.3503877539515</v>
      </c>
      <c r="CI69" s="38">
        <f>Inputs!$D$32*CK68/Inputs!$D$6</f>
        <v>4200</v>
      </c>
      <c r="CJ69" s="38">
        <f>Inputs!$D$33</f>
        <v>1500</v>
      </c>
      <c r="CK69" s="38">
        <f t="shared" si="33"/>
        <v>880000</v>
      </c>
      <c r="CL69" s="38">
        <f t="shared" si="34"/>
        <v>7933.2550282481825</v>
      </c>
      <c r="CM69" s="38">
        <f>Inputs!$D$19*(1-Inputs!$C$72*$H69)+Inputs!$D$21+Inputs!$B$72*$J69</f>
        <v>392150</v>
      </c>
      <c r="CN69" s="38">
        <f t="shared" si="35"/>
        <v>487850</v>
      </c>
      <c r="CO69" s="38">
        <f t="shared" si="36"/>
        <v>0</v>
      </c>
      <c r="CP69" s="38">
        <f>MAX(0,MIN(Inputs!$B$36,CU68,CQ69+CR69+CS69+Inputs!$B$6-CT68))</f>
        <v>0</v>
      </c>
      <c r="CQ69" s="38">
        <f>Inputs!$B$27*(1+Inputs!$B$28)^($A69/12)*IF(Inputs!$B$73=1,$G69,1)*(1-Inputs!$C$73*$H69*(1-Inputs!$E$54*Inputs!$B$73))*(1+$I69)*IF(Inputs!$B$29=0,1,(MAX(CT68,0)/Inputs!$B$6)^Inputs!$B$29)</f>
        <v>16037.440452505323</v>
      </c>
      <c r="CR69" s="38">
        <f>Inputs!$B$32*CT68/Inputs!$B$6</f>
        <v>0</v>
      </c>
      <c r="CS69" s="38">
        <f>Inputs!$B$33</f>
        <v>2500</v>
      </c>
      <c r="CT69" s="38">
        <f t="shared" si="37"/>
        <v>0</v>
      </c>
      <c r="CU69" s="38">
        <f t="shared" si="38"/>
        <v>0</v>
      </c>
      <c r="CV69" s="38">
        <f>Inputs!$B$19*(1-Inputs!$C$73*$H69)+Inputs!$B$21+Inputs!$B$73*$J69</f>
        <v>583500</v>
      </c>
      <c r="CW69" s="38">
        <f t="shared" si="39"/>
        <v>-583500</v>
      </c>
      <c r="CX69" s="38">
        <f t="shared" si="40"/>
        <v>1</v>
      </c>
      <c r="CY69" s="38">
        <f>MAX(0,MIN(Inputs!$C$36,DD68,CZ69+DA69+DB69+Inputs!$C$6-DC68))</f>
        <v>0</v>
      </c>
      <c r="CZ69" s="38">
        <f>Inputs!$C$27*(1+Inputs!$C$28)^($A69/12)*IF(Inputs!$B$73=1,$G69,1)*(1-Inputs!$C$73*$H69*(1-Inputs!$E$54*Inputs!$B$73))*(1+$I69)*IF(Inputs!$C$29=0,1,(MAX(DC68,0)/Inputs!$C$6)^Inputs!$C$29)</f>
        <v>7873.8736909375393</v>
      </c>
      <c r="DA69" s="38">
        <f>Inputs!$C$32*DC68/Inputs!$C$6</f>
        <v>2302.9297218041097</v>
      </c>
      <c r="DB69" s="38">
        <f>Inputs!$C$33</f>
        <v>2000</v>
      </c>
      <c r="DC69" s="38">
        <f t="shared" si="41"/>
        <v>260763.01546774548</v>
      </c>
      <c r="DD69" s="38">
        <f t="shared" si="42"/>
        <v>0</v>
      </c>
      <c r="DE69" s="38">
        <f>Inputs!$C$19*(1-Inputs!$C$73*$H69)+Inputs!$C$21+Inputs!$B$73*$J69</f>
        <v>486000</v>
      </c>
      <c r="DF69" s="38">
        <f t="shared" si="43"/>
        <v>-225236.98453225452</v>
      </c>
      <c r="DG69" s="38">
        <f t="shared" si="44"/>
        <v>1</v>
      </c>
      <c r="DH69" s="38">
        <f>MAX(0,MIN(Inputs!$D$36,DM68,DI69+DJ69+DK69+Inputs!$D$6-DL68))</f>
        <v>11969.411328110378</v>
      </c>
      <c r="DI69" s="38">
        <f>Inputs!$D$27*(1+Inputs!$D$28)^($A69/12)*IF(Inputs!$B$73=1,$G69,1)*(1-Inputs!$C$73*$H69*(1-Inputs!$E$54*Inputs!$B$73))*(1+$I69)*IF(Inputs!$D$29=0,1,(MAX(DL68,0)/Inputs!$D$6)^Inputs!$D$29)</f>
        <v>6269.4113281103346</v>
      </c>
      <c r="DJ69" s="38">
        <f>Inputs!$D$32*DL68/Inputs!$D$6</f>
        <v>4200</v>
      </c>
      <c r="DK69" s="38">
        <f>Inputs!$D$33</f>
        <v>1500</v>
      </c>
      <c r="DL69" s="38">
        <f t="shared" si="45"/>
        <v>880000</v>
      </c>
      <c r="DM69" s="38">
        <f t="shared" si="46"/>
        <v>57160.16260585119</v>
      </c>
      <c r="DN69" s="38">
        <f>Inputs!$D$19*(1-Inputs!$C$73*$H69)+Inputs!$D$21+Inputs!$B$73*$J69</f>
        <v>398150</v>
      </c>
      <c r="DO69" s="38">
        <f t="shared" si="47"/>
        <v>481850</v>
      </c>
      <c r="DP69" s="38">
        <f t="shared" si="48"/>
        <v>0</v>
      </c>
    </row>
    <row r="70" spans="1:120" x14ac:dyDescent="0.35">
      <c r="A70" s="29">
        <v>65</v>
      </c>
      <c r="B70" s="34">
        <f>EDATE(Inputs!$B$67,$A70)</f>
        <v>48245</v>
      </c>
      <c r="C70" s="35">
        <f>IF(Inputs!$E$47&lt;=0,Inputs!$E$46,Inputs!$E$44+(Inputs!$E$46-Inputs!$E$44)*MIN($A70/Inputs!$E$47,1))</f>
        <v>0.7</v>
      </c>
      <c r="D70" s="35">
        <f>MIN(Inputs!$E$57,Inputs!$E$55*(1+Inputs!$E$56)^($A70/12))*Inputs!$E$58*(1+Inputs!$E$59)^($A70/12)/Inputs!$E$45</f>
        <v>1.5</v>
      </c>
      <c r="E70" s="35">
        <f>MAX(Inputs!$E$44,MIN(C70,D70))</f>
        <v>0.7</v>
      </c>
      <c r="F70" s="35">
        <f>IF(Inputs!$E$50&lt;=0,Inputs!$E$49,Inputs!$E$48+(Inputs!$E$49-Inputs!$E$48)*MIN($A70/Inputs!$E$50,1))</f>
        <v>0.12</v>
      </c>
      <c r="G70" s="36">
        <f>(Inputs!$E$41*(1-E70*Inputs!$E$51)+Inputs!$E$42*(1-F70*Inputs!$E$51))/(Inputs!$E$41*(1-Inputs!$E$44*Inputs!$E$51)+Inputs!$E$42*(1-Inputs!$E$48*Inputs!$E$51))</f>
        <v>0.8423127463863338</v>
      </c>
      <c r="H70" s="35">
        <f>IF(Inputs!$E$53&lt;=0,Inputs!$E$52,Inputs!$E$52*MIN($A70/Inputs!$E$53,1))</f>
        <v>0.1</v>
      </c>
      <c r="I70" s="35">
        <f>IF(Inputs!$E$64&lt;=0,Inputs!$E$63,Inputs!$E$62+(Inputs!$E$63-Inputs!$E$62)*MIN($A70/Inputs!$E$64,1))</f>
        <v>0.03</v>
      </c>
      <c r="J70" s="37">
        <f>(E70-Inputs!$E$44)*Inputs!$E$45/Inputs!$E$60*Inputs!$E$61</f>
        <v>5999.9999999999991</v>
      </c>
      <c r="K70" s="29">
        <f t="shared" ref="K70:K133" si="49">IF(D70&lt;C70,1,0)</f>
        <v>0</v>
      </c>
      <c r="L70" s="29"/>
      <c r="M70" s="38">
        <f>MAX(0,MIN(Inputs!$B$36,R69,N70+O70+P70+Inputs!$B$6-Q69))</f>
        <v>0</v>
      </c>
      <c r="N70" s="38">
        <f>Inputs!$B$27*(1+Inputs!$B$28)^($A70/12)*IF(Inputs!$B$70=1,$G70,1)*(1-Inputs!$C$70*$H70*(1-Inputs!$E$54*Inputs!$B$70))*(1+$I70)*IF(Inputs!$B$29=0,1,(MAX(Q69,0)/Inputs!$B$6)^Inputs!$B$29)</f>
        <v>20123.515553382367</v>
      </c>
      <c r="O70" s="38">
        <f>Inputs!$B$32*Q69/Inputs!$B$6</f>
        <v>0</v>
      </c>
      <c r="P70" s="38">
        <f>Inputs!$B$33</f>
        <v>2500</v>
      </c>
      <c r="Q70" s="38">
        <f t="shared" si="1"/>
        <v>0</v>
      </c>
      <c r="R70" s="38">
        <f t="shared" si="2"/>
        <v>0</v>
      </c>
      <c r="S70" s="38">
        <f>Inputs!$B$19*(1-Inputs!$C$70*$H70)+Inputs!$B$21+Inputs!$B$70*$J70</f>
        <v>595000</v>
      </c>
      <c r="T70" s="38">
        <f t="shared" si="3"/>
        <v>-595000</v>
      </c>
      <c r="U70" s="38">
        <f t="shared" si="4"/>
        <v>1</v>
      </c>
      <c r="V70" s="38">
        <f>MAX(0,MIN(Inputs!$C$36,AA69,W70+X70+Y70+Inputs!$C$6-Z69))</f>
        <v>0</v>
      </c>
      <c r="W70" s="38">
        <f>Inputs!$C$27*(1+Inputs!$C$28)^($A70/12)*IF(Inputs!$B$70=1,$G70,1)*(1-Inputs!$C$70*$H70*(1-Inputs!$E$54*Inputs!$B$70))*(1+$I70)*IF(Inputs!$C$29=0,1,(MAX(Z69,0)/Inputs!$C$6)^Inputs!$C$29)</f>
        <v>8861.7790519898626</v>
      </c>
      <c r="X70" s="38">
        <f>Inputs!$C$32*Z69/Inputs!$C$6</f>
        <v>1514.9506743834681</v>
      </c>
      <c r="Y70" s="38">
        <f>Inputs!$C$33</f>
        <v>2000</v>
      </c>
      <c r="Z70" s="38">
        <f t="shared" si="5"/>
        <v>167172.97983018585</v>
      </c>
      <c r="AA70" s="38">
        <f t="shared" si="6"/>
        <v>0</v>
      </c>
      <c r="AB70" s="38">
        <f>Inputs!$C$19*(1-Inputs!$C$70*$H70)+Inputs!$C$21+Inputs!$B$70*$J70</f>
        <v>495000</v>
      </c>
      <c r="AC70" s="38">
        <f t="shared" si="7"/>
        <v>-327827.02016981412</v>
      </c>
      <c r="AD70" s="38">
        <f t="shared" si="8"/>
        <v>1</v>
      </c>
      <c r="AE70" s="38">
        <f>MAX(0,MIN(Inputs!$D$36,AJ69,AF70+AG70+AH70+Inputs!$D$6-AI69))</f>
        <v>0</v>
      </c>
      <c r="AF70" s="38">
        <f>Inputs!$D$27*(1+Inputs!$D$28)^($A70/12)*IF(Inputs!$B$70=1,$G70,1)*(1-Inputs!$C$70*$H70*(1-Inputs!$E$54*Inputs!$B$70))*(1+$I70)*IF(Inputs!$D$29=0,1,(MAX(AI69,0)/Inputs!$D$6)^Inputs!$D$29)</f>
        <v>7681.5386861094466</v>
      </c>
      <c r="AG70" s="38">
        <f>Inputs!$D$32*AI69/Inputs!$D$6</f>
        <v>4071.9167900482312</v>
      </c>
      <c r="AH70" s="38">
        <f>Inputs!$D$33</f>
        <v>1500</v>
      </c>
      <c r="AI70" s="38">
        <f t="shared" si="9"/>
        <v>839910.06243870978</v>
      </c>
      <c r="AJ70" s="38">
        <f t="shared" si="10"/>
        <v>0</v>
      </c>
      <c r="AK70" s="38">
        <f>Inputs!$D$19*(1-Inputs!$C$70*$H70)+Inputs!$D$21+Inputs!$B$70*$J70</f>
        <v>404800</v>
      </c>
      <c r="AL70" s="38">
        <f t="shared" si="11"/>
        <v>435110.06243870978</v>
      </c>
      <c r="AM70" s="38">
        <f t="shared" si="12"/>
        <v>0</v>
      </c>
      <c r="AN70" s="38">
        <f>MAX(0,MIN(Inputs!$B$36,AS69,AO70+AP70+AQ70+Inputs!$B$6-AR69))</f>
        <v>0</v>
      </c>
      <c r="AO70" s="38">
        <f>Inputs!$B$27*(1+Inputs!$B$28)^($A70/12)*IF(Inputs!$B$71=1,$G70,1)*(1-Inputs!$C$71*$H70*(1-Inputs!$E$54*Inputs!$B$71))*(1+$I70)*IF(Inputs!$B$29=0,1,(MAX(AR69,0)/Inputs!$B$6)^Inputs!$B$29)</f>
        <v>16950.293652717606</v>
      </c>
      <c r="AP70" s="38">
        <f>Inputs!$B$32*AR69/Inputs!$B$6</f>
        <v>0</v>
      </c>
      <c r="AQ70" s="38">
        <f>Inputs!$B$33</f>
        <v>2500</v>
      </c>
      <c r="AR70" s="38">
        <f t="shared" si="13"/>
        <v>0</v>
      </c>
      <c r="AS70" s="38">
        <f t="shared" si="14"/>
        <v>0</v>
      </c>
      <c r="AT70" s="38">
        <f>Inputs!$B$19*(1-Inputs!$C$71*$H70)+Inputs!$B$21+Inputs!$B$71*$J70</f>
        <v>601000</v>
      </c>
      <c r="AU70" s="38">
        <f t="shared" si="15"/>
        <v>-601000</v>
      </c>
      <c r="AV70" s="38">
        <f t="shared" si="16"/>
        <v>1</v>
      </c>
      <c r="AW70" s="38">
        <f>MAX(0,MIN(Inputs!$C$36,BB69,AX70+AY70+AZ70+Inputs!$C$6-BA69))</f>
        <v>0</v>
      </c>
      <c r="AX70" s="38">
        <f>Inputs!$C$27*(1+Inputs!$C$28)^($A70/12)*IF(Inputs!$B$71=1,$G70,1)*(1-Inputs!$C$71*$H70*(1-Inputs!$E$54*Inputs!$B$71))*(1+$I70)*IF(Inputs!$C$29=0,1,(MAX(BA69,0)/Inputs!$C$6)^Inputs!$C$29)</f>
        <v>8072.0142732346312</v>
      </c>
      <c r="AY70" s="38">
        <f>Inputs!$C$32*BA69/Inputs!$C$6</f>
        <v>2071.8056621689448</v>
      </c>
      <c r="AZ70" s="38">
        <f>Inputs!$C$33</f>
        <v>2000</v>
      </c>
      <c r="BA70" s="38">
        <f t="shared" si="17"/>
        <v>233403.51780313803</v>
      </c>
      <c r="BB70" s="38">
        <f t="shared" si="18"/>
        <v>0</v>
      </c>
      <c r="BC70" s="38">
        <f>Inputs!$C$19*(1-Inputs!$C$71*$H70)+Inputs!$C$21+Inputs!$B$71*$J70</f>
        <v>501000</v>
      </c>
      <c r="BD70" s="38">
        <f t="shared" si="19"/>
        <v>-267596.48219686199</v>
      </c>
      <c r="BE70" s="38">
        <f t="shared" si="20"/>
        <v>1</v>
      </c>
      <c r="BF70" s="38">
        <f>MAX(0,MIN(Inputs!$D$36,BK69,BG70+BH70+BI70+Inputs!$D$6-BJ69))</f>
        <v>12271.231884471839</v>
      </c>
      <c r="BG70" s="38">
        <f>Inputs!$D$27*(1+Inputs!$D$28)^($A70/12)*IF(Inputs!$B$71=1,$G70,1)*(1-Inputs!$C$71*$H70*(1-Inputs!$E$54*Inputs!$B$71))*(1+$I70)*IF(Inputs!$D$29=0,1,(MAX(BJ69,0)/Inputs!$D$6)^Inputs!$D$29)</f>
        <v>6571.2318844718893</v>
      </c>
      <c r="BH70" s="38">
        <f>Inputs!$D$32*BJ69/Inputs!$D$6</f>
        <v>4200</v>
      </c>
      <c r="BI70" s="38">
        <f>Inputs!$D$33</f>
        <v>1500</v>
      </c>
      <c r="BJ70" s="38">
        <f t="shared" si="21"/>
        <v>880000</v>
      </c>
      <c r="BK70" s="38">
        <f t="shared" si="22"/>
        <v>29972.562446154188</v>
      </c>
      <c r="BL70" s="38">
        <f>Inputs!$D$19*(1-Inputs!$C$71*$H70)+Inputs!$D$21+Inputs!$B$71*$J70</f>
        <v>410800</v>
      </c>
      <c r="BM70" s="38">
        <f t="shared" si="23"/>
        <v>469200</v>
      </c>
      <c r="BN70" s="38">
        <f t="shared" si="24"/>
        <v>0</v>
      </c>
      <c r="BO70" s="38">
        <f>MAX(0,MIN(Inputs!$B$36,BT69,BP70+BQ70+BR70+Inputs!$B$6-BS69))</f>
        <v>0</v>
      </c>
      <c r="BP70" s="38">
        <f>Inputs!$B$27*(1+Inputs!$B$28)^($A70/12)*IF(Inputs!$B$72=1,$G70,1)*(1-Inputs!$C$72*$H70*(1-Inputs!$E$54*Inputs!$B$72))*(1+$I70)*IF(Inputs!$B$29=0,1,(MAX(BS69,0)/Inputs!$B$6)^Inputs!$B$29)</f>
        <v>18111.163998044129</v>
      </c>
      <c r="BQ70" s="38">
        <f>Inputs!$B$32*BS69/Inputs!$B$6</f>
        <v>0</v>
      </c>
      <c r="BR70" s="38">
        <f>Inputs!$B$33</f>
        <v>2500</v>
      </c>
      <c r="BS70" s="38">
        <f t="shared" si="25"/>
        <v>0</v>
      </c>
      <c r="BT70" s="38">
        <f t="shared" si="26"/>
        <v>0</v>
      </c>
      <c r="BU70" s="38">
        <f>Inputs!$B$19*(1-Inputs!$C$72*$H70)+Inputs!$B$21+Inputs!$B$72*$J70</f>
        <v>577500</v>
      </c>
      <c r="BV70" s="38">
        <f t="shared" si="27"/>
        <v>-577500</v>
      </c>
      <c r="BW70" s="38">
        <f t="shared" si="28"/>
        <v>1</v>
      </c>
      <c r="BX70" s="38">
        <f>MAX(0,MIN(Inputs!$C$36,CC69,BY70+BZ70+CA70+Inputs!$C$6-CB69))</f>
        <v>0</v>
      </c>
      <c r="BY70" s="38">
        <f>Inputs!$C$27*(1+Inputs!$C$28)^($A70/12)*IF(Inputs!$B$72=1,$G70,1)*(1-Inputs!$C$72*$H70*(1-Inputs!$E$54*Inputs!$B$72))*(1+$I70)*IF(Inputs!$C$29=0,1,(MAX(CB69,0)/Inputs!$C$6)^Inputs!$C$29)</f>
        <v>8325.2862295718824</v>
      </c>
      <c r="BZ70" s="38">
        <f>Inputs!$C$32*CB69/Inputs!$C$6</f>
        <v>1798.6285361706871</v>
      </c>
      <c r="CA70" s="38">
        <f>Inputs!$C$33</f>
        <v>2000</v>
      </c>
      <c r="CB70" s="38">
        <f t="shared" si="29"/>
        <v>201046.87470633889</v>
      </c>
      <c r="CC70" s="38">
        <f t="shared" si="30"/>
        <v>0</v>
      </c>
      <c r="CD70" s="38">
        <f>Inputs!$C$19*(1-Inputs!$C$72*$H70)+Inputs!$C$21+Inputs!$B$72*$J70</f>
        <v>480000</v>
      </c>
      <c r="CE70" s="38">
        <f t="shared" si="31"/>
        <v>-278953.12529366114</v>
      </c>
      <c r="CF70" s="38">
        <f t="shared" si="32"/>
        <v>1</v>
      </c>
      <c r="CG70" s="38">
        <f>MAX(0,MIN(Inputs!$D$36,CL69,CH70+CI70+CJ70+Inputs!$D$6-CK69))</f>
        <v>7933.2550282481825</v>
      </c>
      <c r="CH70" s="38">
        <f>Inputs!$D$27*(1+Inputs!$D$28)^($A70/12)*IF(Inputs!$B$72=1,$G70,1)*(1-Inputs!$C$72*$H70*(1-Inputs!$E$54*Inputs!$B$72))*(1+$I70)*IF(Inputs!$D$29=0,1,(MAX(CK69,0)/Inputs!$D$6)^Inputs!$D$29)</f>
        <v>7021.2741305379041</v>
      </c>
      <c r="CI70" s="38">
        <f>Inputs!$D$32*CK69/Inputs!$D$6</f>
        <v>4200</v>
      </c>
      <c r="CJ70" s="38">
        <f>Inputs!$D$33</f>
        <v>1500</v>
      </c>
      <c r="CK70" s="38">
        <f t="shared" si="33"/>
        <v>875211.98089771031</v>
      </c>
      <c r="CL70" s="38">
        <f t="shared" si="34"/>
        <v>0</v>
      </c>
      <c r="CM70" s="38">
        <f>Inputs!$D$19*(1-Inputs!$C$72*$H70)+Inputs!$D$21+Inputs!$B$72*$J70</f>
        <v>392150</v>
      </c>
      <c r="CN70" s="38">
        <f t="shared" si="35"/>
        <v>483061.98089771031</v>
      </c>
      <c r="CO70" s="38">
        <f t="shared" si="36"/>
        <v>0</v>
      </c>
      <c r="CP70" s="38">
        <f>MAX(0,MIN(Inputs!$B$36,CU69,CQ70+CR70+CS70+Inputs!$B$6-CT69))</f>
        <v>0</v>
      </c>
      <c r="CQ70" s="38">
        <f>Inputs!$B$27*(1+Inputs!$B$28)^($A70/12)*IF(Inputs!$B$73=1,$G70,1)*(1-Inputs!$C$73*$H70*(1-Inputs!$E$54*Inputs!$B$73))*(1+$I70)*IF(Inputs!$B$29=0,1,(MAX(CT69,0)/Inputs!$B$6)^Inputs!$B$29)</f>
        <v>16102.778970081723</v>
      </c>
      <c r="CR70" s="38">
        <f>Inputs!$B$32*CT69/Inputs!$B$6</f>
        <v>0</v>
      </c>
      <c r="CS70" s="38">
        <f>Inputs!$B$33</f>
        <v>2500</v>
      </c>
      <c r="CT70" s="38">
        <f t="shared" si="37"/>
        <v>0</v>
      </c>
      <c r="CU70" s="38">
        <f t="shared" si="38"/>
        <v>0</v>
      </c>
      <c r="CV70" s="38">
        <f>Inputs!$B$19*(1-Inputs!$C$73*$H70)+Inputs!$B$21+Inputs!$B$73*$J70</f>
        <v>583500</v>
      </c>
      <c r="CW70" s="38">
        <f t="shared" si="39"/>
        <v>-583500</v>
      </c>
      <c r="CX70" s="38">
        <f t="shared" si="40"/>
        <v>1</v>
      </c>
      <c r="CY70" s="38">
        <f>MAX(0,MIN(Inputs!$C$36,DD69,CZ70+DA70+DB70+Inputs!$C$6-DC69))</f>
        <v>0</v>
      </c>
      <c r="CZ70" s="38">
        <f>Inputs!$C$27*(1+Inputs!$C$28)^($A70/12)*IF(Inputs!$B$73=1,$G70,1)*(1-Inputs!$C$73*$H70*(1-Inputs!$E$54*Inputs!$B$73))*(1+$I70)*IF(Inputs!$C$29=0,1,(MAX(DC69,0)/Inputs!$C$6)^Inputs!$C$29)</f>
        <v>7784.5447157873141</v>
      </c>
      <c r="DA70" s="38">
        <f>Inputs!$C$32*DC69/Inputs!$C$6</f>
        <v>2200.1879430091021</v>
      </c>
      <c r="DB70" s="38">
        <f>Inputs!$C$33</f>
        <v>2000</v>
      </c>
      <c r="DC70" s="38">
        <f t="shared" si="41"/>
        <v>248778.28280894906</v>
      </c>
      <c r="DD70" s="38">
        <f t="shared" si="42"/>
        <v>0</v>
      </c>
      <c r="DE70" s="38">
        <f>Inputs!$C$19*(1-Inputs!$C$73*$H70)+Inputs!$C$21+Inputs!$B$73*$J70</f>
        <v>486000</v>
      </c>
      <c r="DF70" s="38">
        <f t="shared" si="43"/>
        <v>-237221.71719105094</v>
      </c>
      <c r="DG70" s="38">
        <f t="shared" si="44"/>
        <v>1</v>
      </c>
      <c r="DH70" s="38">
        <f>MAX(0,MIN(Inputs!$D$36,DM69,DI70+DJ70+DK70+Inputs!$D$6-DL69))</f>
        <v>11942.670290248236</v>
      </c>
      <c r="DI70" s="38">
        <f>Inputs!$D$27*(1+Inputs!$D$28)^($A70/12)*IF(Inputs!$B$73=1,$G70,1)*(1-Inputs!$C$73*$H70*(1-Inputs!$E$54*Inputs!$B$73))*(1+$I70)*IF(Inputs!$D$29=0,1,(MAX(DL69,0)/Inputs!$D$6)^Inputs!$D$29)</f>
        <v>6242.6702902482948</v>
      </c>
      <c r="DJ70" s="38">
        <f>Inputs!$D$32*DL69/Inputs!$D$6</f>
        <v>4200</v>
      </c>
      <c r="DK70" s="38">
        <f>Inputs!$D$33</f>
        <v>1500</v>
      </c>
      <c r="DL70" s="38">
        <f t="shared" si="45"/>
        <v>879999.99999999988</v>
      </c>
      <c r="DM70" s="38">
        <f t="shared" si="46"/>
        <v>45217.492315602954</v>
      </c>
      <c r="DN70" s="38">
        <f>Inputs!$D$19*(1-Inputs!$C$73*$H70)+Inputs!$D$21+Inputs!$B$73*$J70</f>
        <v>398150</v>
      </c>
      <c r="DO70" s="38">
        <f t="shared" si="47"/>
        <v>481849.99999999988</v>
      </c>
      <c r="DP70" s="38">
        <f t="shared" si="48"/>
        <v>0</v>
      </c>
    </row>
    <row r="71" spans="1:120" x14ac:dyDescent="0.35">
      <c r="A71" s="29">
        <v>66</v>
      </c>
      <c r="B71" s="34">
        <f>EDATE(Inputs!$B$67,$A71)</f>
        <v>48274</v>
      </c>
      <c r="C71" s="35">
        <f>IF(Inputs!$E$47&lt;=0,Inputs!$E$46,Inputs!$E$44+(Inputs!$E$46-Inputs!$E$44)*MIN($A71/Inputs!$E$47,1))</f>
        <v>0.7</v>
      </c>
      <c r="D71" s="35">
        <f>MIN(Inputs!$E$57,Inputs!$E$55*(1+Inputs!$E$56)^($A71/12))*Inputs!$E$58*(1+Inputs!$E$59)^($A71/12)/Inputs!$E$45</f>
        <v>1.5</v>
      </c>
      <c r="E71" s="35">
        <f>MAX(Inputs!$E$44,MIN(C71,D71))</f>
        <v>0.7</v>
      </c>
      <c r="F71" s="35">
        <f>IF(Inputs!$E$50&lt;=0,Inputs!$E$49,Inputs!$E$48+(Inputs!$E$49-Inputs!$E$48)*MIN($A71/Inputs!$E$50,1))</f>
        <v>0.12</v>
      </c>
      <c r="G71" s="36">
        <f>(Inputs!$E$41*(1-E71*Inputs!$E$51)+Inputs!$E$42*(1-F71*Inputs!$E$51))/(Inputs!$E$41*(1-Inputs!$E$44*Inputs!$E$51)+Inputs!$E$42*(1-Inputs!$E$48*Inputs!$E$51))</f>
        <v>0.8423127463863338</v>
      </c>
      <c r="H71" s="35">
        <f>IF(Inputs!$E$53&lt;=0,Inputs!$E$52,Inputs!$E$52*MIN($A71/Inputs!$E$53,1))</f>
        <v>0.1</v>
      </c>
      <c r="I71" s="35">
        <f>IF(Inputs!$E$64&lt;=0,Inputs!$E$63,Inputs!$E$62+(Inputs!$E$63-Inputs!$E$62)*MIN($A71/Inputs!$E$64,1))</f>
        <v>0.03</v>
      </c>
      <c r="J71" s="37">
        <f>(E71-Inputs!$E$44)*Inputs!$E$45/Inputs!$E$60*Inputs!$E$61</f>
        <v>5999.9999999999991</v>
      </c>
      <c r="K71" s="29">
        <f t="shared" si="49"/>
        <v>0</v>
      </c>
      <c r="L71" s="29"/>
      <c r="M71" s="38">
        <f>MAX(0,MIN(Inputs!$B$36,R70,N71+O71+P71+Inputs!$B$6-Q70))</f>
        <v>0</v>
      </c>
      <c r="N71" s="38">
        <f>Inputs!$B$27*(1+Inputs!$B$28)^($A71/12)*IF(Inputs!$B$70=1,$G71,1)*(1-Inputs!$C$70*$H71*(1-Inputs!$E$54*Inputs!$B$70))*(1+$I71)*IF(Inputs!$B$29=0,1,(MAX(Q70,0)/Inputs!$B$6)^Inputs!$B$29)</f>
        <v>20205.501246709013</v>
      </c>
      <c r="O71" s="38">
        <f>Inputs!$B$32*Q70/Inputs!$B$6</f>
        <v>0</v>
      </c>
      <c r="P71" s="38">
        <f>Inputs!$B$33</f>
        <v>2500</v>
      </c>
      <c r="Q71" s="38">
        <f t="shared" ref="Q71:Q134" si="50">MAX(Q70+M71-N71-O71-P71,0)</f>
        <v>0</v>
      </c>
      <c r="R71" s="38">
        <f t="shared" ref="R71:R134" si="51">R70-M71</f>
        <v>0</v>
      </c>
      <c r="S71" s="38">
        <f>Inputs!$B$19*(1-Inputs!$C$70*$H71)+Inputs!$B$21+Inputs!$B$70*$J71</f>
        <v>595000</v>
      </c>
      <c r="T71" s="38">
        <f t="shared" ref="T71:T134" si="52">Q71-S71</f>
        <v>-595000</v>
      </c>
      <c r="U71" s="38">
        <f t="shared" ref="U71:U134" si="53">IF(T71&lt;0,1,0)</f>
        <v>1</v>
      </c>
      <c r="V71" s="38">
        <f>MAX(0,MIN(Inputs!$C$36,AA70,W71+X71+Y71+Inputs!$C$6-Z70))</f>
        <v>0</v>
      </c>
      <c r="W71" s="38">
        <f>Inputs!$C$27*(1+Inputs!$C$28)^($A71/12)*IF(Inputs!$B$70=1,$G71,1)*(1-Inputs!$C$70*$H71*(1-Inputs!$E$54*Inputs!$B$70))*(1+$I71)*IF(Inputs!$C$29=0,1,(MAX(Z70,0)/Inputs!$C$6)^Inputs!$C$29)</f>
        <v>8704.9496185557036</v>
      </c>
      <c r="X71" s="38">
        <f>Inputs!$C$32*Z70/Inputs!$C$6</f>
        <v>1410.5220173171929</v>
      </c>
      <c r="Y71" s="38">
        <f>Inputs!$C$33</f>
        <v>2000</v>
      </c>
      <c r="Z71" s="38">
        <f t="shared" ref="Z71:Z134" si="54">MAX(Z70+V71-W71-X71-Y71,0)</f>
        <v>155057.50819431298</v>
      </c>
      <c r="AA71" s="38">
        <f t="shared" ref="AA71:AA134" si="55">AA70-V71</f>
        <v>0</v>
      </c>
      <c r="AB71" s="38">
        <f>Inputs!$C$19*(1-Inputs!$C$70*$H71)+Inputs!$C$21+Inputs!$B$70*$J71</f>
        <v>495000</v>
      </c>
      <c r="AC71" s="38">
        <f t="shared" ref="AC71:AC134" si="56">Z71-AB71</f>
        <v>-339942.49180568702</v>
      </c>
      <c r="AD71" s="38">
        <f t="shared" ref="AD71:AD134" si="57">IF(AC71&lt;0,1,0)</f>
        <v>1</v>
      </c>
      <c r="AE71" s="38">
        <f>MAX(0,MIN(Inputs!$D$36,AJ70,AF71+AG71+AH71+Inputs!$D$6-AI70))</f>
        <v>0</v>
      </c>
      <c r="AF71" s="38">
        <f>Inputs!$D$27*(1+Inputs!$D$28)^($A71/12)*IF(Inputs!$B$70=1,$G71,1)*(1-Inputs!$C$70*$H71*(1-Inputs!$E$54*Inputs!$B$70))*(1+$I71)*IF(Inputs!$D$29=0,1,(MAX(AI70,0)/Inputs!$D$6)^Inputs!$D$29)</f>
        <v>7589.1320553347723</v>
      </c>
      <c r="AG71" s="38">
        <f>Inputs!$D$32*AI70/Inputs!$D$6</f>
        <v>4008.6616616392967</v>
      </c>
      <c r="AH71" s="38">
        <f>Inputs!$D$33</f>
        <v>1500</v>
      </c>
      <c r="AI71" s="38">
        <f t="shared" ref="AI71:AI134" si="58">MAX(AI70+AE71-AF71-AG71-AH71,0)</f>
        <v>826812.26872173569</v>
      </c>
      <c r="AJ71" s="38">
        <f t="shared" ref="AJ71:AJ134" si="59">AJ70-AE71</f>
        <v>0</v>
      </c>
      <c r="AK71" s="38">
        <f>Inputs!$D$19*(1-Inputs!$C$70*$H71)+Inputs!$D$21+Inputs!$B$70*$J71</f>
        <v>404800</v>
      </c>
      <c r="AL71" s="38">
        <f t="shared" ref="AL71:AL134" si="60">AI71-AK71</f>
        <v>422012.26872173569</v>
      </c>
      <c r="AM71" s="38">
        <f t="shared" ref="AM71:AM134" si="61">IF(AL71&lt;0,1,0)</f>
        <v>0</v>
      </c>
      <c r="AN71" s="38">
        <f>MAX(0,MIN(Inputs!$B$36,AS70,AO71+AP71+AQ71+Inputs!$B$6-AR70))</f>
        <v>0</v>
      </c>
      <c r="AO71" s="38">
        <f>Inputs!$B$27*(1+Inputs!$B$28)^($A71/12)*IF(Inputs!$B$71=1,$G71,1)*(1-Inputs!$C$71*$H71*(1-Inputs!$E$54*Inputs!$B$71))*(1+$I71)*IF(Inputs!$B$29=0,1,(MAX(AR70,0)/Inputs!$B$6)^Inputs!$B$29)</f>
        <v>17019.351247227958</v>
      </c>
      <c r="AP71" s="38">
        <f>Inputs!$B$32*AR70/Inputs!$B$6</f>
        <v>0</v>
      </c>
      <c r="AQ71" s="38">
        <f>Inputs!$B$33</f>
        <v>2500</v>
      </c>
      <c r="AR71" s="38">
        <f t="shared" ref="AR71:AR134" si="62">MAX(AR70+AN71-AO71-AP71-AQ71,0)</f>
        <v>0</v>
      </c>
      <c r="AS71" s="38">
        <f t="shared" ref="AS71:AS134" si="63">AS70-AN71</f>
        <v>0</v>
      </c>
      <c r="AT71" s="38">
        <f>Inputs!$B$19*(1-Inputs!$C$71*$H71)+Inputs!$B$21+Inputs!$B$71*$J71</f>
        <v>601000</v>
      </c>
      <c r="AU71" s="38">
        <f t="shared" ref="AU71:AU134" si="64">AR71-AT71</f>
        <v>-601000</v>
      </c>
      <c r="AV71" s="38">
        <f t="shared" ref="AV71:AV134" si="65">IF(AU71&lt;0,1,0)</f>
        <v>1</v>
      </c>
      <c r="AW71" s="38">
        <f>MAX(0,MIN(Inputs!$C$36,BB70,AX71+AY71+AZ71+Inputs!$C$6-BA70))</f>
        <v>0</v>
      </c>
      <c r="AX71" s="38">
        <f>Inputs!$C$27*(1+Inputs!$C$28)^($A71/12)*IF(Inputs!$B$71=1,$G71,1)*(1-Inputs!$C$71*$H71*(1-Inputs!$E$54*Inputs!$B$71))*(1+$I71)*IF(Inputs!$C$29=0,1,(MAX(BA70,0)/Inputs!$C$6)^Inputs!$C$29)</f>
        <v>7970.3054068676356</v>
      </c>
      <c r="AY71" s="38">
        <f>Inputs!$C$32*BA70/Inputs!$C$6</f>
        <v>1969.3421814639769</v>
      </c>
      <c r="AZ71" s="38">
        <f>Inputs!$C$33</f>
        <v>2000</v>
      </c>
      <c r="BA71" s="38">
        <f t="shared" ref="BA71:BA134" si="66">MAX(BA70+AW71-AX71-AY71-AZ71,0)</f>
        <v>221463.8702148064</v>
      </c>
      <c r="BB71" s="38">
        <f t="shared" ref="BB71:BB134" si="67">BB70-AW71</f>
        <v>0</v>
      </c>
      <c r="BC71" s="38">
        <f>Inputs!$C$19*(1-Inputs!$C$71*$H71)+Inputs!$C$21+Inputs!$B$71*$J71</f>
        <v>501000</v>
      </c>
      <c r="BD71" s="38">
        <f t="shared" ref="BD71:BD134" si="68">BA71-BC71</f>
        <v>-279536.1297851936</v>
      </c>
      <c r="BE71" s="38">
        <f t="shared" ref="BE71:BE134" si="69">IF(BD71&lt;0,1,0)</f>
        <v>1</v>
      </c>
      <c r="BF71" s="38">
        <f>MAX(0,MIN(Inputs!$D$36,BK70,BG71+BH71+BI71+Inputs!$D$6-BJ70))</f>
        <v>12243.203485723352</v>
      </c>
      <c r="BG71" s="38">
        <f>Inputs!$D$27*(1+Inputs!$D$28)^($A71/12)*IF(Inputs!$B$71=1,$G71,1)*(1-Inputs!$C$71*$H71*(1-Inputs!$E$54*Inputs!$B$71))*(1+$I71)*IF(Inputs!$D$29=0,1,(MAX(BJ70,0)/Inputs!$D$6)^Inputs!$D$29)</f>
        <v>6543.2034857233457</v>
      </c>
      <c r="BH71" s="38">
        <f>Inputs!$D$32*BJ70/Inputs!$D$6</f>
        <v>4200</v>
      </c>
      <c r="BI71" s="38">
        <f>Inputs!$D$33</f>
        <v>1500</v>
      </c>
      <c r="BJ71" s="38">
        <f t="shared" ref="BJ71:BJ134" si="70">MAX(BJ70+BF71-BG71-BH71-BI71,0)</f>
        <v>880000</v>
      </c>
      <c r="BK71" s="38">
        <f t="shared" ref="BK71:BK134" si="71">BK70-BF71</f>
        <v>17729.358960430836</v>
      </c>
      <c r="BL71" s="38">
        <f>Inputs!$D$19*(1-Inputs!$C$71*$H71)+Inputs!$D$21+Inputs!$B$71*$J71</f>
        <v>410800</v>
      </c>
      <c r="BM71" s="38">
        <f t="shared" ref="BM71:BM134" si="72">BJ71-BL71</f>
        <v>469200</v>
      </c>
      <c r="BN71" s="38">
        <f t="shared" ref="BN71:BN134" si="73">IF(BM71&lt;0,1,0)</f>
        <v>0</v>
      </c>
      <c r="BO71" s="38">
        <f>MAX(0,MIN(Inputs!$B$36,BT70,BP71+BQ71+BR71+Inputs!$B$6-BS70))</f>
        <v>0</v>
      </c>
      <c r="BP71" s="38">
        <f>Inputs!$B$27*(1+Inputs!$B$28)^($A71/12)*IF(Inputs!$B$72=1,$G71,1)*(1-Inputs!$C$72*$H71*(1-Inputs!$E$54*Inputs!$B$72))*(1+$I71)*IF(Inputs!$B$29=0,1,(MAX(BS70,0)/Inputs!$B$6)^Inputs!$B$29)</f>
        <v>18184.951122038114</v>
      </c>
      <c r="BQ71" s="38">
        <f>Inputs!$B$32*BS70/Inputs!$B$6</f>
        <v>0</v>
      </c>
      <c r="BR71" s="38">
        <f>Inputs!$B$33</f>
        <v>2500</v>
      </c>
      <c r="BS71" s="38">
        <f t="shared" ref="BS71:BS134" si="74">MAX(BS70+BO71-BP71-BQ71-BR71,0)</f>
        <v>0</v>
      </c>
      <c r="BT71" s="38">
        <f t="shared" ref="BT71:BT134" si="75">BT70-BO71</f>
        <v>0</v>
      </c>
      <c r="BU71" s="38">
        <f>Inputs!$B$19*(1-Inputs!$C$72*$H71)+Inputs!$B$21+Inputs!$B$72*$J71</f>
        <v>577500</v>
      </c>
      <c r="BV71" s="38">
        <f t="shared" ref="BV71:BV134" si="76">BS71-BU71</f>
        <v>-577500</v>
      </c>
      <c r="BW71" s="38">
        <f t="shared" ref="BW71:BW134" si="77">IF(BV71&lt;0,1,0)</f>
        <v>1</v>
      </c>
      <c r="BX71" s="38">
        <f>MAX(0,MIN(Inputs!$C$36,CC70,BY71+BZ71+CA71+Inputs!$C$6-CB70))</f>
        <v>0</v>
      </c>
      <c r="BY71" s="38">
        <f>Inputs!$C$27*(1+Inputs!$C$28)^($A71/12)*IF(Inputs!$B$72=1,$G71,1)*(1-Inputs!$C$72*$H71*(1-Inputs!$E$54*Inputs!$B$72))*(1+$I71)*IF(Inputs!$C$29=0,1,(MAX(CB70,0)/Inputs!$C$6)^Inputs!$C$29)</f>
        <v>8204.300935262052</v>
      </c>
      <c r="BZ71" s="38">
        <f>Inputs!$C$32*CB70/Inputs!$C$6</f>
        <v>1696.333005334734</v>
      </c>
      <c r="CA71" s="38">
        <f>Inputs!$C$33</f>
        <v>2000</v>
      </c>
      <c r="CB71" s="38">
        <f t="shared" ref="CB71:CB134" si="78">MAX(CB70+BX71-BY71-BZ71-CA71,0)</f>
        <v>189146.24076574208</v>
      </c>
      <c r="CC71" s="38">
        <f t="shared" ref="CC71:CC134" si="79">CC70-BX71</f>
        <v>0</v>
      </c>
      <c r="CD71" s="38">
        <f>Inputs!$C$19*(1-Inputs!$C$72*$H71)+Inputs!$C$21+Inputs!$B$72*$J71</f>
        <v>480000</v>
      </c>
      <c r="CE71" s="38">
        <f t="shared" ref="CE71:CE134" si="80">CB71-CD71</f>
        <v>-290853.75923425792</v>
      </c>
      <c r="CF71" s="38">
        <f t="shared" ref="CF71:CF134" si="81">IF(CE71&lt;0,1,0)</f>
        <v>1</v>
      </c>
      <c r="CG71" s="38">
        <f>MAX(0,MIN(Inputs!$D$36,CL70,CH71+CI71+CJ71+Inputs!$D$6-CK70))</f>
        <v>0</v>
      </c>
      <c r="CH71" s="38">
        <f>Inputs!$D$27*(1+Inputs!$D$28)^($A71/12)*IF(Inputs!$B$72=1,$G71,1)*(1-Inputs!$C$72*$H71*(1-Inputs!$E$54*Inputs!$B$72))*(1+$I71)*IF(Inputs!$D$29=0,1,(MAX(CK70,0)/Inputs!$D$6)^Inputs!$D$29)</f>
        <v>6972.2805554534007</v>
      </c>
      <c r="CI71" s="38">
        <f>Inputs!$D$32*CK70/Inputs!$D$6</f>
        <v>4177.1480906481629</v>
      </c>
      <c r="CJ71" s="38">
        <f>Inputs!$D$33</f>
        <v>1500</v>
      </c>
      <c r="CK71" s="38">
        <f t="shared" ref="CK71:CK134" si="82">MAX(CK70+CG71-CH71-CI71-CJ71,0)</f>
        <v>862562.55225160881</v>
      </c>
      <c r="CL71" s="38">
        <f t="shared" ref="CL71:CL134" si="83">CL70-CG71</f>
        <v>0</v>
      </c>
      <c r="CM71" s="38">
        <f>Inputs!$D$19*(1-Inputs!$C$72*$H71)+Inputs!$D$21+Inputs!$B$72*$J71</f>
        <v>392150</v>
      </c>
      <c r="CN71" s="38">
        <f t="shared" ref="CN71:CN134" si="84">CK71-CM71</f>
        <v>470412.55225160881</v>
      </c>
      <c r="CO71" s="38">
        <f t="shared" ref="CO71:CO134" si="85">IF(CN71&lt;0,1,0)</f>
        <v>0</v>
      </c>
      <c r="CP71" s="38">
        <f>MAX(0,MIN(Inputs!$B$36,CU70,CQ71+CR71+CS71+Inputs!$B$6-CT70))</f>
        <v>0</v>
      </c>
      <c r="CQ71" s="38">
        <f>Inputs!$B$27*(1+Inputs!$B$28)^($A71/12)*IF(Inputs!$B$73=1,$G71,1)*(1-Inputs!$C$73*$H71*(1-Inputs!$E$54*Inputs!$B$73))*(1+$I71)*IF(Inputs!$B$29=0,1,(MAX(CT70,0)/Inputs!$B$6)^Inputs!$B$29)</f>
        <v>16168.38368486656</v>
      </c>
      <c r="CR71" s="38">
        <f>Inputs!$B$32*CT70/Inputs!$B$6</f>
        <v>0</v>
      </c>
      <c r="CS71" s="38">
        <f>Inputs!$B$33</f>
        <v>2500</v>
      </c>
      <c r="CT71" s="38">
        <f t="shared" ref="CT71:CT134" si="86">MAX(CT70+CP71-CQ71-CR71-CS71,0)</f>
        <v>0</v>
      </c>
      <c r="CU71" s="38">
        <f t="shared" ref="CU71:CU134" si="87">CU70-CP71</f>
        <v>0</v>
      </c>
      <c r="CV71" s="38">
        <f>Inputs!$B$19*(1-Inputs!$C$73*$H71)+Inputs!$B$21+Inputs!$B$73*$J71</f>
        <v>583500</v>
      </c>
      <c r="CW71" s="38">
        <f t="shared" ref="CW71:CW134" si="88">CT71-CV71</f>
        <v>-583500</v>
      </c>
      <c r="CX71" s="38">
        <f t="shared" ref="CX71:CX134" si="89">IF(CW71&lt;0,1,0)</f>
        <v>1</v>
      </c>
      <c r="CY71" s="38">
        <f>MAX(0,MIN(Inputs!$C$36,DD70,CZ71+DA71+DB71+Inputs!$C$6-DC70))</f>
        <v>0</v>
      </c>
      <c r="CZ71" s="38">
        <f>Inputs!$C$27*(1+Inputs!$C$28)^($A71/12)*IF(Inputs!$B$73=1,$G71,1)*(1-Inputs!$C$73*$H71*(1-Inputs!$E$54*Inputs!$B$73))*(1+$I71)*IF(Inputs!$C$29=0,1,(MAX(DC70,0)/Inputs!$C$6)^Inputs!$C$29)</f>
        <v>7693.5155417813548</v>
      </c>
      <c r="DA71" s="38">
        <f>Inputs!$C$32*DC70/Inputs!$C$6</f>
        <v>2099.0667612005077</v>
      </c>
      <c r="DB71" s="38">
        <f>Inputs!$C$33</f>
        <v>2000</v>
      </c>
      <c r="DC71" s="38">
        <f t="shared" ref="DC71:DC134" si="90">MAX(DC70+CY71-CZ71-DA71-DB71,0)</f>
        <v>236985.70050596719</v>
      </c>
      <c r="DD71" s="38">
        <f t="shared" ref="DD71:DD134" si="91">DD70-CY71</f>
        <v>0</v>
      </c>
      <c r="DE71" s="38">
        <f>Inputs!$C$19*(1-Inputs!$C$73*$H71)+Inputs!$C$21+Inputs!$B$73*$J71</f>
        <v>486000</v>
      </c>
      <c r="DF71" s="38">
        <f t="shared" ref="DF71:DF134" si="92">DC71-DE71</f>
        <v>-249014.29949403281</v>
      </c>
      <c r="DG71" s="38">
        <f t="shared" ref="DG71:DG134" si="93">IF(DF71&lt;0,1,0)</f>
        <v>1</v>
      </c>
      <c r="DH71" s="38">
        <f>MAX(0,MIN(Inputs!$D$36,DM70,DI71+DJ71+DK71+Inputs!$D$6-DL70))</f>
        <v>11916.043311437243</v>
      </c>
      <c r="DI71" s="38">
        <f>Inputs!$D$27*(1+Inputs!$D$28)^($A71/12)*IF(Inputs!$B$73=1,$G71,1)*(1-Inputs!$C$73*$H71*(1-Inputs!$E$54*Inputs!$B$73))*(1+$I71)*IF(Inputs!$D$29=0,1,(MAX(DL70,0)/Inputs!$D$6)^Inputs!$D$29)</f>
        <v>6216.0433114371781</v>
      </c>
      <c r="DJ71" s="38">
        <f>Inputs!$D$32*DL70/Inputs!$D$6</f>
        <v>4199.9999999999991</v>
      </c>
      <c r="DK71" s="38">
        <f>Inputs!$D$33</f>
        <v>1500</v>
      </c>
      <c r="DL71" s="38">
        <f t="shared" ref="DL71:DL134" si="94">MAX(DL70+DH71-DI71-DJ71-DK71,0)</f>
        <v>880000</v>
      </c>
      <c r="DM71" s="38">
        <f t="shared" ref="DM71:DM134" si="95">DM70-DH71</f>
        <v>33301.449004165712</v>
      </c>
      <c r="DN71" s="38">
        <f>Inputs!$D$19*(1-Inputs!$C$73*$H71)+Inputs!$D$21+Inputs!$B$73*$J71</f>
        <v>398150</v>
      </c>
      <c r="DO71" s="38">
        <f t="shared" ref="DO71:DO134" si="96">DL71-DN71</f>
        <v>481850</v>
      </c>
      <c r="DP71" s="38">
        <f t="shared" ref="DP71:DP134" si="97">IF(DO71&lt;0,1,0)</f>
        <v>0</v>
      </c>
    </row>
    <row r="72" spans="1:120" x14ac:dyDescent="0.35">
      <c r="A72" s="29">
        <v>67</v>
      </c>
      <c r="B72" s="34">
        <f>EDATE(Inputs!$B$67,$A72)</f>
        <v>48305</v>
      </c>
      <c r="C72" s="35">
        <f>IF(Inputs!$E$47&lt;=0,Inputs!$E$46,Inputs!$E$44+(Inputs!$E$46-Inputs!$E$44)*MIN($A72/Inputs!$E$47,1))</f>
        <v>0.7</v>
      </c>
      <c r="D72" s="35">
        <f>MIN(Inputs!$E$57,Inputs!$E$55*(1+Inputs!$E$56)^($A72/12))*Inputs!$E$58*(1+Inputs!$E$59)^($A72/12)/Inputs!$E$45</f>
        <v>1.5</v>
      </c>
      <c r="E72" s="35">
        <f>MAX(Inputs!$E$44,MIN(C72,D72))</f>
        <v>0.7</v>
      </c>
      <c r="F72" s="35">
        <f>IF(Inputs!$E$50&lt;=0,Inputs!$E$49,Inputs!$E$48+(Inputs!$E$49-Inputs!$E$48)*MIN($A72/Inputs!$E$50,1))</f>
        <v>0.12</v>
      </c>
      <c r="G72" s="36">
        <f>(Inputs!$E$41*(1-E72*Inputs!$E$51)+Inputs!$E$42*(1-F72*Inputs!$E$51))/(Inputs!$E$41*(1-Inputs!$E$44*Inputs!$E$51)+Inputs!$E$42*(1-Inputs!$E$48*Inputs!$E$51))</f>
        <v>0.8423127463863338</v>
      </c>
      <c r="H72" s="35">
        <f>IF(Inputs!$E$53&lt;=0,Inputs!$E$52,Inputs!$E$52*MIN($A72/Inputs!$E$53,1))</f>
        <v>0.1</v>
      </c>
      <c r="I72" s="35">
        <f>IF(Inputs!$E$64&lt;=0,Inputs!$E$63,Inputs!$E$62+(Inputs!$E$63-Inputs!$E$62)*MIN($A72/Inputs!$E$64,1))</f>
        <v>0.03</v>
      </c>
      <c r="J72" s="37">
        <f>(E72-Inputs!$E$44)*Inputs!$E$45/Inputs!$E$60*Inputs!$E$61</f>
        <v>5999.9999999999991</v>
      </c>
      <c r="K72" s="29">
        <f t="shared" si="49"/>
        <v>0</v>
      </c>
      <c r="L72" s="29"/>
      <c r="M72" s="38">
        <f>MAX(0,MIN(Inputs!$B$36,R71,N72+O72+P72+Inputs!$B$6-Q71))</f>
        <v>0</v>
      </c>
      <c r="N72" s="38">
        <f>Inputs!$B$27*(1+Inputs!$B$28)^($A72/12)*IF(Inputs!$B$70=1,$G72,1)*(1-Inputs!$C$70*$H72*(1-Inputs!$E$54*Inputs!$B$70))*(1+$I72)*IF(Inputs!$B$29=0,1,(MAX(Q71,0)/Inputs!$B$6)^Inputs!$B$29)</f>
        <v>20287.820959898771</v>
      </c>
      <c r="O72" s="38">
        <f>Inputs!$B$32*Q71/Inputs!$B$6</f>
        <v>0</v>
      </c>
      <c r="P72" s="38">
        <f>Inputs!$B$33</f>
        <v>2500</v>
      </c>
      <c r="Q72" s="38">
        <f t="shared" si="50"/>
        <v>0</v>
      </c>
      <c r="R72" s="38">
        <f t="shared" si="51"/>
        <v>0</v>
      </c>
      <c r="S72" s="38">
        <f>Inputs!$B$19*(1-Inputs!$C$70*$H72)+Inputs!$B$21+Inputs!$B$70*$J72</f>
        <v>595000</v>
      </c>
      <c r="T72" s="38">
        <f t="shared" si="52"/>
        <v>-595000</v>
      </c>
      <c r="U72" s="38">
        <f t="shared" si="53"/>
        <v>1</v>
      </c>
      <c r="V72" s="38">
        <f>MAX(0,MIN(Inputs!$C$36,AA71,W72+X72+Y72+Inputs!$C$6-Z71))</f>
        <v>0</v>
      </c>
      <c r="W72" s="38">
        <f>Inputs!$C$27*(1+Inputs!$C$28)^($A72/12)*IF(Inputs!$B$70=1,$G72,1)*(1-Inputs!$C$70*$H72*(1-Inputs!$E$54*Inputs!$B$70))*(1+$I72)*IF(Inputs!$C$29=0,1,(MAX(Z71,0)/Inputs!$C$6)^Inputs!$C$29)</f>
        <v>8542.7547992786785</v>
      </c>
      <c r="X72" s="38">
        <f>Inputs!$C$32*Z71/Inputs!$C$6</f>
        <v>1308.2977253895156</v>
      </c>
      <c r="Y72" s="38">
        <f>Inputs!$C$33</f>
        <v>2000</v>
      </c>
      <c r="Z72" s="38">
        <f t="shared" si="54"/>
        <v>143206.45566964478</v>
      </c>
      <c r="AA72" s="38">
        <f t="shared" si="55"/>
        <v>0</v>
      </c>
      <c r="AB72" s="38">
        <f>Inputs!$C$19*(1-Inputs!$C$70*$H72)+Inputs!$C$21+Inputs!$B$70*$J72</f>
        <v>495000</v>
      </c>
      <c r="AC72" s="38">
        <f t="shared" si="56"/>
        <v>-351793.54433035525</v>
      </c>
      <c r="AD72" s="38">
        <f t="shared" si="57"/>
        <v>1</v>
      </c>
      <c r="AE72" s="38">
        <f>MAX(0,MIN(Inputs!$D$36,AJ71,AF72+AG72+AH72+Inputs!$D$6-AI71))</f>
        <v>0</v>
      </c>
      <c r="AF72" s="38">
        <f>Inputs!$D$27*(1+Inputs!$D$28)^($A72/12)*IF(Inputs!$B$70=1,$G72,1)*(1-Inputs!$C$70*$H72*(1-Inputs!$E$54*Inputs!$B$70))*(1+$I72)*IF(Inputs!$D$29=0,1,(MAX(AI71,0)/Inputs!$D$6)^Inputs!$D$29)</f>
        <v>7497.6093351741511</v>
      </c>
      <c r="AG72" s="38">
        <f>Inputs!$D$32*AI71/Inputs!$D$6</f>
        <v>3946.1494643537385</v>
      </c>
      <c r="AH72" s="38">
        <f>Inputs!$D$33</f>
        <v>1500</v>
      </c>
      <c r="AI72" s="38">
        <f t="shared" si="58"/>
        <v>813868.5099222078</v>
      </c>
      <c r="AJ72" s="38">
        <f t="shared" si="59"/>
        <v>0</v>
      </c>
      <c r="AK72" s="38">
        <f>Inputs!$D$19*(1-Inputs!$C$70*$H72)+Inputs!$D$21+Inputs!$B$70*$J72</f>
        <v>404800</v>
      </c>
      <c r="AL72" s="38">
        <f t="shared" si="60"/>
        <v>409068.5099222078</v>
      </c>
      <c r="AM72" s="38">
        <f t="shared" si="61"/>
        <v>0</v>
      </c>
      <c r="AN72" s="38">
        <f>MAX(0,MIN(Inputs!$B$36,AS71,AO72+AP72+AQ72+Inputs!$B$6-AR71))</f>
        <v>0</v>
      </c>
      <c r="AO72" s="38">
        <f>Inputs!$B$27*(1+Inputs!$B$28)^($A72/12)*IF(Inputs!$B$71=1,$G72,1)*(1-Inputs!$C$71*$H72*(1-Inputs!$E$54*Inputs!$B$71))*(1+$I72)*IF(Inputs!$B$29=0,1,(MAX(AR71,0)/Inputs!$B$6)^Inputs!$B$29)</f>
        <v>17088.690190926558</v>
      </c>
      <c r="AP72" s="38">
        <f>Inputs!$B$32*AR71/Inputs!$B$6</f>
        <v>0</v>
      </c>
      <c r="AQ72" s="38">
        <f>Inputs!$B$33</f>
        <v>2500</v>
      </c>
      <c r="AR72" s="38">
        <f t="shared" si="62"/>
        <v>0</v>
      </c>
      <c r="AS72" s="38">
        <f t="shared" si="63"/>
        <v>0</v>
      </c>
      <c r="AT72" s="38">
        <f>Inputs!$B$19*(1-Inputs!$C$71*$H72)+Inputs!$B$21+Inputs!$B$71*$J72</f>
        <v>601000</v>
      </c>
      <c r="AU72" s="38">
        <f t="shared" si="64"/>
        <v>-601000</v>
      </c>
      <c r="AV72" s="38">
        <f t="shared" si="65"/>
        <v>1</v>
      </c>
      <c r="AW72" s="38">
        <f>MAX(0,MIN(Inputs!$C$36,BB71,AX72+AY72+AZ72+Inputs!$C$6-BA71))</f>
        <v>0</v>
      </c>
      <c r="AX72" s="38">
        <f>Inputs!$C$27*(1+Inputs!$C$28)^($A72/12)*IF(Inputs!$B$71=1,$G72,1)*(1-Inputs!$C$71*$H72*(1-Inputs!$E$54*Inputs!$B$71))*(1+$I72)*IF(Inputs!$C$29=0,1,(MAX(BA71,0)/Inputs!$C$6)^Inputs!$C$29)</f>
        <v>7866.3603118667106</v>
      </c>
      <c r="AY72" s="38">
        <f>Inputs!$C$32*BA71/Inputs!$C$6</f>
        <v>1868.6014049374289</v>
      </c>
      <c r="AZ72" s="38">
        <f>Inputs!$C$33</f>
        <v>2000</v>
      </c>
      <c r="BA72" s="38">
        <f t="shared" si="66"/>
        <v>209728.90849800227</v>
      </c>
      <c r="BB72" s="38">
        <f t="shared" si="67"/>
        <v>0</v>
      </c>
      <c r="BC72" s="38">
        <f>Inputs!$C$19*(1-Inputs!$C$71*$H72)+Inputs!$C$21+Inputs!$B$71*$J72</f>
        <v>501000</v>
      </c>
      <c r="BD72" s="38">
        <f t="shared" si="68"/>
        <v>-291271.09150199773</v>
      </c>
      <c r="BE72" s="38">
        <f t="shared" si="69"/>
        <v>1</v>
      </c>
      <c r="BF72" s="38">
        <f>MAX(0,MIN(Inputs!$D$36,BK71,BG72+BH72+BI72+Inputs!$D$6-BJ71))</f>
        <v>12215.29463703034</v>
      </c>
      <c r="BG72" s="38">
        <f>Inputs!$D$27*(1+Inputs!$D$28)^($A72/12)*IF(Inputs!$B$71=1,$G72,1)*(1-Inputs!$C$71*$H72*(1-Inputs!$E$54*Inputs!$B$71))*(1+$I72)*IF(Inputs!$D$29=0,1,(MAX(BJ71,0)/Inputs!$D$6)^Inputs!$D$29)</f>
        <v>6515.2946370302907</v>
      </c>
      <c r="BH72" s="38">
        <f>Inputs!$D$32*BJ71/Inputs!$D$6</f>
        <v>4200</v>
      </c>
      <c r="BI72" s="38">
        <f>Inputs!$D$33</f>
        <v>1500</v>
      </c>
      <c r="BJ72" s="38">
        <f t="shared" si="70"/>
        <v>880000</v>
      </c>
      <c r="BK72" s="38">
        <f t="shared" si="71"/>
        <v>5514.0643234004965</v>
      </c>
      <c r="BL72" s="38">
        <f>Inputs!$D$19*(1-Inputs!$C$71*$H72)+Inputs!$D$21+Inputs!$B$71*$J72</f>
        <v>410800</v>
      </c>
      <c r="BM72" s="38">
        <f t="shared" si="72"/>
        <v>469200</v>
      </c>
      <c r="BN72" s="38">
        <f t="shared" si="73"/>
        <v>0</v>
      </c>
      <c r="BO72" s="38">
        <f>MAX(0,MIN(Inputs!$B$36,BT71,BP72+BQ72+BR72+Inputs!$B$6-BS71))</f>
        <v>0</v>
      </c>
      <c r="BP72" s="38">
        <f>Inputs!$B$27*(1+Inputs!$B$28)^($A72/12)*IF(Inputs!$B$72=1,$G72,1)*(1-Inputs!$C$72*$H72*(1-Inputs!$E$54*Inputs!$B$72))*(1+$I72)*IF(Inputs!$B$29=0,1,(MAX(BS71,0)/Inputs!$B$6)^Inputs!$B$29)</f>
        <v>18259.038863908892</v>
      </c>
      <c r="BQ72" s="38">
        <f>Inputs!$B$32*BS71/Inputs!$B$6</f>
        <v>0</v>
      </c>
      <c r="BR72" s="38">
        <f>Inputs!$B$33</f>
        <v>2500</v>
      </c>
      <c r="BS72" s="38">
        <f t="shared" si="74"/>
        <v>0</v>
      </c>
      <c r="BT72" s="38">
        <f t="shared" si="75"/>
        <v>0</v>
      </c>
      <c r="BU72" s="38">
        <f>Inputs!$B$19*(1-Inputs!$C$72*$H72)+Inputs!$B$21+Inputs!$B$72*$J72</f>
        <v>577500</v>
      </c>
      <c r="BV72" s="38">
        <f t="shared" si="76"/>
        <v>-577500</v>
      </c>
      <c r="BW72" s="38">
        <f t="shared" si="77"/>
        <v>1</v>
      </c>
      <c r="BX72" s="38">
        <f>MAX(0,MIN(Inputs!$C$36,CC71,BY72+BZ72+CA72+Inputs!$C$6-CB71))</f>
        <v>0</v>
      </c>
      <c r="BY72" s="38">
        <f>Inputs!$C$27*(1+Inputs!$C$28)^($A72/12)*IF(Inputs!$B$72=1,$G72,1)*(1-Inputs!$C$72*$H72*(1-Inputs!$E$54*Inputs!$B$72))*(1+$I72)*IF(Inputs!$C$29=0,1,(MAX(CB71,0)/Inputs!$C$6)^Inputs!$C$29)</f>
        <v>8080.0989448405862</v>
      </c>
      <c r="BZ72" s="38">
        <f>Inputs!$C$32*CB71/Inputs!$C$6</f>
        <v>1595.9214064609487</v>
      </c>
      <c r="CA72" s="38">
        <f>Inputs!$C$33</f>
        <v>2000</v>
      </c>
      <c r="CB72" s="38">
        <f t="shared" si="78"/>
        <v>177470.22041444056</v>
      </c>
      <c r="CC72" s="38">
        <f t="shared" si="79"/>
        <v>0</v>
      </c>
      <c r="CD72" s="38">
        <f>Inputs!$C$19*(1-Inputs!$C$72*$H72)+Inputs!$C$21+Inputs!$B$72*$J72</f>
        <v>480000</v>
      </c>
      <c r="CE72" s="38">
        <f t="shared" si="80"/>
        <v>-302529.77958555944</v>
      </c>
      <c r="CF72" s="38">
        <f t="shared" si="81"/>
        <v>1</v>
      </c>
      <c r="CG72" s="38">
        <f>MAX(0,MIN(Inputs!$D$36,CL71,CH72+CI72+CJ72+Inputs!$D$6-CK71))</f>
        <v>0</v>
      </c>
      <c r="CH72" s="38">
        <f>Inputs!$D$27*(1+Inputs!$D$28)^($A72/12)*IF(Inputs!$B$72=1,$G72,1)*(1-Inputs!$C$72*$H72*(1-Inputs!$E$54*Inputs!$B$72))*(1+$I72)*IF(Inputs!$D$29=0,1,(MAX(CK71,0)/Inputs!$D$6)^Inputs!$D$29)</f>
        <v>6892.1887204179866</v>
      </c>
      <c r="CI72" s="38">
        <f>Inputs!$D$32*CK71/Inputs!$D$6</f>
        <v>4116.7758175644967</v>
      </c>
      <c r="CJ72" s="38">
        <f>Inputs!$D$33</f>
        <v>1500</v>
      </c>
      <c r="CK72" s="38">
        <f t="shared" si="82"/>
        <v>850053.58771362633</v>
      </c>
      <c r="CL72" s="38">
        <f t="shared" si="83"/>
        <v>0</v>
      </c>
      <c r="CM72" s="38">
        <f>Inputs!$D$19*(1-Inputs!$C$72*$H72)+Inputs!$D$21+Inputs!$B$72*$J72</f>
        <v>392150</v>
      </c>
      <c r="CN72" s="38">
        <f t="shared" si="84"/>
        <v>457903.58771362633</v>
      </c>
      <c r="CO72" s="38">
        <f t="shared" si="85"/>
        <v>0</v>
      </c>
      <c r="CP72" s="38">
        <f>MAX(0,MIN(Inputs!$B$36,CU71,CQ72+CR72+CS72+Inputs!$B$6-CT71))</f>
        <v>0</v>
      </c>
      <c r="CQ72" s="38">
        <f>Inputs!$B$27*(1+Inputs!$B$28)^($A72/12)*IF(Inputs!$B$73=1,$G72,1)*(1-Inputs!$C$73*$H72*(1-Inputs!$E$54*Inputs!$B$73))*(1+$I72)*IF(Inputs!$B$29=0,1,(MAX(CT71,0)/Inputs!$B$6)^Inputs!$B$29)</f>
        <v>16234.255681380231</v>
      </c>
      <c r="CR72" s="38">
        <f>Inputs!$B$32*CT71/Inputs!$B$6</f>
        <v>0</v>
      </c>
      <c r="CS72" s="38">
        <f>Inputs!$B$33</f>
        <v>2500</v>
      </c>
      <c r="CT72" s="38">
        <f t="shared" si="86"/>
        <v>0</v>
      </c>
      <c r="CU72" s="38">
        <f t="shared" si="87"/>
        <v>0</v>
      </c>
      <c r="CV72" s="38">
        <f>Inputs!$B$19*(1-Inputs!$C$73*$H72)+Inputs!$B$21+Inputs!$B$73*$J72</f>
        <v>583500</v>
      </c>
      <c r="CW72" s="38">
        <f t="shared" si="88"/>
        <v>-583500</v>
      </c>
      <c r="CX72" s="38">
        <f t="shared" si="89"/>
        <v>1</v>
      </c>
      <c r="CY72" s="38">
        <f>MAX(0,MIN(Inputs!$C$36,DD71,CZ72+DA72+DB72+Inputs!$C$6-DC71))</f>
        <v>0</v>
      </c>
      <c r="CZ72" s="38">
        <f>Inputs!$C$27*(1+Inputs!$C$28)^($A72/12)*IF(Inputs!$B$73=1,$G72,1)*(1-Inputs!$C$73*$H72*(1-Inputs!$E$54*Inputs!$B$73))*(1+$I72)*IF(Inputs!$C$29=0,1,(MAX(DC71,0)/Inputs!$C$6)^Inputs!$C$29)</f>
        <v>7600.6766048115187</v>
      </c>
      <c r="DA72" s="38">
        <f>Inputs!$C$32*DC71/Inputs!$C$6</f>
        <v>1999.566848019098</v>
      </c>
      <c r="DB72" s="38">
        <f>Inputs!$C$33</f>
        <v>2000</v>
      </c>
      <c r="DC72" s="38">
        <f t="shared" si="90"/>
        <v>225385.45705313658</v>
      </c>
      <c r="DD72" s="38">
        <f t="shared" si="91"/>
        <v>0</v>
      </c>
      <c r="DE72" s="38">
        <f>Inputs!$C$19*(1-Inputs!$C$73*$H72)+Inputs!$C$21+Inputs!$B$73*$J72</f>
        <v>486000</v>
      </c>
      <c r="DF72" s="38">
        <f t="shared" si="92"/>
        <v>-260614.54294686342</v>
      </c>
      <c r="DG72" s="38">
        <f t="shared" si="93"/>
        <v>1</v>
      </c>
      <c r="DH72" s="38">
        <f>MAX(0,MIN(Inputs!$D$36,DM71,DI72+DJ72+DK72+Inputs!$D$6-DL71))</f>
        <v>11889.529905178817</v>
      </c>
      <c r="DI72" s="38">
        <f>Inputs!$D$27*(1+Inputs!$D$28)^($A72/12)*IF(Inputs!$B$73=1,$G72,1)*(1-Inputs!$C$73*$H72*(1-Inputs!$E$54*Inputs!$B$73))*(1+$I72)*IF(Inputs!$D$29=0,1,(MAX(DL71,0)/Inputs!$D$6)^Inputs!$D$29)</f>
        <v>6189.5299051787761</v>
      </c>
      <c r="DJ72" s="38">
        <f>Inputs!$D$32*DL71/Inputs!$D$6</f>
        <v>4200</v>
      </c>
      <c r="DK72" s="38">
        <f>Inputs!$D$33</f>
        <v>1500</v>
      </c>
      <c r="DL72" s="38">
        <f t="shared" si="94"/>
        <v>880000</v>
      </c>
      <c r="DM72" s="38">
        <f t="shared" si="95"/>
        <v>21411.919098986895</v>
      </c>
      <c r="DN72" s="38">
        <f>Inputs!$D$19*(1-Inputs!$C$73*$H72)+Inputs!$D$21+Inputs!$B$73*$J72</f>
        <v>398150</v>
      </c>
      <c r="DO72" s="38">
        <f t="shared" si="96"/>
        <v>481850</v>
      </c>
      <c r="DP72" s="38">
        <f t="shared" si="97"/>
        <v>0</v>
      </c>
    </row>
    <row r="73" spans="1:120" x14ac:dyDescent="0.35">
      <c r="A73" s="29">
        <v>68</v>
      </c>
      <c r="B73" s="34">
        <f>EDATE(Inputs!$B$67,$A73)</f>
        <v>48335</v>
      </c>
      <c r="C73" s="35">
        <f>IF(Inputs!$E$47&lt;=0,Inputs!$E$46,Inputs!$E$44+(Inputs!$E$46-Inputs!$E$44)*MIN($A73/Inputs!$E$47,1))</f>
        <v>0.7</v>
      </c>
      <c r="D73" s="35">
        <f>MIN(Inputs!$E$57,Inputs!$E$55*(1+Inputs!$E$56)^($A73/12))*Inputs!$E$58*(1+Inputs!$E$59)^($A73/12)/Inputs!$E$45</f>
        <v>1.5</v>
      </c>
      <c r="E73" s="35">
        <f>MAX(Inputs!$E$44,MIN(C73,D73))</f>
        <v>0.7</v>
      </c>
      <c r="F73" s="35">
        <f>IF(Inputs!$E$50&lt;=0,Inputs!$E$49,Inputs!$E$48+(Inputs!$E$49-Inputs!$E$48)*MIN($A73/Inputs!$E$50,1))</f>
        <v>0.12</v>
      </c>
      <c r="G73" s="36">
        <f>(Inputs!$E$41*(1-E73*Inputs!$E$51)+Inputs!$E$42*(1-F73*Inputs!$E$51))/(Inputs!$E$41*(1-Inputs!$E$44*Inputs!$E$51)+Inputs!$E$42*(1-Inputs!$E$48*Inputs!$E$51))</f>
        <v>0.8423127463863338</v>
      </c>
      <c r="H73" s="35">
        <f>IF(Inputs!$E$53&lt;=0,Inputs!$E$52,Inputs!$E$52*MIN($A73/Inputs!$E$53,1))</f>
        <v>0.1</v>
      </c>
      <c r="I73" s="35">
        <f>IF(Inputs!$E$64&lt;=0,Inputs!$E$63,Inputs!$E$62+(Inputs!$E$63-Inputs!$E$62)*MIN($A73/Inputs!$E$64,1))</f>
        <v>0.03</v>
      </c>
      <c r="J73" s="37">
        <f>(E73-Inputs!$E$44)*Inputs!$E$45/Inputs!$E$60*Inputs!$E$61</f>
        <v>5999.9999999999991</v>
      </c>
      <c r="K73" s="29">
        <f t="shared" si="49"/>
        <v>0</v>
      </c>
      <c r="L73" s="29"/>
      <c r="M73" s="38">
        <f>MAX(0,MIN(Inputs!$B$36,R72,N73+O73+P73+Inputs!$B$6-Q72))</f>
        <v>0</v>
      </c>
      <c r="N73" s="38">
        <f>Inputs!$B$27*(1+Inputs!$B$28)^($A73/12)*IF(Inputs!$B$70=1,$G73,1)*(1-Inputs!$C$70*$H73*(1-Inputs!$E$54*Inputs!$B$70))*(1+$I73)*IF(Inputs!$B$29=0,1,(MAX(Q72,0)/Inputs!$B$6)^Inputs!$B$29)</f>
        <v>20370.476053789887</v>
      </c>
      <c r="O73" s="38">
        <f>Inputs!$B$32*Q72/Inputs!$B$6</f>
        <v>0</v>
      </c>
      <c r="P73" s="38">
        <f>Inputs!$B$33</f>
        <v>2500</v>
      </c>
      <c r="Q73" s="38">
        <f t="shared" si="50"/>
        <v>0</v>
      </c>
      <c r="R73" s="38">
        <f t="shared" si="51"/>
        <v>0</v>
      </c>
      <c r="S73" s="38">
        <f>Inputs!$B$19*(1-Inputs!$C$70*$H73)+Inputs!$B$21+Inputs!$B$70*$J73</f>
        <v>595000</v>
      </c>
      <c r="T73" s="38">
        <f t="shared" si="52"/>
        <v>-595000</v>
      </c>
      <c r="U73" s="38">
        <f t="shared" si="53"/>
        <v>1</v>
      </c>
      <c r="V73" s="38">
        <f>MAX(0,MIN(Inputs!$C$36,AA72,W73+X73+Y73+Inputs!$C$6-Z72))</f>
        <v>0</v>
      </c>
      <c r="W73" s="38">
        <f>Inputs!$C$27*(1+Inputs!$C$28)^($A73/12)*IF(Inputs!$B$70=1,$G73,1)*(1-Inputs!$C$70*$H73*(1-Inputs!$E$54*Inputs!$B$70))*(1+$I73)*IF(Inputs!$C$29=0,1,(MAX(Z72,0)/Inputs!$C$6)^Inputs!$C$29)</f>
        <v>8374.6254002581427</v>
      </c>
      <c r="X73" s="38">
        <f>Inputs!$C$32*Z72/Inputs!$C$6</f>
        <v>1208.3044697126277</v>
      </c>
      <c r="Y73" s="38">
        <f>Inputs!$C$33</f>
        <v>2000</v>
      </c>
      <c r="Z73" s="38">
        <f t="shared" si="54"/>
        <v>131623.52579967401</v>
      </c>
      <c r="AA73" s="38">
        <f t="shared" si="55"/>
        <v>0</v>
      </c>
      <c r="AB73" s="38">
        <f>Inputs!$C$19*(1-Inputs!$C$70*$H73)+Inputs!$C$21+Inputs!$B$70*$J73</f>
        <v>495000</v>
      </c>
      <c r="AC73" s="38">
        <f t="shared" si="56"/>
        <v>-363376.47420032602</v>
      </c>
      <c r="AD73" s="38">
        <f t="shared" si="57"/>
        <v>1</v>
      </c>
      <c r="AE73" s="38">
        <f>MAX(0,MIN(Inputs!$D$36,AJ72,AF73+AG73+AH73+Inputs!$D$6-AI72))</f>
        <v>0</v>
      </c>
      <c r="AF73" s="38">
        <f>Inputs!$D$27*(1+Inputs!$D$28)^($A73/12)*IF(Inputs!$B$70=1,$G73,1)*(1-Inputs!$C$70*$H73*(1-Inputs!$E$54*Inputs!$B$70))*(1+$I73)*IF(Inputs!$D$29=0,1,(MAX(AI72,0)/Inputs!$D$6)^Inputs!$D$29)</f>
        <v>7406.961850751587</v>
      </c>
      <c r="AG73" s="38">
        <f>Inputs!$D$32*AI72/Inputs!$D$6</f>
        <v>3884.3724337196281</v>
      </c>
      <c r="AH73" s="38">
        <f>Inputs!$D$33</f>
        <v>1500</v>
      </c>
      <c r="AI73" s="38">
        <f t="shared" si="58"/>
        <v>801077.17563773668</v>
      </c>
      <c r="AJ73" s="38">
        <f t="shared" si="59"/>
        <v>0</v>
      </c>
      <c r="AK73" s="38">
        <f>Inputs!$D$19*(1-Inputs!$C$70*$H73)+Inputs!$D$21+Inputs!$B$70*$J73</f>
        <v>404800</v>
      </c>
      <c r="AL73" s="38">
        <f t="shared" si="60"/>
        <v>396277.17563773668</v>
      </c>
      <c r="AM73" s="38">
        <f t="shared" si="61"/>
        <v>0</v>
      </c>
      <c r="AN73" s="38">
        <f>MAX(0,MIN(Inputs!$B$36,AS72,AO73+AP73+AQ73+Inputs!$B$6-AR72))</f>
        <v>0</v>
      </c>
      <c r="AO73" s="38">
        <f>Inputs!$B$27*(1+Inputs!$B$28)^($A73/12)*IF(Inputs!$B$71=1,$G73,1)*(1-Inputs!$C$71*$H73*(1-Inputs!$E$54*Inputs!$B$71))*(1+$I73)*IF(Inputs!$B$29=0,1,(MAX(AR72,0)/Inputs!$B$6)^Inputs!$B$29)</f>
        <v>17158.311630064807</v>
      </c>
      <c r="AP73" s="38">
        <f>Inputs!$B$32*AR72/Inputs!$B$6</f>
        <v>0</v>
      </c>
      <c r="AQ73" s="38">
        <f>Inputs!$B$33</f>
        <v>2500</v>
      </c>
      <c r="AR73" s="38">
        <f t="shared" si="62"/>
        <v>0</v>
      </c>
      <c r="AS73" s="38">
        <f t="shared" si="63"/>
        <v>0</v>
      </c>
      <c r="AT73" s="38">
        <f>Inputs!$B$19*(1-Inputs!$C$71*$H73)+Inputs!$B$21+Inputs!$B$71*$J73</f>
        <v>601000</v>
      </c>
      <c r="AU73" s="38">
        <f t="shared" si="64"/>
        <v>-601000</v>
      </c>
      <c r="AV73" s="38">
        <f t="shared" si="65"/>
        <v>1</v>
      </c>
      <c r="AW73" s="38">
        <f>MAX(0,MIN(Inputs!$C$36,BB72,AX73+AY73+AZ73+Inputs!$C$6-BA72))</f>
        <v>0</v>
      </c>
      <c r="AX73" s="38">
        <f>Inputs!$C$27*(1+Inputs!$C$28)^($A73/12)*IF(Inputs!$B$71=1,$G73,1)*(1-Inputs!$C$71*$H73*(1-Inputs!$E$54*Inputs!$B$71))*(1+$I73)*IF(Inputs!$C$29=0,1,(MAX(BA72,0)/Inputs!$C$6)^Inputs!$C$29)</f>
        <v>7760.0172715391636</v>
      </c>
      <c r="AY73" s="38">
        <f>Inputs!$C$32*BA72/Inputs!$C$6</f>
        <v>1769.5876654518938</v>
      </c>
      <c r="AZ73" s="38">
        <f>Inputs!$C$33</f>
        <v>2000</v>
      </c>
      <c r="BA73" s="38">
        <f t="shared" si="66"/>
        <v>198199.30356101121</v>
      </c>
      <c r="BB73" s="38">
        <f t="shared" si="67"/>
        <v>0</v>
      </c>
      <c r="BC73" s="38">
        <f>Inputs!$C$19*(1-Inputs!$C$71*$H73)+Inputs!$C$21+Inputs!$B$71*$J73</f>
        <v>501000</v>
      </c>
      <c r="BD73" s="38">
        <f t="shared" si="68"/>
        <v>-302800.69643898879</v>
      </c>
      <c r="BE73" s="38">
        <f t="shared" si="69"/>
        <v>1</v>
      </c>
      <c r="BF73" s="38">
        <f>MAX(0,MIN(Inputs!$D$36,BK72,BG73+BH73+BI73+Inputs!$D$6-BJ72))</f>
        <v>5514.0643234004965</v>
      </c>
      <c r="BG73" s="38">
        <f>Inputs!$D$27*(1+Inputs!$D$28)^($A73/12)*IF(Inputs!$B$71=1,$G73,1)*(1-Inputs!$C$71*$H73*(1-Inputs!$E$54*Inputs!$B$71))*(1+$I73)*IF(Inputs!$D$29=0,1,(MAX(BJ72,0)/Inputs!$D$6)^Inputs!$D$29)</f>
        <v>6487.504828473624</v>
      </c>
      <c r="BH73" s="38">
        <f>Inputs!$D$32*BJ72/Inputs!$D$6</f>
        <v>4200</v>
      </c>
      <c r="BI73" s="38">
        <f>Inputs!$D$33</f>
        <v>1500</v>
      </c>
      <c r="BJ73" s="38">
        <f t="shared" si="70"/>
        <v>873326.55949492683</v>
      </c>
      <c r="BK73" s="38">
        <f t="shared" si="71"/>
        <v>0</v>
      </c>
      <c r="BL73" s="38">
        <f>Inputs!$D$19*(1-Inputs!$C$71*$H73)+Inputs!$D$21+Inputs!$B$71*$J73</f>
        <v>410800</v>
      </c>
      <c r="BM73" s="38">
        <f t="shared" si="72"/>
        <v>462526.55949492683</v>
      </c>
      <c r="BN73" s="38">
        <f t="shared" si="73"/>
        <v>0</v>
      </c>
      <c r="BO73" s="38">
        <f>MAX(0,MIN(Inputs!$B$36,BT72,BP73+BQ73+BR73+Inputs!$B$6-BS72))</f>
        <v>0</v>
      </c>
      <c r="BP73" s="38">
        <f>Inputs!$B$27*(1+Inputs!$B$28)^($A73/12)*IF(Inputs!$B$72=1,$G73,1)*(1-Inputs!$C$72*$H73*(1-Inputs!$E$54*Inputs!$B$72))*(1+$I73)*IF(Inputs!$B$29=0,1,(MAX(BS72,0)/Inputs!$B$6)^Inputs!$B$29)</f>
        <v>18333.428448410901</v>
      </c>
      <c r="BQ73" s="38">
        <f>Inputs!$B$32*BS72/Inputs!$B$6</f>
        <v>0</v>
      </c>
      <c r="BR73" s="38">
        <f>Inputs!$B$33</f>
        <v>2500</v>
      </c>
      <c r="BS73" s="38">
        <f t="shared" si="74"/>
        <v>0</v>
      </c>
      <c r="BT73" s="38">
        <f t="shared" si="75"/>
        <v>0</v>
      </c>
      <c r="BU73" s="38">
        <f>Inputs!$B$19*(1-Inputs!$C$72*$H73)+Inputs!$B$21+Inputs!$B$72*$J73</f>
        <v>577500</v>
      </c>
      <c r="BV73" s="38">
        <f t="shared" si="76"/>
        <v>-577500</v>
      </c>
      <c r="BW73" s="38">
        <f t="shared" si="77"/>
        <v>1</v>
      </c>
      <c r="BX73" s="38">
        <f>MAX(0,MIN(Inputs!$C$36,CC72,BY73+BZ73+CA73+Inputs!$C$6-CB72))</f>
        <v>0</v>
      </c>
      <c r="BY73" s="38">
        <f>Inputs!$C$27*(1+Inputs!$C$28)^($A73/12)*IF(Inputs!$B$72=1,$G73,1)*(1-Inputs!$C$72*$H73*(1-Inputs!$E$54*Inputs!$B$72))*(1+$I73)*IF(Inputs!$C$29=0,1,(MAX(CB72,0)/Inputs!$C$6)^Inputs!$C$29)</f>
        <v>7952.4074331652328</v>
      </c>
      <c r="BZ73" s="38">
        <f>Inputs!$C$32*CB72/Inputs!$C$6</f>
        <v>1497.404984746842</v>
      </c>
      <c r="CA73" s="38">
        <f>Inputs!$C$33</f>
        <v>2000</v>
      </c>
      <c r="CB73" s="38">
        <f t="shared" si="78"/>
        <v>166020.40799652846</v>
      </c>
      <c r="CC73" s="38">
        <f t="shared" si="79"/>
        <v>0</v>
      </c>
      <c r="CD73" s="38">
        <f>Inputs!$C$19*(1-Inputs!$C$72*$H73)+Inputs!$C$21+Inputs!$B$72*$J73</f>
        <v>480000</v>
      </c>
      <c r="CE73" s="38">
        <f t="shared" si="80"/>
        <v>-313979.59200347157</v>
      </c>
      <c r="CF73" s="38">
        <f t="shared" si="81"/>
        <v>1</v>
      </c>
      <c r="CG73" s="38">
        <f>MAX(0,MIN(Inputs!$D$36,CL72,CH73+CI73+CJ73+Inputs!$D$6-CK72))</f>
        <v>0</v>
      </c>
      <c r="CH73" s="38">
        <f>Inputs!$D$27*(1+Inputs!$D$28)^($A73/12)*IF(Inputs!$B$72=1,$G73,1)*(1-Inputs!$C$72*$H73*(1-Inputs!$E$54*Inputs!$B$72))*(1+$I73)*IF(Inputs!$D$29=0,1,(MAX(CK72,0)/Inputs!$D$6)^Inputs!$D$29)</f>
        <v>6812.8471755892042</v>
      </c>
      <c r="CI73" s="38">
        <f>Inputs!$D$32*CK72/Inputs!$D$6</f>
        <v>4057.0739413604892</v>
      </c>
      <c r="CJ73" s="38">
        <f>Inputs!$D$33</f>
        <v>1500</v>
      </c>
      <c r="CK73" s="38">
        <f t="shared" si="82"/>
        <v>837683.66659667669</v>
      </c>
      <c r="CL73" s="38">
        <f t="shared" si="83"/>
        <v>0</v>
      </c>
      <c r="CM73" s="38">
        <f>Inputs!$D$19*(1-Inputs!$C$72*$H73)+Inputs!$D$21+Inputs!$B$72*$J73</f>
        <v>392150</v>
      </c>
      <c r="CN73" s="38">
        <f t="shared" si="84"/>
        <v>445533.66659667669</v>
      </c>
      <c r="CO73" s="38">
        <f t="shared" si="85"/>
        <v>0</v>
      </c>
      <c r="CP73" s="38">
        <f>MAX(0,MIN(Inputs!$B$36,CU72,CQ73+CR73+CS73+Inputs!$B$6-CT72))</f>
        <v>0</v>
      </c>
      <c r="CQ73" s="38">
        <f>Inputs!$B$27*(1+Inputs!$B$28)^($A73/12)*IF(Inputs!$B$73=1,$G73,1)*(1-Inputs!$C$73*$H73*(1-Inputs!$E$54*Inputs!$B$73))*(1+$I73)*IF(Inputs!$B$29=0,1,(MAX(CT72,0)/Inputs!$B$6)^Inputs!$B$29)</f>
        <v>16300.396048561566</v>
      </c>
      <c r="CR73" s="38">
        <f>Inputs!$B$32*CT72/Inputs!$B$6</f>
        <v>0</v>
      </c>
      <c r="CS73" s="38">
        <f>Inputs!$B$33</f>
        <v>2500</v>
      </c>
      <c r="CT73" s="38">
        <f t="shared" si="86"/>
        <v>0</v>
      </c>
      <c r="CU73" s="38">
        <f t="shared" si="87"/>
        <v>0</v>
      </c>
      <c r="CV73" s="38">
        <f>Inputs!$B$19*(1-Inputs!$C$73*$H73)+Inputs!$B$21+Inputs!$B$73*$J73</f>
        <v>583500</v>
      </c>
      <c r="CW73" s="38">
        <f t="shared" si="88"/>
        <v>-583500</v>
      </c>
      <c r="CX73" s="38">
        <f t="shared" si="89"/>
        <v>1</v>
      </c>
      <c r="CY73" s="38">
        <f>MAX(0,MIN(Inputs!$C$36,DD72,CZ73+DA73+DB73+Inputs!$C$6-DC72))</f>
        <v>0</v>
      </c>
      <c r="CZ73" s="38">
        <f>Inputs!$C$27*(1+Inputs!$C$28)^($A73/12)*IF(Inputs!$B$73=1,$G73,1)*(1-Inputs!$C$73*$H73*(1-Inputs!$E$54*Inputs!$B$73))*(1+$I73)*IF(Inputs!$C$29=0,1,(MAX(DC72,0)/Inputs!$C$6)^Inputs!$C$29)</f>
        <v>7505.9072137916819</v>
      </c>
      <c r="DA73" s="38">
        <f>Inputs!$C$32*DC72/Inputs!$C$6</f>
        <v>1901.6897938858397</v>
      </c>
      <c r="DB73" s="38">
        <f>Inputs!$C$33</f>
        <v>2000</v>
      </c>
      <c r="DC73" s="38">
        <f t="shared" si="90"/>
        <v>213977.86004545906</v>
      </c>
      <c r="DD73" s="38">
        <f t="shared" si="91"/>
        <v>0</v>
      </c>
      <c r="DE73" s="38">
        <f>Inputs!$C$19*(1-Inputs!$C$73*$H73)+Inputs!$C$21+Inputs!$B$73*$J73</f>
        <v>486000</v>
      </c>
      <c r="DF73" s="38">
        <f t="shared" si="92"/>
        <v>-272022.13995454094</v>
      </c>
      <c r="DG73" s="38">
        <f t="shared" si="93"/>
        <v>1</v>
      </c>
      <c r="DH73" s="38">
        <f>MAX(0,MIN(Inputs!$D$36,DM72,DI73+DJ73+DK73+Inputs!$D$6-DL72))</f>
        <v>11863.129587049945</v>
      </c>
      <c r="DI73" s="38">
        <f>Inputs!$D$27*(1+Inputs!$D$28)^($A73/12)*IF(Inputs!$B$73=1,$G73,1)*(1-Inputs!$C$73*$H73*(1-Inputs!$E$54*Inputs!$B$73))*(1+$I73)*IF(Inputs!$D$29=0,1,(MAX(DL72,0)/Inputs!$D$6)^Inputs!$D$29)</f>
        <v>6163.1295870499425</v>
      </c>
      <c r="DJ73" s="38">
        <f>Inputs!$D$32*DL72/Inputs!$D$6</f>
        <v>4200</v>
      </c>
      <c r="DK73" s="38">
        <f>Inputs!$D$33</f>
        <v>1500</v>
      </c>
      <c r="DL73" s="38">
        <f t="shared" si="94"/>
        <v>880000</v>
      </c>
      <c r="DM73" s="38">
        <f t="shared" si="95"/>
        <v>9548.7895119369496</v>
      </c>
      <c r="DN73" s="38">
        <f>Inputs!$D$19*(1-Inputs!$C$73*$H73)+Inputs!$D$21+Inputs!$B$73*$J73</f>
        <v>398150</v>
      </c>
      <c r="DO73" s="38">
        <f t="shared" si="96"/>
        <v>481850</v>
      </c>
      <c r="DP73" s="38">
        <f t="shared" si="97"/>
        <v>0</v>
      </c>
    </row>
    <row r="74" spans="1:120" x14ac:dyDescent="0.35">
      <c r="A74" s="29">
        <v>69</v>
      </c>
      <c r="B74" s="34">
        <f>EDATE(Inputs!$B$67,$A74)</f>
        <v>48366</v>
      </c>
      <c r="C74" s="35">
        <f>IF(Inputs!$E$47&lt;=0,Inputs!$E$46,Inputs!$E$44+(Inputs!$E$46-Inputs!$E$44)*MIN($A74/Inputs!$E$47,1))</f>
        <v>0.7</v>
      </c>
      <c r="D74" s="35">
        <f>MIN(Inputs!$E$57,Inputs!$E$55*(1+Inputs!$E$56)^($A74/12))*Inputs!$E$58*(1+Inputs!$E$59)^($A74/12)/Inputs!$E$45</f>
        <v>1.5</v>
      </c>
      <c r="E74" s="35">
        <f>MAX(Inputs!$E$44,MIN(C74,D74))</f>
        <v>0.7</v>
      </c>
      <c r="F74" s="35">
        <f>IF(Inputs!$E$50&lt;=0,Inputs!$E$49,Inputs!$E$48+(Inputs!$E$49-Inputs!$E$48)*MIN($A74/Inputs!$E$50,1))</f>
        <v>0.12</v>
      </c>
      <c r="G74" s="36">
        <f>(Inputs!$E$41*(1-E74*Inputs!$E$51)+Inputs!$E$42*(1-F74*Inputs!$E$51))/(Inputs!$E$41*(1-Inputs!$E$44*Inputs!$E$51)+Inputs!$E$42*(1-Inputs!$E$48*Inputs!$E$51))</f>
        <v>0.8423127463863338</v>
      </c>
      <c r="H74" s="35">
        <f>IF(Inputs!$E$53&lt;=0,Inputs!$E$52,Inputs!$E$52*MIN($A74/Inputs!$E$53,1))</f>
        <v>0.1</v>
      </c>
      <c r="I74" s="35">
        <f>IF(Inputs!$E$64&lt;=0,Inputs!$E$63,Inputs!$E$62+(Inputs!$E$63-Inputs!$E$62)*MIN($A74/Inputs!$E$64,1))</f>
        <v>0.03</v>
      </c>
      <c r="J74" s="37">
        <f>(E74-Inputs!$E$44)*Inputs!$E$45/Inputs!$E$60*Inputs!$E$61</f>
        <v>5999.9999999999991</v>
      </c>
      <c r="K74" s="29">
        <f t="shared" si="49"/>
        <v>0</v>
      </c>
      <c r="L74" s="29"/>
      <c r="M74" s="38">
        <f>MAX(0,MIN(Inputs!$B$36,R73,N74+O74+P74+Inputs!$B$6-Q73))</f>
        <v>0</v>
      </c>
      <c r="N74" s="38">
        <f>Inputs!$B$27*(1+Inputs!$B$28)^($A74/12)*IF(Inputs!$B$70=1,$G74,1)*(1-Inputs!$C$70*$H74*(1-Inputs!$E$54*Inputs!$B$70))*(1+$I74)*IF(Inputs!$B$29=0,1,(MAX(Q73,0)/Inputs!$B$6)^Inputs!$B$29)</f>
        <v>20453.467894764872</v>
      </c>
      <c r="O74" s="38">
        <f>Inputs!$B$32*Q73/Inputs!$B$6</f>
        <v>0</v>
      </c>
      <c r="P74" s="38">
        <f>Inputs!$B$33</f>
        <v>2500</v>
      </c>
      <c r="Q74" s="38">
        <f t="shared" si="50"/>
        <v>0</v>
      </c>
      <c r="R74" s="38">
        <f t="shared" si="51"/>
        <v>0</v>
      </c>
      <c r="S74" s="38">
        <f>Inputs!$B$19*(1-Inputs!$C$70*$H74)+Inputs!$B$21+Inputs!$B$70*$J74</f>
        <v>595000</v>
      </c>
      <c r="T74" s="38">
        <f t="shared" si="52"/>
        <v>-595000</v>
      </c>
      <c r="U74" s="38">
        <f t="shared" si="53"/>
        <v>1</v>
      </c>
      <c r="V74" s="38">
        <f>MAX(0,MIN(Inputs!$C$36,AA73,W74+X74+Y74+Inputs!$C$6-Z73))</f>
        <v>0</v>
      </c>
      <c r="W74" s="38">
        <f>Inputs!$C$27*(1+Inputs!$C$28)^($A74/12)*IF(Inputs!$B$70=1,$G74,1)*(1-Inputs!$C$70*$H74*(1-Inputs!$E$54*Inputs!$B$70))*(1+$I74)*IF(Inputs!$C$29=0,1,(MAX(Z73,0)/Inputs!$C$6)^Inputs!$C$29)</f>
        <v>8199.8917849847985</v>
      </c>
      <c r="X74" s="38">
        <f>Inputs!$C$32*Z73/Inputs!$C$6</f>
        <v>1110.5734989347493</v>
      </c>
      <c r="Y74" s="38">
        <f>Inputs!$C$33</f>
        <v>2000</v>
      </c>
      <c r="Z74" s="38">
        <f t="shared" si="54"/>
        <v>120313.06051575446</v>
      </c>
      <c r="AA74" s="38">
        <f t="shared" si="55"/>
        <v>0</v>
      </c>
      <c r="AB74" s="38">
        <f>Inputs!$C$19*(1-Inputs!$C$70*$H74)+Inputs!$C$21+Inputs!$B$70*$J74</f>
        <v>495000</v>
      </c>
      <c r="AC74" s="38">
        <f t="shared" si="56"/>
        <v>-374686.93948424555</v>
      </c>
      <c r="AD74" s="38">
        <f t="shared" si="57"/>
        <v>1</v>
      </c>
      <c r="AE74" s="38">
        <f>MAX(0,MIN(Inputs!$D$36,AJ73,AF74+AG74+AH74+Inputs!$D$6-AI73))</f>
        <v>0</v>
      </c>
      <c r="AF74" s="38">
        <f>Inputs!$D$27*(1+Inputs!$D$28)^($A74/12)*IF(Inputs!$B$70=1,$G74,1)*(1-Inputs!$C$70*$H74*(1-Inputs!$E$54*Inputs!$B$70))*(1+$I74)*IF(Inputs!$D$29=0,1,(MAX(AI73,0)/Inputs!$D$6)^Inputs!$D$29)</f>
        <v>7317.1810002195452</v>
      </c>
      <c r="AG74" s="38">
        <f>Inputs!$D$32*AI73/Inputs!$D$6</f>
        <v>3823.3228837255615</v>
      </c>
      <c r="AH74" s="38">
        <f>Inputs!$D$33</f>
        <v>1500</v>
      </c>
      <c r="AI74" s="38">
        <f t="shared" si="58"/>
        <v>788436.67175379163</v>
      </c>
      <c r="AJ74" s="38">
        <f t="shared" si="59"/>
        <v>0</v>
      </c>
      <c r="AK74" s="38">
        <f>Inputs!$D$19*(1-Inputs!$C$70*$H74)+Inputs!$D$21+Inputs!$B$70*$J74</f>
        <v>404800</v>
      </c>
      <c r="AL74" s="38">
        <f t="shared" si="60"/>
        <v>383636.67175379163</v>
      </c>
      <c r="AM74" s="38">
        <f t="shared" si="61"/>
        <v>0</v>
      </c>
      <c r="AN74" s="38">
        <f>MAX(0,MIN(Inputs!$B$36,AS73,AO74+AP74+AQ74+Inputs!$B$6-AR73))</f>
        <v>0</v>
      </c>
      <c r="AO74" s="38">
        <f>Inputs!$B$27*(1+Inputs!$B$28)^($A74/12)*IF(Inputs!$B$71=1,$G74,1)*(1-Inputs!$C$71*$H74*(1-Inputs!$E$54*Inputs!$B$71))*(1+$I74)*IF(Inputs!$B$29=0,1,(MAX(AR73,0)/Inputs!$B$6)^Inputs!$B$29)</f>
        <v>17228.216715564104</v>
      </c>
      <c r="AP74" s="38">
        <f>Inputs!$B$32*AR73/Inputs!$B$6</f>
        <v>0</v>
      </c>
      <c r="AQ74" s="38">
        <f>Inputs!$B$33</f>
        <v>2500</v>
      </c>
      <c r="AR74" s="38">
        <f t="shared" si="62"/>
        <v>0</v>
      </c>
      <c r="AS74" s="38">
        <f t="shared" si="63"/>
        <v>0</v>
      </c>
      <c r="AT74" s="38">
        <f>Inputs!$B$19*(1-Inputs!$C$71*$H74)+Inputs!$B$21+Inputs!$B$71*$J74</f>
        <v>601000</v>
      </c>
      <c r="AU74" s="38">
        <f t="shared" si="64"/>
        <v>-601000</v>
      </c>
      <c r="AV74" s="38">
        <f t="shared" si="65"/>
        <v>1</v>
      </c>
      <c r="AW74" s="38">
        <f>MAX(0,MIN(Inputs!$C$36,BB73,AX74+AY74+AZ74+Inputs!$C$6-BA73))</f>
        <v>0</v>
      </c>
      <c r="AX74" s="38">
        <f>Inputs!$C$27*(1+Inputs!$C$28)^($A74/12)*IF(Inputs!$B$71=1,$G74,1)*(1-Inputs!$C$71*$H74*(1-Inputs!$E$54*Inputs!$B$71))*(1+$I74)*IF(Inputs!$C$29=0,1,(MAX(BA73,0)/Inputs!$C$6)^Inputs!$C$29)</f>
        <v>7651.0958864499062</v>
      </c>
      <c r="AY74" s="38">
        <f>Inputs!$C$32*BA73/Inputs!$C$6</f>
        <v>1672.3066237960318</v>
      </c>
      <c r="AZ74" s="38">
        <f>Inputs!$C$33</f>
        <v>2000</v>
      </c>
      <c r="BA74" s="38">
        <f t="shared" si="66"/>
        <v>186875.90105076527</v>
      </c>
      <c r="BB74" s="38">
        <f t="shared" si="67"/>
        <v>0</v>
      </c>
      <c r="BC74" s="38">
        <f>Inputs!$C$19*(1-Inputs!$C$71*$H74)+Inputs!$C$21+Inputs!$B$71*$J74</f>
        <v>501000</v>
      </c>
      <c r="BD74" s="38">
        <f t="shared" si="68"/>
        <v>-314124.0989492347</v>
      </c>
      <c r="BE74" s="38">
        <f t="shared" si="69"/>
        <v>1</v>
      </c>
      <c r="BF74" s="38">
        <f>MAX(0,MIN(Inputs!$D$36,BK73,BG74+BH74+BI74+Inputs!$D$6-BJ73))</f>
        <v>0</v>
      </c>
      <c r="BG74" s="38">
        <f>Inputs!$D$27*(1+Inputs!$D$28)^($A74/12)*IF(Inputs!$B$71=1,$G74,1)*(1-Inputs!$C$71*$H74*(1-Inputs!$E$54*Inputs!$B$71))*(1+$I74)*IF(Inputs!$D$29=0,1,(MAX(BJ73,0)/Inputs!$D$6)^Inputs!$D$29)</f>
        <v>6435.2930093291698</v>
      </c>
      <c r="BH74" s="38">
        <f>Inputs!$D$32*BJ73/Inputs!$D$6</f>
        <v>4168.1494884985141</v>
      </c>
      <c r="BI74" s="38">
        <f>Inputs!$D$33</f>
        <v>1500</v>
      </c>
      <c r="BJ74" s="38">
        <f t="shared" si="70"/>
        <v>861223.11699709925</v>
      </c>
      <c r="BK74" s="38">
        <f t="shared" si="71"/>
        <v>0</v>
      </c>
      <c r="BL74" s="38">
        <f>Inputs!$D$19*(1-Inputs!$C$71*$H74)+Inputs!$D$21+Inputs!$B$71*$J74</f>
        <v>410800</v>
      </c>
      <c r="BM74" s="38">
        <f t="shared" si="72"/>
        <v>450423.11699709925</v>
      </c>
      <c r="BN74" s="38">
        <f t="shared" si="73"/>
        <v>0</v>
      </c>
      <c r="BO74" s="38">
        <f>MAX(0,MIN(Inputs!$B$36,BT73,BP74+BQ74+BR74+Inputs!$B$6-BS73))</f>
        <v>0</v>
      </c>
      <c r="BP74" s="38">
        <f>Inputs!$B$27*(1+Inputs!$B$28)^($A74/12)*IF(Inputs!$B$72=1,$G74,1)*(1-Inputs!$C$72*$H74*(1-Inputs!$E$54*Inputs!$B$72))*(1+$I74)*IF(Inputs!$B$29=0,1,(MAX(BS73,0)/Inputs!$B$6)^Inputs!$B$29)</f>
        <v>18408.121105288388</v>
      </c>
      <c r="BQ74" s="38">
        <f>Inputs!$B$32*BS73/Inputs!$B$6</f>
        <v>0</v>
      </c>
      <c r="BR74" s="38">
        <f>Inputs!$B$33</f>
        <v>2500</v>
      </c>
      <c r="BS74" s="38">
        <f t="shared" si="74"/>
        <v>0</v>
      </c>
      <c r="BT74" s="38">
        <f t="shared" si="75"/>
        <v>0</v>
      </c>
      <c r="BU74" s="38">
        <f>Inputs!$B$19*(1-Inputs!$C$72*$H74)+Inputs!$B$21+Inputs!$B$72*$J74</f>
        <v>577500</v>
      </c>
      <c r="BV74" s="38">
        <f t="shared" si="76"/>
        <v>-577500</v>
      </c>
      <c r="BW74" s="38">
        <f t="shared" si="77"/>
        <v>1</v>
      </c>
      <c r="BX74" s="38">
        <f>MAX(0,MIN(Inputs!$C$36,CC73,BY74+BZ74+CA74+Inputs!$C$6-CB73))</f>
        <v>0</v>
      </c>
      <c r="BY74" s="38">
        <f>Inputs!$C$27*(1+Inputs!$C$28)^($A74/12)*IF(Inputs!$B$72=1,$G74,1)*(1-Inputs!$C$72*$H74*(1-Inputs!$E$54*Inputs!$B$72))*(1+$I74)*IF(Inputs!$C$29=0,1,(MAX(CB73,0)/Inputs!$C$6)^Inputs!$C$29)</f>
        <v>7820.9159676392537</v>
      </c>
      <c r="BZ74" s="38">
        <f>Inputs!$C$32*CB73/Inputs!$C$6</f>
        <v>1400.7971924707088</v>
      </c>
      <c r="CA74" s="38">
        <f>Inputs!$C$33</f>
        <v>2000</v>
      </c>
      <c r="CB74" s="38">
        <f t="shared" si="78"/>
        <v>154798.69483641852</v>
      </c>
      <c r="CC74" s="38">
        <f t="shared" si="79"/>
        <v>0</v>
      </c>
      <c r="CD74" s="38">
        <f>Inputs!$C$19*(1-Inputs!$C$72*$H74)+Inputs!$C$21+Inputs!$B$72*$J74</f>
        <v>480000</v>
      </c>
      <c r="CE74" s="38">
        <f t="shared" si="80"/>
        <v>-325201.30516358151</v>
      </c>
      <c r="CF74" s="38">
        <f t="shared" si="81"/>
        <v>1</v>
      </c>
      <c r="CG74" s="38">
        <f>MAX(0,MIN(Inputs!$D$36,CL73,CH74+CI74+CJ74+Inputs!$D$6-CK73))</f>
        <v>0</v>
      </c>
      <c r="CH74" s="38">
        <f>Inputs!$D$27*(1+Inputs!$D$28)^($A74/12)*IF(Inputs!$B$72=1,$G74,1)*(1-Inputs!$C$72*$H74*(1-Inputs!$E$54*Inputs!$B$72))*(1+$I74)*IF(Inputs!$D$29=0,1,(MAX(CK73,0)/Inputs!$D$6)^Inputs!$D$29)</f>
        <v>6734.2487174872131</v>
      </c>
      <c r="CI74" s="38">
        <f>Inputs!$D$32*CK73/Inputs!$D$6</f>
        <v>3998.0356814841389</v>
      </c>
      <c r="CJ74" s="38">
        <f>Inputs!$D$33</f>
        <v>1500</v>
      </c>
      <c r="CK74" s="38">
        <f t="shared" si="82"/>
        <v>825451.38219770533</v>
      </c>
      <c r="CL74" s="38">
        <f t="shared" si="83"/>
        <v>0</v>
      </c>
      <c r="CM74" s="38">
        <f>Inputs!$D$19*(1-Inputs!$C$72*$H74)+Inputs!$D$21+Inputs!$B$72*$J74</f>
        <v>392150</v>
      </c>
      <c r="CN74" s="38">
        <f t="shared" si="84"/>
        <v>433301.38219770533</v>
      </c>
      <c r="CO74" s="38">
        <f t="shared" si="85"/>
        <v>0</v>
      </c>
      <c r="CP74" s="38">
        <f>MAX(0,MIN(Inputs!$B$36,CU73,CQ74+CR74+CS74+Inputs!$B$6-CT73))</f>
        <v>0</v>
      </c>
      <c r="CQ74" s="38">
        <f>Inputs!$B$27*(1+Inputs!$B$28)^($A74/12)*IF(Inputs!$B$73=1,$G74,1)*(1-Inputs!$C$73*$H74*(1-Inputs!$E$54*Inputs!$B$73))*(1+$I74)*IF(Inputs!$B$29=0,1,(MAX(CT73,0)/Inputs!$B$6)^Inputs!$B$29)</f>
        <v>16366.805879785898</v>
      </c>
      <c r="CR74" s="38">
        <f>Inputs!$B$32*CT73/Inputs!$B$6</f>
        <v>0</v>
      </c>
      <c r="CS74" s="38">
        <f>Inputs!$B$33</f>
        <v>2500</v>
      </c>
      <c r="CT74" s="38">
        <f t="shared" si="86"/>
        <v>0</v>
      </c>
      <c r="CU74" s="38">
        <f t="shared" si="87"/>
        <v>0</v>
      </c>
      <c r="CV74" s="38">
        <f>Inputs!$B$19*(1-Inputs!$C$73*$H74)+Inputs!$B$21+Inputs!$B$73*$J74</f>
        <v>583500</v>
      </c>
      <c r="CW74" s="38">
        <f t="shared" si="88"/>
        <v>-583500</v>
      </c>
      <c r="CX74" s="38">
        <f t="shared" si="89"/>
        <v>1</v>
      </c>
      <c r="CY74" s="38">
        <f>MAX(0,MIN(Inputs!$C$36,DD73,CZ74+DA74+DB74+Inputs!$C$6-DC73))</f>
        <v>0</v>
      </c>
      <c r="CZ74" s="38">
        <f>Inputs!$C$27*(1+Inputs!$C$28)^($A74/12)*IF(Inputs!$B$73=1,$G74,1)*(1-Inputs!$C$73*$H74*(1-Inputs!$E$54*Inputs!$B$73))*(1+$I74)*IF(Inputs!$C$29=0,1,(MAX(DC73,0)/Inputs!$C$6)^Inputs!$C$29)</f>
        <v>7409.0739411093919</v>
      </c>
      <c r="DA74" s="38">
        <f>Inputs!$C$32*DC73/Inputs!$C$6</f>
        <v>1805.4381941335607</v>
      </c>
      <c r="DB74" s="38">
        <f>Inputs!$C$33</f>
        <v>2000</v>
      </c>
      <c r="DC74" s="38">
        <f t="shared" si="90"/>
        <v>202763.34791021611</v>
      </c>
      <c r="DD74" s="38">
        <f t="shared" si="91"/>
        <v>0</v>
      </c>
      <c r="DE74" s="38">
        <f>Inputs!$C$19*(1-Inputs!$C$73*$H74)+Inputs!$C$21+Inputs!$B$73*$J74</f>
        <v>486000</v>
      </c>
      <c r="DF74" s="38">
        <f t="shared" si="92"/>
        <v>-283236.65208978392</v>
      </c>
      <c r="DG74" s="38">
        <f t="shared" si="93"/>
        <v>1</v>
      </c>
      <c r="DH74" s="38">
        <f>MAX(0,MIN(Inputs!$D$36,DM73,DI74+DJ74+DK74+Inputs!$D$6-DL73))</f>
        <v>9548.7895119369496</v>
      </c>
      <c r="DI74" s="38">
        <f>Inputs!$D$27*(1+Inputs!$D$28)^($A74/12)*IF(Inputs!$B$73=1,$G74,1)*(1-Inputs!$C$73*$H74*(1-Inputs!$E$54*Inputs!$B$73))*(1+$I74)*IF(Inputs!$D$29=0,1,(MAX(DL73,0)/Inputs!$D$6)^Inputs!$D$29)</f>
        <v>6136.8418746937596</v>
      </c>
      <c r="DJ74" s="38">
        <f>Inputs!$D$32*DL73/Inputs!$D$6</f>
        <v>4200</v>
      </c>
      <c r="DK74" s="38">
        <f>Inputs!$D$33</f>
        <v>1500</v>
      </c>
      <c r="DL74" s="38">
        <f t="shared" si="94"/>
        <v>877711.9476372432</v>
      </c>
      <c r="DM74" s="38">
        <f t="shared" si="95"/>
        <v>0</v>
      </c>
      <c r="DN74" s="38">
        <f>Inputs!$D$19*(1-Inputs!$C$73*$H74)+Inputs!$D$21+Inputs!$B$73*$J74</f>
        <v>398150</v>
      </c>
      <c r="DO74" s="38">
        <f t="shared" si="96"/>
        <v>479561.9476372432</v>
      </c>
      <c r="DP74" s="38">
        <f t="shared" si="97"/>
        <v>0</v>
      </c>
    </row>
    <row r="75" spans="1:120" x14ac:dyDescent="0.35">
      <c r="A75" s="29">
        <v>70</v>
      </c>
      <c r="B75" s="34">
        <f>EDATE(Inputs!$B$67,$A75)</f>
        <v>48396</v>
      </c>
      <c r="C75" s="35">
        <f>IF(Inputs!$E$47&lt;=0,Inputs!$E$46,Inputs!$E$44+(Inputs!$E$46-Inputs!$E$44)*MIN($A75/Inputs!$E$47,1))</f>
        <v>0.7</v>
      </c>
      <c r="D75" s="35">
        <f>MIN(Inputs!$E$57,Inputs!$E$55*(1+Inputs!$E$56)^($A75/12))*Inputs!$E$58*(1+Inputs!$E$59)^($A75/12)/Inputs!$E$45</f>
        <v>1.5</v>
      </c>
      <c r="E75" s="35">
        <f>MAX(Inputs!$E$44,MIN(C75,D75))</f>
        <v>0.7</v>
      </c>
      <c r="F75" s="35">
        <f>IF(Inputs!$E$50&lt;=0,Inputs!$E$49,Inputs!$E$48+(Inputs!$E$49-Inputs!$E$48)*MIN($A75/Inputs!$E$50,1))</f>
        <v>0.12</v>
      </c>
      <c r="G75" s="36">
        <f>(Inputs!$E$41*(1-E75*Inputs!$E$51)+Inputs!$E$42*(1-F75*Inputs!$E$51))/(Inputs!$E$41*(1-Inputs!$E$44*Inputs!$E$51)+Inputs!$E$42*(1-Inputs!$E$48*Inputs!$E$51))</f>
        <v>0.8423127463863338</v>
      </c>
      <c r="H75" s="35">
        <f>IF(Inputs!$E$53&lt;=0,Inputs!$E$52,Inputs!$E$52*MIN($A75/Inputs!$E$53,1))</f>
        <v>0.1</v>
      </c>
      <c r="I75" s="35">
        <f>IF(Inputs!$E$64&lt;=0,Inputs!$E$63,Inputs!$E$62+(Inputs!$E$63-Inputs!$E$62)*MIN($A75/Inputs!$E$64,1))</f>
        <v>0.03</v>
      </c>
      <c r="J75" s="37">
        <f>(E75-Inputs!$E$44)*Inputs!$E$45/Inputs!$E$60*Inputs!$E$61</f>
        <v>5999.9999999999991</v>
      </c>
      <c r="K75" s="29">
        <f t="shared" si="49"/>
        <v>0</v>
      </c>
      <c r="L75" s="29"/>
      <c r="M75" s="38">
        <f>MAX(0,MIN(Inputs!$B$36,R74,N75+O75+P75+Inputs!$B$6-Q74))</f>
        <v>0</v>
      </c>
      <c r="N75" s="38">
        <f>Inputs!$B$27*(1+Inputs!$B$28)^($A75/12)*IF(Inputs!$B$70=1,$G75,1)*(1-Inputs!$C$70*$H75*(1-Inputs!$E$54*Inputs!$B$70))*(1+$I75)*IF(Inputs!$B$29=0,1,(MAX(Q74,0)/Inputs!$B$6)^Inputs!$B$29)</f>
        <v>20536.797854773024</v>
      </c>
      <c r="O75" s="38">
        <f>Inputs!$B$32*Q74/Inputs!$B$6</f>
        <v>0</v>
      </c>
      <c r="P75" s="38">
        <f>Inputs!$B$33</f>
        <v>2500</v>
      </c>
      <c r="Q75" s="38">
        <f t="shared" si="50"/>
        <v>0</v>
      </c>
      <c r="R75" s="38">
        <f t="shared" si="51"/>
        <v>0</v>
      </c>
      <c r="S75" s="38">
        <f>Inputs!$B$19*(1-Inputs!$C$70*$H75)+Inputs!$B$21+Inputs!$B$70*$J75</f>
        <v>595000</v>
      </c>
      <c r="T75" s="38">
        <f t="shared" si="52"/>
        <v>-595000</v>
      </c>
      <c r="U75" s="38">
        <f t="shared" si="53"/>
        <v>1</v>
      </c>
      <c r="V75" s="38">
        <f>MAX(0,MIN(Inputs!$C$36,AA74,W75+X75+Y75+Inputs!$C$6-Z74))</f>
        <v>0</v>
      </c>
      <c r="W75" s="38">
        <f>Inputs!$C$27*(1+Inputs!$C$28)^($A75/12)*IF(Inputs!$B$70=1,$G75,1)*(1-Inputs!$C$70*$H75*(1-Inputs!$E$54*Inputs!$B$70))*(1+$I75)*IF(Inputs!$C$29=0,1,(MAX(Z74,0)/Inputs!$C$6)^Inputs!$C$29)</f>
        <v>8017.7578298965482</v>
      </c>
      <c r="X75" s="38">
        <f>Inputs!$C$32*Z74/Inputs!$C$6</f>
        <v>1015.1414481016782</v>
      </c>
      <c r="Y75" s="38">
        <f>Inputs!$C$33</f>
        <v>2000</v>
      </c>
      <c r="Z75" s="38">
        <f t="shared" si="54"/>
        <v>109280.16123775623</v>
      </c>
      <c r="AA75" s="38">
        <f t="shared" si="55"/>
        <v>0</v>
      </c>
      <c r="AB75" s="38">
        <f>Inputs!$C$19*(1-Inputs!$C$70*$H75)+Inputs!$C$21+Inputs!$B$70*$J75</f>
        <v>495000</v>
      </c>
      <c r="AC75" s="38">
        <f t="shared" si="56"/>
        <v>-385719.83876224374</v>
      </c>
      <c r="AD75" s="38">
        <f t="shared" si="57"/>
        <v>1</v>
      </c>
      <c r="AE75" s="38">
        <f>MAX(0,MIN(Inputs!$D$36,AJ74,AF75+AG75+AH75+Inputs!$D$6-AI74))</f>
        <v>0</v>
      </c>
      <c r="AF75" s="38">
        <f>Inputs!$D$27*(1+Inputs!$D$28)^($A75/12)*IF(Inputs!$B$70=1,$G75,1)*(1-Inputs!$C$70*$H75*(1-Inputs!$E$54*Inputs!$B$70))*(1+$I75)*IF(Inputs!$D$29=0,1,(MAX(AI74,0)/Inputs!$D$6)^Inputs!$D$29)</f>
        <v>7228.2582539281875</v>
      </c>
      <c r="AG75" s="38">
        <f>Inputs!$D$32*AI74/Inputs!$D$6</f>
        <v>3762.9932060976416</v>
      </c>
      <c r="AH75" s="38">
        <f>Inputs!$D$33</f>
        <v>1500</v>
      </c>
      <c r="AI75" s="38">
        <f t="shared" si="58"/>
        <v>775945.42029376584</v>
      </c>
      <c r="AJ75" s="38">
        <f t="shared" si="59"/>
        <v>0</v>
      </c>
      <c r="AK75" s="38">
        <f>Inputs!$D$19*(1-Inputs!$C$70*$H75)+Inputs!$D$21+Inputs!$B$70*$J75</f>
        <v>404800</v>
      </c>
      <c r="AL75" s="38">
        <f t="shared" si="60"/>
        <v>371145.42029376584</v>
      </c>
      <c r="AM75" s="38">
        <f t="shared" si="61"/>
        <v>0</v>
      </c>
      <c r="AN75" s="38">
        <f>MAX(0,MIN(Inputs!$B$36,AS74,AO75+AP75+AQ75+Inputs!$B$6-AR74))</f>
        <v>0</v>
      </c>
      <c r="AO75" s="38">
        <f>Inputs!$B$27*(1+Inputs!$B$28)^($A75/12)*IF(Inputs!$B$71=1,$G75,1)*(1-Inputs!$C$71*$H75*(1-Inputs!$E$54*Inputs!$B$71))*(1+$I75)*IF(Inputs!$B$29=0,1,(MAX(AR74,0)/Inputs!$B$6)^Inputs!$B$29)</f>
        <v>17298.406603034833</v>
      </c>
      <c r="AP75" s="38">
        <f>Inputs!$B$32*AR74/Inputs!$B$6</f>
        <v>0</v>
      </c>
      <c r="AQ75" s="38">
        <f>Inputs!$B$33</f>
        <v>2500</v>
      </c>
      <c r="AR75" s="38">
        <f t="shared" si="62"/>
        <v>0</v>
      </c>
      <c r="AS75" s="38">
        <f t="shared" si="63"/>
        <v>0</v>
      </c>
      <c r="AT75" s="38">
        <f>Inputs!$B$19*(1-Inputs!$C$71*$H75)+Inputs!$B$21+Inputs!$B$71*$J75</f>
        <v>601000</v>
      </c>
      <c r="AU75" s="38">
        <f t="shared" si="64"/>
        <v>-601000</v>
      </c>
      <c r="AV75" s="38">
        <f t="shared" si="65"/>
        <v>1</v>
      </c>
      <c r="AW75" s="38">
        <f>MAX(0,MIN(Inputs!$C$36,BB74,AX75+AY75+AZ75+Inputs!$C$6-BA74))</f>
        <v>0</v>
      </c>
      <c r="AX75" s="38">
        <f>Inputs!$C$27*(1+Inputs!$C$28)^($A75/12)*IF(Inputs!$B$71=1,$G75,1)*(1-Inputs!$C$71*$H75*(1-Inputs!$E$54*Inputs!$B$71))*(1+$I75)*IF(Inputs!$C$29=0,1,(MAX(BA74,0)/Inputs!$C$6)^Inputs!$C$29)</f>
        <v>7539.393982712837</v>
      </c>
      <c r="AY75" s="38">
        <f>Inputs!$C$32*BA74/Inputs!$C$6</f>
        <v>1576.7654151158317</v>
      </c>
      <c r="AZ75" s="38">
        <f>Inputs!$C$33</f>
        <v>2000</v>
      </c>
      <c r="BA75" s="38">
        <f t="shared" si="66"/>
        <v>175759.74165293659</v>
      </c>
      <c r="BB75" s="38">
        <f t="shared" si="67"/>
        <v>0</v>
      </c>
      <c r="BC75" s="38">
        <f>Inputs!$C$19*(1-Inputs!$C$71*$H75)+Inputs!$C$21+Inputs!$B$71*$J75</f>
        <v>501000</v>
      </c>
      <c r="BD75" s="38">
        <f t="shared" si="68"/>
        <v>-325240.25834706344</v>
      </c>
      <c r="BE75" s="38">
        <f t="shared" si="69"/>
        <v>1</v>
      </c>
      <c r="BF75" s="38">
        <f>MAX(0,MIN(Inputs!$D$36,BK74,BG75+BH75+BI75+Inputs!$D$6-BJ74))</f>
        <v>0</v>
      </c>
      <c r="BG75" s="38">
        <f>Inputs!$D$27*(1+Inputs!$D$28)^($A75/12)*IF(Inputs!$B$71=1,$G75,1)*(1-Inputs!$C$71*$H75*(1-Inputs!$E$54*Inputs!$B$71))*(1+$I75)*IF(Inputs!$D$29=0,1,(MAX(BJ74,0)/Inputs!$D$6)^Inputs!$D$29)</f>
        <v>6363.2863181050534</v>
      </c>
      <c r="BH75" s="38">
        <f>Inputs!$D$32*BJ74/Inputs!$D$6</f>
        <v>4110.3830583952467</v>
      </c>
      <c r="BI75" s="38">
        <f>Inputs!$D$33</f>
        <v>1500</v>
      </c>
      <c r="BJ75" s="38">
        <f t="shared" si="70"/>
        <v>849249.44762059895</v>
      </c>
      <c r="BK75" s="38">
        <f t="shared" si="71"/>
        <v>0</v>
      </c>
      <c r="BL75" s="38">
        <f>Inputs!$D$19*(1-Inputs!$C$71*$H75)+Inputs!$D$21+Inputs!$B$71*$J75</f>
        <v>410800</v>
      </c>
      <c r="BM75" s="38">
        <f t="shared" si="72"/>
        <v>438449.44762059895</v>
      </c>
      <c r="BN75" s="38">
        <f t="shared" si="73"/>
        <v>0</v>
      </c>
      <c r="BO75" s="38">
        <f>MAX(0,MIN(Inputs!$B$36,BT74,BP75+BQ75+BR75+Inputs!$B$6-BS74))</f>
        <v>0</v>
      </c>
      <c r="BP75" s="38">
        <f>Inputs!$B$27*(1+Inputs!$B$28)^($A75/12)*IF(Inputs!$B$72=1,$G75,1)*(1-Inputs!$C$72*$H75*(1-Inputs!$E$54*Inputs!$B$72))*(1+$I75)*IF(Inputs!$B$29=0,1,(MAX(BS74,0)/Inputs!$B$6)^Inputs!$B$29)</f>
        <v>18483.118069295724</v>
      </c>
      <c r="BQ75" s="38">
        <f>Inputs!$B$32*BS74/Inputs!$B$6</f>
        <v>0</v>
      </c>
      <c r="BR75" s="38">
        <f>Inputs!$B$33</f>
        <v>2500</v>
      </c>
      <c r="BS75" s="38">
        <f t="shared" si="74"/>
        <v>0</v>
      </c>
      <c r="BT75" s="38">
        <f t="shared" si="75"/>
        <v>0</v>
      </c>
      <c r="BU75" s="38">
        <f>Inputs!$B$19*(1-Inputs!$C$72*$H75)+Inputs!$B$21+Inputs!$B$72*$J75</f>
        <v>577500</v>
      </c>
      <c r="BV75" s="38">
        <f t="shared" si="76"/>
        <v>-577500</v>
      </c>
      <c r="BW75" s="38">
        <f t="shared" si="77"/>
        <v>1</v>
      </c>
      <c r="BX75" s="38">
        <f>MAX(0,MIN(Inputs!$C$36,CC74,BY75+BZ75+CA75+Inputs!$C$6-CB74))</f>
        <v>0</v>
      </c>
      <c r="BY75" s="38">
        <f>Inputs!$C$27*(1+Inputs!$C$28)^($A75/12)*IF(Inputs!$B$72=1,$G75,1)*(1-Inputs!$C$72*$H75*(1-Inputs!$E$54*Inputs!$B$72))*(1+$I75)*IF(Inputs!$C$29=0,1,(MAX(CB74,0)/Inputs!$C$6)^Inputs!$C$29)</f>
        <v>7685.2690138460957</v>
      </c>
      <c r="BZ75" s="38">
        <f>Inputs!$C$32*CB74/Inputs!$C$6</f>
        <v>1306.113987682281</v>
      </c>
      <c r="CA75" s="38">
        <f>Inputs!$C$33</f>
        <v>2000</v>
      </c>
      <c r="CB75" s="38">
        <f t="shared" si="78"/>
        <v>143807.31183489016</v>
      </c>
      <c r="CC75" s="38">
        <f t="shared" si="79"/>
        <v>0</v>
      </c>
      <c r="CD75" s="38">
        <f>Inputs!$C$19*(1-Inputs!$C$72*$H75)+Inputs!$C$21+Inputs!$B$72*$J75</f>
        <v>480000</v>
      </c>
      <c r="CE75" s="38">
        <f t="shared" si="80"/>
        <v>-336192.68816510984</v>
      </c>
      <c r="CF75" s="38">
        <f t="shared" si="81"/>
        <v>1</v>
      </c>
      <c r="CG75" s="38">
        <f>MAX(0,MIN(Inputs!$D$36,CL74,CH75+CI75+CJ75+Inputs!$D$6-CK74))</f>
        <v>0</v>
      </c>
      <c r="CH75" s="38">
        <f>Inputs!$D$27*(1+Inputs!$D$28)^($A75/12)*IF(Inputs!$B$72=1,$G75,1)*(1-Inputs!$C$72*$H75*(1-Inputs!$E$54*Inputs!$B$72))*(1+$I75)*IF(Inputs!$D$29=0,1,(MAX(CK74,0)/Inputs!$D$6)^Inputs!$D$29)</f>
        <v>6656.3862037755962</v>
      </c>
      <c r="CI75" s="38">
        <f>Inputs!$D$32*CK74/Inputs!$D$6</f>
        <v>3939.6543241254117</v>
      </c>
      <c r="CJ75" s="38">
        <f>Inputs!$D$33</f>
        <v>1500</v>
      </c>
      <c r="CK75" s="38">
        <f t="shared" si="82"/>
        <v>813355.3416698043</v>
      </c>
      <c r="CL75" s="38">
        <f t="shared" si="83"/>
        <v>0</v>
      </c>
      <c r="CM75" s="38">
        <f>Inputs!$D$19*(1-Inputs!$C$72*$H75)+Inputs!$D$21+Inputs!$B$72*$J75</f>
        <v>392150</v>
      </c>
      <c r="CN75" s="38">
        <f t="shared" si="84"/>
        <v>421205.3416698043</v>
      </c>
      <c r="CO75" s="38">
        <f t="shared" si="85"/>
        <v>0</v>
      </c>
      <c r="CP75" s="38">
        <f>MAX(0,MIN(Inputs!$B$36,CU74,CQ75+CR75+CS75+Inputs!$B$6-CT74))</f>
        <v>0</v>
      </c>
      <c r="CQ75" s="38">
        <f>Inputs!$B$27*(1+Inputs!$B$28)^($A75/12)*IF(Inputs!$B$73=1,$G75,1)*(1-Inputs!$C$73*$H75*(1-Inputs!$E$54*Inputs!$B$73))*(1+$I75)*IF(Inputs!$B$29=0,1,(MAX(CT74,0)/Inputs!$B$6)^Inputs!$B$29)</f>
        <v>16433.486272883092</v>
      </c>
      <c r="CR75" s="38">
        <f>Inputs!$B$32*CT74/Inputs!$B$6</f>
        <v>0</v>
      </c>
      <c r="CS75" s="38">
        <f>Inputs!$B$33</f>
        <v>2500</v>
      </c>
      <c r="CT75" s="38">
        <f t="shared" si="86"/>
        <v>0</v>
      </c>
      <c r="CU75" s="38">
        <f t="shared" si="87"/>
        <v>0</v>
      </c>
      <c r="CV75" s="38">
        <f>Inputs!$B$19*(1-Inputs!$C$73*$H75)+Inputs!$B$21+Inputs!$B$73*$J75</f>
        <v>583500</v>
      </c>
      <c r="CW75" s="38">
        <f t="shared" si="88"/>
        <v>-583500</v>
      </c>
      <c r="CX75" s="38">
        <f t="shared" si="89"/>
        <v>1</v>
      </c>
      <c r="CY75" s="38">
        <f>MAX(0,MIN(Inputs!$C$36,DD74,CZ75+DA75+DB75+Inputs!$C$6-DC74))</f>
        <v>0</v>
      </c>
      <c r="CZ75" s="38">
        <f>Inputs!$C$27*(1+Inputs!$C$28)^($A75/12)*IF(Inputs!$B$73=1,$G75,1)*(1-Inputs!$C$73*$H75*(1-Inputs!$E$54*Inputs!$B$73))*(1+$I75)*IF(Inputs!$C$29=0,1,(MAX(DC74,0)/Inputs!$C$6)^Inputs!$C$29)</f>
        <v>7310.0287051980094</v>
      </c>
      <c r="DA75" s="38">
        <f>Inputs!$C$32*DC74/Inputs!$C$6</f>
        <v>1710.8157479924482</v>
      </c>
      <c r="DB75" s="38">
        <f>Inputs!$C$33</f>
        <v>2000</v>
      </c>
      <c r="DC75" s="38">
        <f t="shared" si="90"/>
        <v>191742.50345702565</v>
      </c>
      <c r="DD75" s="38">
        <f t="shared" si="91"/>
        <v>0</v>
      </c>
      <c r="DE75" s="38">
        <f>Inputs!$C$19*(1-Inputs!$C$73*$H75)+Inputs!$C$21+Inputs!$B$73*$J75</f>
        <v>486000</v>
      </c>
      <c r="DF75" s="38">
        <f t="shared" si="92"/>
        <v>-294257.49654297438</v>
      </c>
      <c r="DG75" s="38">
        <f t="shared" si="93"/>
        <v>1</v>
      </c>
      <c r="DH75" s="38">
        <f>MAX(0,MIN(Inputs!$D$36,DM74,DI75+DJ75+DK75+Inputs!$D$6-DL74))</f>
        <v>0</v>
      </c>
      <c r="DI75" s="38">
        <f>Inputs!$D$27*(1+Inputs!$D$28)^($A75/12)*IF(Inputs!$B$73=1,$G75,1)*(1-Inputs!$C$73*$H75*(1-Inputs!$E$54*Inputs!$B$73))*(1+$I75)*IF(Inputs!$D$29=0,1,(MAX(DL74,0)/Inputs!$D$6)^Inputs!$D$29)</f>
        <v>6102.7170693613443</v>
      </c>
      <c r="DJ75" s="38">
        <f>Inputs!$D$32*DL74/Inputs!$D$6</f>
        <v>4189.0797500868421</v>
      </c>
      <c r="DK75" s="38">
        <f>Inputs!$D$33</f>
        <v>1500</v>
      </c>
      <c r="DL75" s="38">
        <f t="shared" si="94"/>
        <v>865920.15081779496</v>
      </c>
      <c r="DM75" s="38">
        <f t="shared" si="95"/>
        <v>0</v>
      </c>
      <c r="DN75" s="38">
        <f>Inputs!$D$19*(1-Inputs!$C$73*$H75)+Inputs!$D$21+Inputs!$B$73*$J75</f>
        <v>398150</v>
      </c>
      <c r="DO75" s="38">
        <f t="shared" si="96"/>
        <v>467770.15081779496</v>
      </c>
      <c r="DP75" s="38">
        <f t="shared" si="97"/>
        <v>0</v>
      </c>
    </row>
    <row r="76" spans="1:120" x14ac:dyDescent="0.35">
      <c r="A76" s="29">
        <v>71</v>
      </c>
      <c r="B76" s="34">
        <f>EDATE(Inputs!$B$67,$A76)</f>
        <v>48427</v>
      </c>
      <c r="C76" s="35">
        <f>IF(Inputs!$E$47&lt;=0,Inputs!$E$46,Inputs!$E$44+(Inputs!$E$46-Inputs!$E$44)*MIN($A76/Inputs!$E$47,1))</f>
        <v>0.7</v>
      </c>
      <c r="D76" s="35">
        <f>MIN(Inputs!$E$57,Inputs!$E$55*(1+Inputs!$E$56)^($A76/12))*Inputs!$E$58*(1+Inputs!$E$59)^($A76/12)/Inputs!$E$45</f>
        <v>1.5</v>
      </c>
      <c r="E76" s="35">
        <f>MAX(Inputs!$E$44,MIN(C76,D76))</f>
        <v>0.7</v>
      </c>
      <c r="F76" s="35">
        <f>IF(Inputs!$E$50&lt;=0,Inputs!$E$49,Inputs!$E$48+(Inputs!$E$49-Inputs!$E$48)*MIN($A76/Inputs!$E$50,1))</f>
        <v>0.12</v>
      </c>
      <c r="G76" s="36">
        <f>(Inputs!$E$41*(1-E76*Inputs!$E$51)+Inputs!$E$42*(1-F76*Inputs!$E$51))/(Inputs!$E$41*(1-Inputs!$E$44*Inputs!$E$51)+Inputs!$E$42*(1-Inputs!$E$48*Inputs!$E$51))</f>
        <v>0.8423127463863338</v>
      </c>
      <c r="H76" s="35">
        <f>IF(Inputs!$E$53&lt;=0,Inputs!$E$52,Inputs!$E$52*MIN($A76/Inputs!$E$53,1))</f>
        <v>0.1</v>
      </c>
      <c r="I76" s="35">
        <f>IF(Inputs!$E$64&lt;=0,Inputs!$E$63,Inputs!$E$62+(Inputs!$E$63-Inputs!$E$62)*MIN($A76/Inputs!$E$64,1))</f>
        <v>0.03</v>
      </c>
      <c r="J76" s="37">
        <f>(E76-Inputs!$E$44)*Inputs!$E$45/Inputs!$E$60*Inputs!$E$61</f>
        <v>5999.9999999999991</v>
      </c>
      <c r="K76" s="29">
        <f t="shared" si="49"/>
        <v>0</v>
      </c>
      <c r="L76" s="29"/>
      <c r="M76" s="38">
        <f>MAX(0,MIN(Inputs!$B$36,R75,N76+O76+P76+Inputs!$B$6-Q75))</f>
        <v>0</v>
      </c>
      <c r="N76" s="38">
        <f>Inputs!$B$27*(1+Inputs!$B$28)^($A76/12)*IF(Inputs!$B$70=1,$G76,1)*(1-Inputs!$C$70*$H76*(1-Inputs!$E$54*Inputs!$B$70))*(1+$I76)*IF(Inputs!$B$29=0,1,(MAX(Q75,0)/Inputs!$B$6)^Inputs!$B$29)</f>
        <v>20620.467311353132</v>
      </c>
      <c r="O76" s="38">
        <f>Inputs!$B$32*Q75/Inputs!$B$6</f>
        <v>0</v>
      </c>
      <c r="P76" s="38">
        <f>Inputs!$B$33</f>
        <v>2500</v>
      </c>
      <c r="Q76" s="38">
        <f t="shared" si="50"/>
        <v>0</v>
      </c>
      <c r="R76" s="38">
        <f t="shared" si="51"/>
        <v>0</v>
      </c>
      <c r="S76" s="38">
        <f>Inputs!$B$19*(1-Inputs!$C$70*$H76)+Inputs!$B$21+Inputs!$B$70*$J76</f>
        <v>595000</v>
      </c>
      <c r="T76" s="38">
        <f t="shared" si="52"/>
        <v>-595000</v>
      </c>
      <c r="U76" s="38">
        <f t="shared" si="53"/>
        <v>1</v>
      </c>
      <c r="V76" s="38">
        <f>MAX(0,MIN(Inputs!$C$36,AA75,W76+X76+Y76+Inputs!$C$6-Z75))</f>
        <v>0</v>
      </c>
      <c r="W76" s="38">
        <f>Inputs!$C$27*(1+Inputs!$C$28)^($A76/12)*IF(Inputs!$B$70=1,$G76,1)*(1-Inputs!$C$70*$H76*(1-Inputs!$E$54*Inputs!$B$70))*(1+$I76)*IF(Inputs!$C$29=0,1,(MAX(Z75,0)/Inputs!$C$6)^Inputs!$C$29)</f>
        <v>7827.2656343319441</v>
      </c>
      <c r="X76" s="38">
        <f>Inputs!$C$32*Z75/Inputs!$C$6</f>
        <v>922.05136044356811</v>
      </c>
      <c r="Y76" s="38">
        <f>Inputs!$C$33</f>
        <v>2000</v>
      </c>
      <c r="Z76" s="38">
        <f t="shared" si="54"/>
        <v>98530.844242980718</v>
      </c>
      <c r="AA76" s="38">
        <f t="shared" si="55"/>
        <v>0</v>
      </c>
      <c r="AB76" s="38">
        <f>Inputs!$C$19*(1-Inputs!$C$70*$H76)+Inputs!$C$21+Inputs!$B$70*$J76</f>
        <v>495000</v>
      </c>
      <c r="AC76" s="38">
        <f t="shared" si="56"/>
        <v>-396469.1557570193</v>
      </c>
      <c r="AD76" s="38">
        <f t="shared" si="57"/>
        <v>1</v>
      </c>
      <c r="AE76" s="38">
        <f>MAX(0,MIN(Inputs!$D$36,AJ75,AF76+AG76+AH76+Inputs!$D$6-AI75))</f>
        <v>0</v>
      </c>
      <c r="AF76" s="38">
        <f>Inputs!$D$27*(1+Inputs!$D$28)^($A76/12)*IF(Inputs!$B$70=1,$G76,1)*(1-Inputs!$C$70*$H76*(1-Inputs!$E$54*Inputs!$B$70))*(1+$I76)*IF(Inputs!$D$29=0,1,(MAX(AI75,0)/Inputs!$D$6)^Inputs!$D$29)</f>
        <v>7140.185153595884</v>
      </c>
      <c r="AG76" s="38">
        <f>Inputs!$D$32*AI75/Inputs!$D$6</f>
        <v>3703.3758695838824</v>
      </c>
      <c r="AH76" s="38">
        <f>Inputs!$D$33</f>
        <v>1500</v>
      </c>
      <c r="AI76" s="38">
        <f t="shared" si="58"/>
        <v>763601.85927058605</v>
      </c>
      <c r="AJ76" s="38">
        <f t="shared" si="59"/>
        <v>0</v>
      </c>
      <c r="AK76" s="38">
        <f>Inputs!$D$19*(1-Inputs!$C$70*$H76)+Inputs!$D$21+Inputs!$B$70*$J76</f>
        <v>404800</v>
      </c>
      <c r="AL76" s="38">
        <f t="shared" si="60"/>
        <v>358801.85927058605</v>
      </c>
      <c r="AM76" s="38">
        <f t="shared" si="61"/>
        <v>0</v>
      </c>
      <c r="AN76" s="38">
        <f>MAX(0,MIN(Inputs!$B$36,AS75,AO76+AP76+AQ76+Inputs!$B$6-AR75))</f>
        <v>0</v>
      </c>
      <c r="AO76" s="38">
        <f>Inputs!$B$27*(1+Inputs!$B$28)^($A76/12)*IF(Inputs!$B$71=1,$G76,1)*(1-Inputs!$C$71*$H76*(1-Inputs!$E$54*Inputs!$B$71))*(1+$I76)*IF(Inputs!$B$29=0,1,(MAX(AR75,0)/Inputs!$B$6)^Inputs!$B$29)</f>
        <v>17368.882452795475</v>
      </c>
      <c r="AP76" s="38">
        <f>Inputs!$B$32*AR75/Inputs!$B$6</f>
        <v>0</v>
      </c>
      <c r="AQ76" s="38">
        <f>Inputs!$B$33</f>
        <v>2500</v>
      </c>
      <c r="AR76" s="38">
        <f t="shared" si="62"/>
        <v>0</v>
      </c>
      <c r="AS76" s="38">
        <f t="shared" si="63"/>
        <v>0</v>
      </c>
      <c r="AT76" s="38">
        <f>Inputs!$B$19*(1-Inputs!$C$71*$H76)+Inputs!$B$21+Inputs!$B$71*$J76</f>
        <v>601000</v>
      </c>
      <c r="AU76" s="38">
        <f t="shared" si="64"/>
        <v>-601000</v>
      </c>
      <c r="AV76" s="38">
        <f t="shared" si="65"/>
        <v>1</v>
      </c>
      <c r="AW76" s="38">
        <f>MAX(0,MIN(Inputs!$C$36,BB75,AX76+AY76+AZ76+Inputs!$C$6-BA75))</f>
        <v>0</v>
      </c>
      <c r="AX76" s="38">
        <f>Inputs!$C$27*(1+Inputs!$C$28)^($A76/12)*IF(Inputs!$B$71=1,$G76,1)*(1-Inputs!$C$71*$H76*(1-Inputs!$E$54*Inputs!$B$71))*(1+$I76)*IF(Inputs!$C$29=0,1,(MAX(BA75,0)/Inputs!$C$6)^Inputs!$C$29)</f>
        <v>7424.6838394687957</v>
      </c>
      <c r="AY76" s="38">
        <f>Inputs!$C$32*BA75/Inputs!$C$6</f>
        <v>1482.972820196652</v>
      </c>
      <c r="AZ76" s="38">
        <f>Inputs!$C$33</f>
        <v>2000</v>
      </c>
      <c r="BA76" s="38">
        <f t="shared" si="66"/>
        <v>164852.08499327113</v>
      </c>
      <c r="BB76" s="38">
        <f t="shared" si="67"/>
        <v>0</v>
      </c>
      <c r="BC76" s="38">
        <f>Inputs!$C$19*(1-Inputs!$C$71*$H76)+Inputs!$C$21+Inputs!$B$71*$J76</f>
        <v>501000</v>
      </c>
      <c r="BD76" s="38">
        <f t="shared" si="68"/>
        <v>-336147.91500672884</v>
      </c>
      <c r="BE76" s="38">
        <f t="shared" si="69"/>
        <v>1</v>
      </c>
      <c r="BF76" s="38">
        <f>MAX(0,MIN(Inputs!$D$36,BK75,BG76+BH76+BI76+Inputs!$D$6-BJ75))</f>
        <v>0</v>
      </c>
      <c r="BG76" s="38">
        <f>Inputs!$D$27*(1+Inputs!$D$28)^($A76/12)*IF(Inputs!$B$71=1,$G76,1)*(1-Inputs!$C$71*$H76*(1-Inputs!$E$54*Inputs!$B$71))*(1+$I76)*IF(Inputs!$D$29=0,1,(MAX(BJ75,0)/Inputs!$D$6)^Inputs!$D$29)</f>
        <v>6291.9446843787346</v>
      </c>
      <c r="BH76" s="38">
        <f>Inputs!$D$32*BJ75/Inputs!$D$6</f>
        <v>4053.2360000074041</v>
      </c>
      <c r="BI76" s="38">
        <f>Inputs!$D$33</f>
        <v>1500</v>
      </c>
      <c r="BJ76" s="38">
        <f t="shared" si="70"/>
        <v>837404.26693621289</v>
      </c>
      <c r="BK76" s="38">
        <f t="shared" si="71"/>
        <v>0</v>
      </c>
      <c r="BL76" s="38">
        <f>Inputs!$D$19*(1-Inputs!$C$71*$H76)+Inputs!$D$21+Inputs!$B$71*$J76</f>
        <v>410800</v>
      </c>
      <c r="BM76" s="38">
        <f t="shared" si="72"/>
        <v>426604.26693621289</v>
      </c>
      <c r="BN76" s="38">
        <f t="shared" si="73"/>
        <v>0</v>
      </c>
      <c r="BO76" s="38">
        <f>MAX(0,MIN(Inputs!$B$36,BT75,BP76+BQ76+BR76+Inputs!$B$6-BS75))</f>
        <v>0</v>
      </c>
      <c r="BP76" s="38">
        <f>Inputs!$B$27*(1+Inputs!$B$28)^($A76/12)*IF(Inputs!$B$72=1,$G76,1)*(1-Inputs!$C$72*$H76*(1-Inputs!$E$54*Inputs!$B$72))*(1+$I76)*IF(Inputs!$B$29=0,1,(MAX(BS75,0)/Inputs!$B$6)^Inputs!$B$29)</f>
        <v>18558.420580217818</v>
      </c>
      <c r="BQ76" s="38">
        <f>Inputs!$B$32*BS75/Inputs!$B$6</f>
        <v>0</v>
      </c>
      <c r="BR76" s="38">
        <f>Inputs!$B$33</f>
        <v>2500</v>
      </c>
      <c r="BS76" s="38">
        <f t="shared" si="74"/>
        <v>0</v>
      </c>
      <c r="BT76" s="38">
        <f t="shared" si="75"/>
        <v>0</v>
      </c>
      <c r="BU76" s="38">
        <f>Inputs!$B$19*(1-Inputs!$C$72*$H76)+Inputs!$B$21+Inputs!$B$72*$J76</f>
        <v>577500</v>
      </c>
      <c r="BV76" s="38">
        <f t="shared" si="76"/>
        <v>-577500</v>
      </c>
      <c r="BW76" s="38">
        <f t="shared" si="77"/>
        <v>1</v>
      </c>
      <c r="BX76" s="38">
        <f>MAX(0,MIN(Inputs!$C$36,CC75,BY76+BZ76+CA76+Inputs!$C$6-CB75))</f>
        <v>0</v>
      </c>
      <c r="BY76" s="38">
        <f>Inputs!$C$27*(1+Inputs!$C$28)^($A76/12)*IF(Inputs!$B$72=1,$G76,1)*(1-Inputs!$C$72*$H76*(1-Inputs!$E$54*Inputs!$B$72))*(1+$I76)*IF(Inputs!$C$29=0,1,(MAX(CB75,0)/Inputs!$C$6)^Inputs!$C$29)</f>
        <v>7545.0564335428417</v>
      </c>
      <c r="BZ76" s="38">
        <f>Inputs!$C$32*CB75/Inputs!$C$6</f>
        <v>1213.3741936068855</v>
      </c>
      <c r="CA76" s="38">
        <f>Inputs!$C$33</f>
        <v>2000</v>
      </c>
      <c r="CB76" s="38">
        <f t="shared" si="78"/>
        <v>133048.88120774043</v>
      </c>
      <c r="CC76" s="38">
        <f t="shared" si="79"/>
        <v>0</v>
      </c>
      <c r="CD76" s="38">
        <f>Inputs!$C$19*(1-Inputs!$C$72*$H76)+Inputs!$C$21+Inputs!$B$72*$J76</f>
        <v>480000</v>
      </c>
      <c r="CE76" s="38">
        <f t="shared" si="80"/>
        <v>-346951.1187922596</v>
      </c>
      <c r="CF76" s="38">
        <f t="shared" si="81"/>
        <v>1</v>
      </c>
      <c r="CG76" s="38">
        <f>MAX(0,MIN(Inputs!$D$36,CL75,CH76+CI76+CJ76+Inputs!$D$6-CK75))</f>
        <v>0</v>
      </c>
      <c r="CH76" s="38">
        <f>Inputs!$D$27*(1+Inputs!$D$28)^($A76/12)*IF(Inputs!$B$72=1,$G76,1)*(1-Inputs!$C$72*$H76*(1-Inputs!$E$54*Inputs!$B$72))*(1+$I76)*IF(Inputs!$D$29=0,1,(MAX(CK75,0)/Inputs!$D$6)^Inputs!$D$29)</f>
        <v>6579.2525526111103</v>
      </c>
      <c r="CI76" s="38">
        <f>Inputs!$D$32*CK75/Inputs!$D$6</f>
        <v>3881.923221605884</v>
      </c>
      <c r="CJ76" s="38">
        <f>Inputs!$D$33</f>
        <v>1500</v>
      </c>
      <c r="CK76" s="38">
        <f t="shared" si="82"/>
        <v>801394.16589558742</v>
      </c>
      <c r="CL76" s="38">
        <f t="shared" si="83"/>
        <v>0</v>
      </c>
      <c r="CM76" s="38">
        <f>Inputs!$D$19*(1-Inputs!$C$72*$H76)+Inputs!$D$21+Inputs!$B$72*$J76</f>
        <v>392150</v>
      </c>
      <c r="CN76" s="38">
        <f t="shared" si="84"/>
        <v>409244.16589558742</v>
      </c>
      <c r="CO76" s="38">
        <f t="shared" si="85"/>
        <v>0</v>
      </c>
      <c r="CP76" s="38">
        <f>MAX(0,MIN(Inputs!$B$36,CU75,CQ76+CR76+CS76+Inputs!$B$6-CT75))</f>
        <v>0</v>
      </c>
      <c r="CQ76" s="38">
        <f>Inputs!$B$27*(1+Inputs!$B$28)^($A76/12)*IF(Inputs!$B$73=1,$G76,1)*(1-Inputs!$C$73*$H76*(1-Inputs!$E$54*Inputs!$B$73))*(1+$I76)*IF(Inputs!$B$29=0,1,(MAX(CT75,0)/Inputs!$B$6)^Inputs!$B$29)</f>
        <v>16500.438330155699</v>
      </c>
      <c r="CR76" s="38">
        <f>Inputs!$B$32*CT75/Inputs!$B$6</f>
        <v>0</v>
      </c>
      <c r="CS76" s="38">
        <f>Inputs!$B$33</f>
        <v>2500</v>
      </c>
      <c r="CT76" s="38">
        <f t="shared" si="86"/>
        <v>0</v>
      </c>
      <c r="CU76" s="38">
        <f t="shared" si="87"/>
        <v>0</v>
      </c>
      <c r="CV76" s="38">
        <f>Inputs!$B$19*(1-Inputs!$C$73*$H76)+Inputs!$B$21+Inputs!$B$73*$J76</f>
        <v>583500</v>
      </c>
      <c r="CW76" s="38">
        <f t="shared" si="88"/>
        <v>-583500</v>
      </c>
      <c r="CX76" s="38">
        <f t="shared" si="89"/>
        <v>1</v>
      </c>
      <c r="CY76" s="38">
        <f>MAX(0,MIN(Inputs!$C$36,DD75,CZ76+DA76+DB76+Inputs!$C$6-DC75))</f>
        <v>0</v>
      </c>
      <c r="CZ76" s="38">
        <f>Inputs!$C$27*(1+Inputs!$C$28)^($A76/12)*IF(Inputs!$B$73=1,$G76,1)*(1-Inputs!$C$73*$H76*(1-Inputs!$E$54*Inputs!$B$73))*(1+$I76)*IF(Inputs!$C$29=0,1,(MAX(DC75,0)/Inputs!$C$6)^Inputs!$C$29)</f>
        <v>7208.6064707290416</v>
      </c>
      <c r="DA76" s="38">
        <f>Inputs!$C$32*DC75/Inputs!$C$6</f>
        <v>1617.8273729186537</v>
      </c>
      <c r="DB76" s="38">
        <f>Inputs!$C$33</f>
        <v>2000</v>
      </c>
      <c r="DC76" s="38">
        <f t="shared" si="90"/>
        <v>180916.06961337794</v>
      </c>
      <c r="DD76" s="38">
        <f t="shared" si="91"/>
        <v>0</v>
      </c>
      <c r="DE76" s="38">
        <f>Inputs!$C$19*(1-Inputs!$C$73*$H76)+Inputs!$C$21+Inputs!$B$73*$J76</f>
        <v>486000</v>
      </c>
      <c r="DF76" s="38">
        <f t="shared" si="92"/>
        <v>-305083.93038662209</v>
      </c>
      <c r="DG76" s="38">
        <f t="shared" si="93"/>
        <v>1</v>
      </c>
      <c r="DH76" s="38">
        <f>MAX(0,MIN(Inputs!$D$36,DM75,DI76+DJ76+DK76+Inputs!$D$6-DL75))</f>
        <v>0</v>
      </c>
      <c r="DI76" s="38">
        <f>Inputs!$D$27*(1+Inputs!$D$28)^($A76/12)*IF(Inputs!$B$73=1,$G76,1)*(1-Inputs!$C$73*$H76*(1-Inputs!$E$54*Inputs!$B$73))*(1+$I76)*IF(Inputs!$D$29=0,1,(MAX(DL75,0)/Inputs!$D$6)^Inputs!$D$29)</f>
        <v>6035.7297743014315</v>
      </c>
      <c r="DJ76" s="38">
        <f>Inputs!$D$32*DL75/Inputs!$D$6</f>
        <v>4132.8007198122032</v>
      </c>
      <c r="DK76" s="38">
        <f>Inputs!$D$33</f>
        <v>1500</v>
      </c>
      <c r="DL76" s="38">
        <f t="shared" si="94"/>
        <v>854251.62032368139</v>
      </c>
      <c r="DM76" s="38">
        <f t="shared" si="95"/>
        <v>0</v>
      </c>
      <c r="DN76" s="38">
        <f>Inputs!$D$19*(1-Inputs!$C$73*$H76)+Inputs!$D$21+Inputs!$B$73*$J76</f>
        <v>398150</v>
      </c>
      <c r="DO76" s="38">
        <f t="shared" si="96"/>
        <v>456101.62032368139</v>
      </c>
      <c r="DP76" s="38">
        <f t="shared" si="97"/>
        <v>0</v>
      </c>
    </row>
    <row r="77" spans="1:120" x14ac:dyDescent="0.35">
      <c r="A77" s="29">
        <v>72</v>
      </c>
      <c r="B77" s="34">
        <f>EDATE(Inputs!$B$67,$A77)</f>
        <v>48458</v>
      </c>
      <c r="C77" s="35">
        <f>IF(Inputs!$E$47&lt;=0,Inputs!$E$46,Inputs!$E$44+(Inputs!$E$46-Inputs!$E$44)*MIN($A77/Inputs!$E$47,1))</f>
        <v>0.7</v>
      </c>
      <c r="D77" s="35">
        <f>MIN(Inputs!$E$57,Inputs!$E$55*(1+Inputs!$E$56)^($A77/12))*Inputs!$E$58*(1+Inputs!$E$59)^($A77/12)/Inputs!$E$45</f>
        <v>1.5</v>
      </c>
      <c r="E77" s="35">
        <f>MAX(Inputs!$E$44,MIN(C77,D77))</f>
        <v>0.7</v>
      </c>
      <c r="F77" s="35">
        <f>IF(Inputs!$E$50&lt;=0,Inputs!$E$49,Inputs!$E$48+(Inputs!$E$49-Inputs!$E$48)*MIN($A77/Inputs!$E$50,1))</f>
        <v>0.12</v>
      </c>
      <c r="G77" s="36">
        <f>(Inputs!$E$41*(1-E77*Inputs!$E$51)+Inputs!$E$42*(1-F77*Inputs!$E$51))/(Inputs!$E$41*(1-Inputs!$E$44*Inputs!$E$51)+Inputs!$E$42*(1-Inputs!$E$48*Inputs!$E$51))</f>
        <v>0.8423127463863338</v>
      </c>
      <c r="H77" s="35">
        <f>IF(Inputs!$E$53&lt;=0,Inputs!$E$52,Inputs!$E$52*MIN($A77/Inputs!$E$53,1))</f>
        <v>0.1</v>
      </c>
      <c r="I77" s="35">
        <f>IF(Inputs!$E$64&lt;=0,Inputs!$E$63,Inputs!$E$62+(Inputs!$E$63-Inputs!$E$62)*MIN($A77/Inputs!$E$64,1))</f>
        <v>0.03</v>
      </c>
      <c r="J77" s="37">
        <f>(E77-Inputs!$E$44)*Inputs!$E$45/Inputs!$E$60*Inputs!$E$61</f>
        <v>5999.9999999999991</v>
      </c>
      <c r="K77" s="29">
        <f t="shared" si="49"/>
        <v>0</v>
      </c>
      <c r="L77" s="29"/>
      <c r="M77" s="38">
        <f>MAX(0,MIN(Inputs!$B$36,R76,N77+O77+P77+Inputs!$B$6-Q76))</f>
        <v>0</v>
      </c>
      <c r="N77" s="38">
        <f>Inputs!$B$27*(1+Inputs!$B$28)^($A77/12)*IF(Inputs!$B$70=1,$G77,1)*(1-Inputs!$C$70*$H77*(1-Inputs!$E$54*Inputs!$B$70))*(1+$I77)*IF(Inputs!$B$29=0,1,(MAX(Q76,0)/Inputs!$B$6)^Inputs!$B$29)</f>
        <v>20704.477647656251</v>
      </c>
      <c r="O77" s="38">
        <f>Inputs!$B$32*Q76/Inputs!$B$6</f>
        <v>0</v>
      </c>
      <c r="P77" s="38">
        <f>Inputs!$B$33</f>
        <v>2500</v>
      </c>
      <c r="Q77" s="38">
        <f t="shared" si="50"/>
        <v>0</v>
      </c>
      <c r="R77" s="38">
        <f t="shared" si="51"/>
        <v>0</v>
      </c>
      <c r="S77" s="38">
        <f>Inputs!$B$19*(1-Inputs!$C$70*$H77)+Inputs!$B$21+Inputs!$B$70*$J77</f>
        <v>595000</v>
      </c>
      <c r="T77" s="38">
        <f t="shared" si="52"/>
        <v>-595000</v>
      </c>
      <c r="U77" s="38">
        <f t="shared" si="53"/>
        <v>1</v>
      </c>
      <c r="V77" s="38">
        <f>MAX(0,MIN(Inputs!$C$36,AA76,W77+X77+Y77+Inputs!$C$6-Z76))</f>
        <v>0</v>
      </c>
      <c r="W77" s="38">
        <f>Inputs!$C$27*(1+Inputs!$C$28)^($A77/12)*IF(Inputs!$B$70=1,$G77,1)*(1-Inputs!$C$70*$H77*(1-Inputs!$E$54*Inputs!$B$70))*(1+$I77)*IF(Inputs!$C$29=0,1,(MAX(Z76,0)/Inputs!$C$6)^Inputs!$C$29)</f>
        <v>7627.2466697216996</v>
      </c>
      <c r="X77" s="38">
        <f>Inputs!$C$32*Z76/Inputs!$C$6</f>
        <v>831.35399830014978</v>
      </c>
      <c r="Y77" s="38">
        <f>Inputs!$C$33</f>
        <v>2000</v>
      </c>
      <c r="Z77" s="38">
        <f t="shared" si="54"/>
        <v>88072.243574958862</v>
      </c>
      <c r="AA77" s="38">
        <f t="shared" si="55"/>
        <v>0</v>
      </c>
      <c r="AB77" s="38">
        <f>Inputs!$C$19*(1-Inputs!$C$70*$H77)+Inputs!$C$21+Inputs!$B$70*$J77</f>
        <v>495000</v>
      </c>
      <c r="AC77" s="38">
        <f t="shared" si="56"/>
        <v>-406927.75642504112</v>
      </c>
      <c r="AD77" s="38">
        <f t="shared" si="57"/>
        <v>1</v>
      </c>
      <c r="AE77" s="38">
        <f>MAX(0,MIN(Inputs!$D$36,AJ76,AF77+AG77+AH77+Inputs!$D$6-AI76))</f>
        <v>0</v>
      </c>
      <c r="AF77" s="38">
        <f>Inputs!$D$27*(1+Inputs!$D$28)^($A77/12)*IF(Inputs!$B$70=1,$G77,1)*(1-Inputs!$C$70*$H77*(1-Inputs!$E$54*Inputs!$B$70))*(1+$I77)*IF(Inputs!$D$29=0,1,(MAX(AI76,0)/Inputs!$D$6)^Inputs!$D$29)</f>
        <v>7052.9533114806545</v>
      </c>
      <c r="AG77" s="38">
        <f>Inputs!$D$32*AI76/Inputs!$D$6</f>
        <v>3644.4634192459789</v>
      </c>
      <c r="AH77" s="38">
        <f>Inputs!$D$33</f>
        <v>1500</v>
      </c>
      <c r="AI77" s="38">
        <f t="shared" si="58"/>
        <v>751404.44253985933</v>
      </c>
      <c r="AJ77" s="38">
        <f t="shared" si="59"/>
        <v>0</v>
      </c>
      <c r="AK77" s="38">
        <f>Inputs!$D$19*(1-Inputs!$C$70*$H77)+Inputs!$D$21+Inputs!$B$70*$J77</f>
        <v>404800</v>
      </c>
      <c r="AL77" s="38">
        <f t="shared" si="60"/>
        <v>346604.44253985933</v>
      </c>
      <c r="AM77" s="38">
        <f t="shared" si="61"/>
        <v>0</v>
      </c>
      <c r="AN77" s="38">
        <f>MAX(0,MIN(Inputs!$B$36,AS76,AO77+AP77+AQ77+Inputs!$B$6-AR76))</f>
        <v>0</v>
      </c>
      <c r="AO77" s="38">
        <f>Inputs!$B$27*(1+Inputs!$B$28)^($A77/12)*IF(Inputs!$B$71=1,$G77,1)*(1-Inputs!$C$71*$H77*(1-Inputs!$E$54*Inputs!$B$71))*(1+$I77)*IF(Inputs!$B$29=0,1,(MAX(AR76,0)/Inputs!$B$6)^Inputs!$B$29)</f>
        <v>17439.645429891792</v>
      </c>
      <c r="AP77" s="38">
        <f>Inputs!$B$32*AR76/Inputs!$B$6</f>
        <v>0</v>
      </c>
      <c r="AQ77" s="38">
        <f>Inputs!$B$33</f>
        <v>2500</v>
      </c>
      <c r="AR77" s="38">
        <f t="shared" si="62"/>
        <v>0</v>
      </c>
      <c r="AS77" s="38">
        <f t="shared" si="63"/>
        <v>0</v>
      </c>
      <c r="AT77" s="38">
        <f>Inputs!$B$19*(1-Inputs!$C$71*$H77)+Inputs!$B$21+Inputs!$B$71*$J77</f>
        <v>601000</v>
      </c>
      <c r="AU77" s="38">
        <f t="shared" si="64"/>
        <v>-601000</v>
      </c>
      <c r="AV77" s="38">
        <f t="shared" si="65"/>
        <v>1</v>
      </c>
      <c r="AW77" s="38">
        <f>MAX(0,MIN(Inputs!$C$36,BB76,AX77+AY77+AZ77+Inputs!$C$6-BA76))</f>
        <v>0</v>
      </c>
      <c r="AX77" s="38">
        <f>Inputs!$C$27*(1+Inputs!$C$28)^($A77/12)*IF(Inputs!$B$71=1,$G77,1)*(1-Inputs!$C$71*$H77*(1-Inputs!$E$54*Inputs!$B$71))*(1+$I77)*IF(Inputs!$C$29=0,1,(MAX(BA76,0)/Inputs!$C$6)^Inputs!$C$29)</f>
        <v>7306.7075446200233</v>
      </c>
      <c r="AY77" s="38">
        <f>Inputs!$C$32*BA76/Inputs!$C$6</f>
        <v>1390.939467130725</v>
      </c>
      <c r="AZ77" s="38">
        <f>Inputs!$C$33</f>
        <v>2000</v>
      </c>
      <c r="BA77" s="38">
        <f t="shared" si="66"/>
        <v>154154.43798152037</v>
      </c>
      <c r="BB77" s="38">
        <f t="shared" si="67"/>
        <v>0</v>
      </c>
      <c r="BC77" s="38">
        <f>Inputs!$C$19*(1-Inputs!$C$71*$H77)+Inputs!$C$21+Inputs!$B$71*$J77</f>
        <v>501000</v>
      </c>
      <c r="BD77" s="38">
        <f t="shared" si="68"/>
        <v>-346845.56201847963</v>
      </c>
      <c r="BE77" s="38">
        <f t="shared" si="69"/>
        <v>1</v>
      </c>
      <c r="BF77" s="38">
        <f>MAX(0,MIN(Inputs!$D$36,BK76,BG77+BH77+BI77+Inputs!$D$6-BJ76))</f>
        <v>0</v>
      </c>
      <c r="BG77" s="38">
        <f>Inputs!$D$27*(1+Inputs!$D$28)^($A77/12)*IF(Inputs!$B$71=1,$G77,1)*(1-Inputs!$C$71*$H77*(1-Inputs!$E$54*Inputs!$B$71))*(1+$I77)*IF(Inputs!$D$29=0,1,(MAX(BJ76,0)/Inputs!$D$6)^Inputs!$D$29)</f>
        <v>6221.2618051899253</v>
      </c>
      <c r="BH77" s="38">
        <f>Inputs!$D$32*BJ76/Inputs!$D$6</f>
        <v>3996.7021831046527</v>
      </c>
      <c r="BI77" s="38">
        <f>Inputs!$D$33</f>
        <v>1500</v>
      </c>
      <c r="BJ77" s="38">
        <f t="shared" si="70"/>
        <v>825686.3029479183</v>
      </c>
      <c r="BK77" s="38">
        <f t="shared" si="71"/>
        <v>0</v>
      </c>
      <c r="BL77" s="38">
        <f>Inputs!$D$19*(1-Inputs!$C$71*$H77)+Inputs!$D$21+Inputs!$B$71*$J77</f>
        <v>410800</v>
      </c>
      <c r="BM77" s="38">
        <f t="shared" si="72"/>
        <v>414886.3029479183</v>
      </c>
      <c r="BN77" s="38">
        <f t="shared" si="73"/>
        <v>0</v>
      </c>
      <c r="BO77" s="38">
        <f>MAX(0,MIN(Inputs!$B$36,BT76,BP77+BQ77+BR77+Inputs!$B$6-BS76))</f>
        <v>0</v>
      </c>
      <c r="BP77" s="38">
        <f>Inputs!$B$27*(1+Inputs!$B$28)^($A77/12)*IF(Inputs!$B$72=1,$G77,1)*(1-Inputs!$C$72*$H77*(1-Inputs!$E$54*Inputs!$B$72))*(1+$I77)*IF(Inputs!$B$29=0,1,(MAX(BS76,0)/Inputs!$B$6)^Inputs!$B$29)</f>
        <v>18634.029882890627</v>
      </c>
      <c r="BQ77" s="38">
        <f>Inputs!$B$32*BS76/Inputs!$B$6</f>
        <v>0</v>
      </c>
      <c r="BR77" s="38">
        <f>Inputs!$B$33</f>
        <v>2500</v>
      </c>
      <c r="BS77" s="38">
        <f t="shared" si="74"/>
        <v>0</v>
      </c>
      <c r="BT77" s="38">
        <f t="shared" si="75"/>
        <v>0</v>
      </c>
      <c r="BU77" s="38">
        <f>Inputs!$B$19*(1-Inputs!$C$72*$H77)+Inputs!$B$21+Inputs!$B$72*$J77</f>
        <v>577500</v>
      </c>
      <c r="BV77" s="38">
        <f t="shared" si="76"/>
        <v>-577500</v>
      </c>
      <c r="BW77" s="38">
        <f t="shared" si="77"/>
        <v>1</v>
      </c>
      <c r="BX77" s="38">
        <f>MAX(0,MIN(Inputs!$C$36,CC76,BY77+BZ77+CA77+Inputs!$C$6-CB76))</f>
        <v>0</v>
      </c>
      <c r="BY77" s="38">
        <f>Inputs!$C$27*(1+Inputs!$C$28)^($A77/12)*IF(Inputs!$B$72=1,$G77,1)*(1-Inputs!$C$72*$H77*(1-Inputs!$E$54*Inputs!$B$72))*(1+$I77)*IF(Inputs!$C$29=0,1,(MAX(CB76,0)/Inputs!$C$6)^Inputs!$C$29)</f>
        <v>7399.8012823969202</v>
      </c>
      <c r="BZ77" s="38">
        <f>Inputs!$C$32*CB76/Inputs!$C$6</f>
        <v>1122.5999351903097</v>
      </c>
      <c r="CA77" s="38">
        <f>Inputs!$C$33</f>
        <v>2000</v>
      </c>
      <c r="CB77" s="38">
        <f t="shared" si="78"/>
        <v>122526.4799901532</v>
      </c>
      <c r="CC77" s="38">
        <f t="shared" si="79"/>
        <v>0</v>
      </c>
      <c r="CD77" s="38">
        <f>Inputs!$C$19*(1-Inputs!$C$72*$H77)+Inputs!$C$21+Inputs!$B$72*$J77</f>
        <v>480000</v>
      </c>
      <c r="CE77" s="38">
        <f t="shared" si="80"/>
        <v>-357473.52000984678</v>
      </c>
      <c r="CF77" s="38">
        <f t="shared" si="81"/>
        <v>1</v>
      </c>
      <c r="CG77" s="38">
        <f>MAX(0,MIN(Inputs!$D$36,CL76,CH77+CI77+CJ77+Inputs!$D$6-CK76))</f>
        <v>0</v>
      </c>
      <c r="CH77" s="38">
        <f>Inputs!$D$27*(1+Inputs!$D$28)^($A77/12)*IF(Inputs!$B$72=1,$G77,1)*(1-Inputs!$C$72*$H77*(1-Inputs!$E$54*Inputs!$B$72))*(1+$I77)*IF(Inputs!$D$29=0,1,(MAX(CK76,0)/Inputs!$D$6)^Inputs!$D$29)</f>
        <v>6502.8407419957593</v>
      </c>
      <c r="CI77" s="38">
        <f>Inputs!$D$32*CK76/Inputs!$D$6</f>
        <v>3824.8357917743942</v>
      </c>
      <c r="CJ77" s="38">
        <f>Inputs!$D$33</f>
        <v>1500</v>
      </c>
      <c r="CK77" s="38">
        <f t="shared" si="82"/>
        <v>789566.48936181725</v>
      </c>
      <c r="CL77" s="38">
        <f t="shared" si="83"/>
        <v>0</v>
      </c>
      <c r="CM77" s="38">
        <f>Inputs!$D$19*(1-Inputs!$C$72*$H77)+Inputs!$D$21+Inputs!$B$72*$J77</f>
        <v>392150</v>
      </c>
      <c r="CN77" s="38">
        <f t="shared" si="84"/>
        <v>397416.48936181725</v>
      </c>
      <c r="CO77" s="38">
        <f t="shared" si="85"/>
        <v>0</v>
      </c>
      <c r="CP77" s="38">
        <f>MAX(0,MIN(Inputs!$B$36,CU76,CQ77+CR77+CS77+Inputs!$B$6-CT76))</f>
        <v>0</v>
      </c>
      <c r="CQ77" s="38">
        <f>Inputs!$B$27*(1+Inputs!$B$28)^($A77/12)*IF(Inputs!$B$73=1,$G77,1)*(1-Inputs!$C$73*$H77*(1-Inputs!$E$54*Inputs!$B$73))*(1+$I77)*IF(Inputs!$B$29=0,1,(MAX(CT76,0)/Inputs!$B$6)^Inputs!$B$29)</f>
        <v>16567.663158397205</v>
      </c>
      <c r="CR77" s="38">
        <f>Inputs!$B$32*CT76/Inputs!$B$6</f>
        <v>0</v>
      </c>
      <c r="CS77" s="38">
        <f>Inputs!$B$33</f>
        <v>2500</v>
      </c>
      <c r="CT77" s="38">
        <f t="shared" si="86"/>
        <v>0</v>
      </c>
      <c r="CU77" s="38">
        <f t="shared" si="87"/>
        <v>0</v>
      </c>
      <c r="CV77" s="38">
        <f>Inputs!$B$19*(1-Inputs!$C$73*$H77)+Inputs!$B$21+Inputs!$B$73*$J77</f>
        <v>583500</v>
      </c>
      <c r="CW77" s="38">
        <f t="shared" si="88"/>
        <v>-583500</v>
      </c>
      <c r="CX77" s="38">
        <f t="shared" si="89"/>
        <v>1</v>
      </c>
      <c r="CY77" s="38">
        <f>MAX(0,MIN(Inputs!$C$36,DD76,CZ77+DA77+DB77+Inputs!$C$6-DC76))</f>
        <v>0</v>
      </c>
      <c r="CZ77" s="38">
        <f>Inputs!$C$27*(1+Inputs!$C$28)^($A77/12)*IF(Inputs!$B$73=1,$G77,1)*(1-Inputs!$C$73*$H77*(1-Inputs!$E$54*Inputs!$B$73))*(1+$I77)*IF(Inputs!$C$29=0,1,(MAX(DC76,0)/Inputs!$C$6)^Inputs!$C$29)</f>
        <v>7104.6224697791249</v>
      </c>
      <c r="DA77" s="38">
        <f>Inputs!$C$32*DC76/Inputs!$C$6</f>
        <v>1526.4793373628763</v>
      </c>
      <c r="DB77" s="38">
        <f>Inputs!$C$33</f>
        <v>2000</v>
      </c>
      <c r="DC77" s="38">
        <f t="shared" si="90"/>
        <v>170284.96780623595</v>
      </c>
      <c r="DD77" s="38">
        <f t="shared" si="91"/>
        <v>0</v>
      </c>
      <c r="DE77" s="38">
        <f>Inputs!$C$19*(1-Inputs!$C$73*$H77)+Inputs!$C$21+Inputs!$B$73*$J77</f>
        <v>486000</v>
      </c>
      <c r="DF77" s="38">
        <f t="shared" si="92"/>
        <v>-315715.03219376405</v>
      </c>
      <c r="DG77" s="38">
        <f t="shared" si="93"/>
        <v>1</v>
      </c>
      <c r="DH77" s="38">
        <f>MAX(0,MIN(Inputs!$D$36,DM76,DI77+DJ77+DK77+Inputs!$D$6-DL76))</f>
        <v>0</v>
      </c>
      <c r="DI77" s="38">
        <f>Inputs!$D$27*(1+Inputs!$D$28)^($A77/12)*IF(Inputs!$B$73=1,$G77,1)*(1-Inputs!$C$73*$H77*(1-Inputs!$E$54*Inputs!$B$73))*(1+$I77)*IF(Inputs!$D$29=0,1,(MAX(DL76,0)/Inputs!$D$6)^Inputs!$D$29)</f>
        <v>5969.3549544256575</v>
      </c>
      <c r="DJ77" s="38">
        <f>Inputs!$D$32*DL76/Inputs!$D$6</f>
        <v>4077.1100060902977</v>
      </c>
      <c r="DK77" s="38">
        <f>Inputs!$D$33</f>
        <v>1500</v>
      </c>
      <c r="DL77" s="38">
        <f t="shared" si="94"/>
        <v>842705.15536316542</v>
      </c>
      <c r="DM77" s="38">
        <f t="shared" si="95"/>
        <v>0</v>
      </c>
      <c r="DN77" s="38">
        <f>Inputs!$D$19*(1-Inputs!$C$73*$H77)+Inputs!$D$21+Inputs!$B$73*$J77</f>
        <v>398150</v>
      </c>
      <c r="DO77" s="38">
        <f t="shared" si="96"/>
        <v>444555.15536316542</v>
      </c>
      <c r="DP77" s="38">
        <f t="shared" si="97"/>
        <v>0</v>
      </c>
    </row>
    <row r="78" spans="1:120" x14ac:dyDescent="0.35">
      <c r="A78" s="29">
        <v>73</v>
      </c>
      <c r="B78" s="34">
        <f>EDATE(Inputs!$B$67,$A78)</f>
        <v>48488</v>
      </c>
      <c r="C78" s="35">
        <f>IF(Inputs!$E$47&lt;=0,Inputs!$E$46,Inputs!$E$44+(Inputs!$E$46-Inputs!$E$44)*MIN($A78/Inputs!$E$47,1))</f>
        <v>0.7</v>
      </c>
      <c r="D78" s="35">
        <f>MIN(Inputs!$E$57,Inputs!$E$55*(1+Inputs!$E$56)^($A78/12))*Inputs!$E$58*(1+Inputs!$E$59)^($A78/12)/Inputs!$E$45</f>
        <v>1.5</v>
      </c>
      <c r="E78" s="35">
        <f>MAX(Inputs!$E$44,MIN(C78,D78))</f>
        <v>0.7</v>
      </c>
      <c r="F78" s="35">
        <f>IF(Inputs!$E$50&lt;=0,Inputs!$E$49,Inputs!$E$48+(Inputs!$E$49-Inputs!$E$48)*MIN($A78/Inputs!$E$50,1))</f>
        <v>0.12</v>
      </c>
      <c r="G78" s="36">
        <f>(Inputs!$E$41*(1-E78*Inputs!$E$51)+Inputs!$E$42*(1-F78*Inputs!$E$51))/(Inputs!$E$41*(1-Inputs!$E$44*Inputs!$E$51)+Inputs!$E$42*(1-Inputs!$E$48*Inputs!$E$51))</f>
        <v>0.8423127463863338</v>
      </c>
      <c r="H78" s="35">
        <f>IF(Inputs!$E$53&lt;=0,Inputs!$E$52,Inputs!$E$52*MIN($A78/Inputs!$E$53,1))</f>
        <v>0.1</v>
      </c>
      <c r="I78" s="35">
        <f>IF(Inputs!$E$64&lt;=0,Inputs!$E$63,Inputs!$E$62+(Inputs!$E$63-Inputs!$E$62)*MIN($A78/Inputs!$E$64,1))</f>
        <v>0.03</v>
      </c>
      <c r="J78" s="37">
        <f>(E78-Inputs!$E$44)*Inputs!$E$45/Inputs!$E$60*Inputs!$E$61</f>
        <v>5999.9999999999991</v>
      </c>
      <c r="K78" s="29">
        <f t="shared" si="49"/>
        <v>0</v>
      </c>
      <c r="L78" s="29"/>
      <c r="M78" s="38">
        <f>MAX(0,MIN(Inputs!$B$36,R77,N78+O78+P78+Inputs!$B$6-Q77))</f>
        <v>0</v>
      </c>
      <c r="N78" s="38">
        <f>Inputs!$B$27*(1+Inputs!$B$28)^($A78/12)*IF(Inputs!$B$70=1,$G78,1)*(1-Inputs!$C$70*$H78*(1-Inputs!$E$54*Inputs!$B$70))*(1+$I78)*IF(Inputs!$B$29=0,1,(MAX(Q77,0)/Inputs!$B$6)^Inputs!$B$29)</f>
        <v>20788.83025246859</v>
      </c>
      <c r="O78" s="38">
        <f>Inputs!$B$32*Q77/Inputs!$B$6</f>
        <v>0</v>
      </c>
      <c r="P78" s="38">
        <f>Inputs!$B$33</f>
        <v>2500</v>
      </c>
      <c r="Q78" s="38">
        <f t="shared" si="50"/>
        <v>0</v>
      </c>
      <c r="R78" s="38">
        <f t="shared" si="51"/>
        <v>0</v>
      </c>
      <c r="S78" s="38">
        <f>Inputs!$B$19*(1-Inputs!$C$70*$H78)+Inputs!$B$21+Inputs!$B$70*$J78</f>
        <v>595000</v>
      </c>
      <c r="T78" s="38">
        <f t="shared" si="52"/>
        <v>-595000</v>
      </c>
      <c r="U78" s="38">
        <f t="shared" si="53"/>
        <v>1</v>
      </c>
      <c r="V78" s="38">
        <f>MAX(0,MIN(Inputs!$C$36,AA77,W78+X78+Y78+Inputs!$C$6-Z77))</f>
        <v>0</v>
      </c>
      <c r="W78" s="38">
        <f>Inputs!$C$27*(1+Inputs!$C$28)^($A78/12)*IF(Inputs!$B$70=1,$G78,1)*(1-Inputs!$C$70*$H78*(1-Inputs!$E$54*Inputs!$B$70))*(1+$I78)*IF(Inputs!$C$29=0,1,(MAX(Z77,0)/Inputs!$C$6)^Inputs!$C$29)</f>
        <v>7416.252468809138</v>
      </c>
      <c r="X78" s="38">
        <f>Inputs!$C$32*Z77/Inputs!$C$6</f>
        <v>743.1095551637153</v>
      </c>
      <c r="Y78" s="38">
        <f>Inputs!$C$33</f>
        <v>2000</v>
      </c>
      <c r="Z78" s="38">
        <f t="shared" si="54"/>
        <v>77912.881550986014</v>
      </c>
      <c r="AA78" s="38">
        <f t="shared" si="55"/>
        <v>0</v>
      </c>
      <c r="AB78" s="38">
        <f>Inputs!$C$19*(1-Inputs!$C$70*$H78)+Inputs!$C$21+Inputs!$B$70*$J78</f>
        <v>495000</v>
      </c>
      <c r="AC78" s="38">
        <f t="shared" si="56"/>
        <v>-417087.11844901397</v>
      </c>
      <c r="AD78" s="38">
        <f t="shared" si="57"/>
        <v>1</v>
      </c>
      <c r="AE78" s="38">
        <f>MAX(0,MIN(Inputs!$D$36,AJ77,AF78+AG78+AH78+Inputs!$D$6-AI77))</f>
        <v>0</v>
      </c>
      <c r="AF78" s="38">
        <f>Inputs!$D$27*(1+Inputs!$D$28)^($A78/12)*IF(Inputs!$B$70=1,$G78,1)*(1-Inputs!$C$70*$H78*(1-Inputs!$E$54*Inputs!$B$70))*(1+$I78)*IF(Inputs!$D$29=0,1,(MAX(AI77,0)/Inputs!$D$6)^Inputs!$D$29)</f>
        <v>6966.5544095522946</v>
      </c>
      <c r="AG78" s="38">
        <f>Inputs!$D$32*AI77/Inputs!$D$6</f>
        <v>3586.2484757584198</v>
      </c>
      <c r="AH78" s="38">
        <f>Inputs!$D$33</f>
        <v>1500</v>
      </c>
      <c r="AI78" s="38">
        <f t="shared" si="58"/>
        <v>739351.63965454861</v>
      </c>
      <c r="AJ78" s="38">
        <f t="shared" si="59"/>
        <v>0</v>
      </c>
      <c r="AK78" s="38">
        <f>Inputs!$D$19*(1-Inputs!$C$70*$H78)+Inputs!$D$21+Inputs!$B$70*$J78</f>
        <v>404800</v>
      </c>
      <c r="AL78" s="38">
        <f t="shared" si="60"/>
        <v>334551.63965454861</v>
      </c>
      <c r="AM78" s="38">
        <f t="shared" si="61"/>
        <v>0</v>
      </c>
      <c r="AN78" s="38">
        <f>MAX(0,MIN(Inputs!$B$36,AS77,AO78+AP78+AQ78+Inputs!$B$6-AR77))</f>
        <v>0</v>
      </c>
      <c r="AO78" s="38">
        <f>Inputs!$B$27*(1+Inputs!$B$28)^($A78/12)*IF(Inputs!$B$71=1,$G78,1)*(1-Inputs!$C$71*$H78*(1-Inputs!$E$54*Inputs!$B$71))*(1+$I78)*IF(Inputs!$B$29=0,1,(MAX(AR77,0)/Inputs!$B$6)^Inputs!$B$29)</f>
        <v>17510.696704116115</v>
      </c>
      <c r="AP78" s="38">
        <f>Inputs!$B$32*AR77/Inputs!$B$6</f>
        <v>0</v>
      </c>
      <c r="AQ78" s="38">
        <f>Inputs!$B$33</f>
        <v>2500</v>
      </c>
      <c r="AR78" s="38">
        <f t="shared" si="62"/>
        <v>0</v>
      </c>
      <c r="AS78" s="38">
        <f t="shared" si="63"/>
        <v>0</v>
      </c>
      <c r="AT78" s="38">
        <f>Inputs!$B$19*(1-Inputs!$C$71*$H78)+Inputs!$B$21+Inputs!$B$71*$J78</f>
        <v>601000</v>
      </c>
      <c r="AU78" s="38">
        <f t="shared" si="64"/>
        <v>-601000</v>
      </c>
      <c r="AV78" s="38">
        <f t="shared" si="65"/>
        <v>1</v>
      </c>
      <c r="AW78" s="38">
        <f>MAX(0,MIN(Inputs!$C$36,BB77,AX78+AY78+AZ78+Inputs!$C$6-BA77))</f>
        <v>0</v>
      </c>
      <c r="AX78" s="38">
        <f>Inputs!$C$27*(1+Inputs!$C$28)^($A78/12)*IF(Inputs!$B$71=1,$G78,1)*(1-Inputs!$C$71*$H78*(1-Inputs!$E$54*Inputs!$B$71))*(1+$I78)*IF(Inputs!$C$29=0,1,(MAX(BA77,0)/Inputs!$C$6)^Inputs!$C$29)</f>
        <v>7185.1712216329852</v>
      </c>
      <c r="AY78" s="38">
        <f>Inputs!$C$32*BA77/Inputs!$C$6</f>
        <v>1300.678070469078</v>
      </c>
      <c r="AZ78" s="38">
        <f>Inputs!$C$33</f>
        <v>2000</v>
      </c>
      <c r="BA78" s="38">
        <f t="shared" si="66"/>
        <v>143668.58868941831</v>
      </c>
      <c r="BB78" s="38">
        <f t="shared" si="67"/>
        <v>0</v>
      </c>
      <c r="BC78" s="38">
        <f>Inputs!$C$19*(1-Inputs!$C$71*$H78)+Inputs!$C$21+Inputs!$B$71*$J78</f>
        <v>501000</v>
      </c>
      <c r="BD78" s="38">
        <f t="shared" si="68"/>
        <v>-357331.41131058172</v>
      </c>
      <c r="BE78" s="38">
        <f t="shared" si="69"/>
        <v>1</v>
      </c>
      <c r="BF78" s="38">
        <f>MAX(0,MIN(Inputs!$D$36,BK77,BG78+BH78+BI78+Inputs!$D$6-BJ77))</f>
        <v>0</v>
      </c>
      <c r="BG78" s="38">
        <f>Inputs!$D$27*(1+Inputs!$D$28)^($A78/12)*IF(Inputs!$B$71=1,$G78,1)*(1-Inputs!$C$71*$H78*(1-Inputs!$E$54*Inputs!$B$71))*(1+$I78)*IF(Inputs!$D$29=0,1,(MAX(BJ77,0)/Inputs!$D$6)^Inputs!$D$29)</f>
        <v>6151.2314310826478</v>
      </c>
      <c r="BH78" s="38">
        <f>Inputs!$D$32*BJ77/Inputs!$D$6</f>
        <v>3940.775536796883</v>
      </c>
      <c r="BI78" s="38">
        <f>Inputs!$D$33</f>
        <v>1500</v>
      </c>
      <c r="BJ78" s="38">
        <f t="shared" si="70"/>
        <v>814094.2959800387</v>
      </c>
      <c r="BK78" s="38">
        <f t="shared" si="71"/>
        <v>0</v>
      </c>
      <c r="BL78" s="38">
        <f>Inputs!$D$19*(1-Inputs!$C$71*$H78)+Inputs!$D$21+Inputs!$B$71*$J78</f>
        <v>410800</v>
      </c>
      <c r="BM78" s="38">
        <f t="shared" si="72"/>
        <v>403294.2959800387</v>
      </c>
      <c r="BN78" s="38">
        <f t="shared" si="73"/>
        <v>0</v>
      </c>
      <c r="BO78" s="38">
        <f>MAX(0,MIN(Inputs!$B$36,BT77,BP78+BQ78+BR78+Inputs!$B$6-BS77))</f>
        <v>0</v>
      </c>
      <c r="BP78" s="38">
        <f>Inputs!$B$27*(1+Inputs!$B$28)^($A78/12)*IF(Inputs!$B$72=1,$G78,1)*(1-Inputs!$C$72*$H78*(1-Inputs!$E$54*Inputs!$B$72))*(1+$I78)*IF(Inputs!$B$29=0,1,(MAX(BS77,0)/Inputs!$B$6)^Inputs!$B$29)</f>
        <v>18709.947227221732</v>
      </c>
      <c r="BQ78" s="38">
        <f>Inputs!$B$32*BS77/Inputs!$B$6</f>
        <v>0</v>
      </c>
      <c r="BR78" s="38">
        <f>Inputs!$B$33</f>
        <v>2500</v>
      </c>
      <c r="BS78" s="38">
        <f t="shared" si="74"/>
        <v>0</v>
      </c>
      <c r="BT78" s="38">
        <f t="shared" si="75"/>
        <v>0</v>
      </c>
      <c r="BU78" s="38">
        <f>Inputs!$B$19*(1-Inputs!$C$72*$H78)+Inputs!$B$21+Inputs!$B$72*$J78</f>
        <v>577500</v>
      </c>
      <c r="BV78" s="38">
        <f t="shared" si="76"/>
        <v>-577500</v>
      </c>
      <c r="BW78" s="38">
        <f t="shared" si="77"/>
        <v>1</v>
      </c>
      <c r="BX78" s="38">
        <f>MAX(0,MIN(Inputs!$C$36,CC77,BY78+BZ78+CA78+Inputs!$C$6-CB77))</f>
        <v>0</v>
      </c>
      <c r="BY78" s="38">
        <f>Inputs!$C$27*(1+Inputs!$C$28)^($A78/12)*IF(Inputs!$B$72=1,$G78,1)*(1-Inputs!$C$72*$H78*(1-Inputs!$E$54*Inputs!$B$72))*(1+$I78)*IF(Inputs!$C$29=0,1,(MAX(CB77,0)/Inputs!$C$6)^Inputs!$C$29)</f>
        <v>7248.9439154919537</v>
      </c>
      <c r="BZ78" s="38">
        <f>Inputs!$C$32*CB77/Inputs!$C$6</f>
        <v>1033.8171749169173</v>
      </c>
      <c r="CA78" s="38">
        <f>Inputs!$C$33</f>
        <v>2000</v>
      </c>
      <c r="CB78" s="38">
        <f t="shared" si="78"/>
        <v>112243.71889974433</v>
      </c>
      <c r="CC78" s="38">
        <f t="shared" si="79"/>
        <v>0</v>
      </c>
      <c r="CD78" s="38">
        <f>Inputs!$C$19*(1-Inputs!$C$72*$H78)+Inputs!$C$21+Inputs!$B$72*$J78</f>
        <v>480000</v>
      </c>
      <c r="CE78" s="38">
        <f t="shared" si="80"/>
        <v>-367756.28110025567</v>
      </c>
      <c r="CF78" s="38">
        <f t="shared" si="81"/>
        <v>1</v>
      </c>
      <c r="CG78" s="38">
        <f>MAX(0,MIN(Inputs!$D$36,CL77,CH78+CI78+CJ78+Inputs!$D$6-CK77))</f>
        <v>0</v>
      </c>
      <c r="CH78" s="38">
        <f>Inputs!$D$27*(1+Inputs!$D$28)^($A78/12)*IF(Inputs!$B$72=1,$G78,1)*(1-Inputs!$C$72*$H78*(1-Inputs!$E$54*Inputs!$B$72))*(1+$I78)*IF(Inputs!$D$29=0,1,(MAX(CK77,0)/Inputs!$D$6)^Inputs!$D$29)</f>
        <v>6427.1438091310538</v>
      </c>
      <c r="CI78" s="38">
        <f>Inputs!$D$32*CK77/Inputs!$D$6</f>
        <v>3768.3855174086734</v>
      </c>
      <c r="CJ78" s="38">
        <f>Inputs!$D$33</f>
        <v>1500</v>
      </c>
      <c r="CK78" s="38">
        <f t="shared" si="82"/>
        <v>777870.96003527753</v>
      </c>
      <c r="CL78" s="38">
        <f t="shared" si="83"/>
        <v>0</v>
      </c>
      <c r="CM78" s="38">
        <f>Inputs!$D$19*(1-Inputs!$C$72*$H78)+Inputs!$D$21+Inputs!$B$72*$J78</f>
        <v>392150</v>
      </c>
      <c r="CN78" s="38">
        <f t="shared" si="84"/>
        <v>385720.96003527753</v>
      </c>
      <c r="CO78" s="38">
        <f t="shared" si="85"/>
        <v>0</v>
      </c>
      <c r="CP78" s="38">
        <f>MAX(0,MIN(Inputs!$B$36,CU77,CQ78+CR78+CS78+Inputs!$B$6-CT77))</f>
        <v>0</v>
      </c>
      <c r="CQ78" s="38">
        <f>Inputs!$B$27*(1+Inputs!$B$28)^($A78/12)*IF(Inputs!$B$73=1,$G78,1)*(1-Inputs!$C$73*$H78*(1-Inputs!$E$54*Inputs!$B$73))*(1+$I78)*IF(Inputs!$B$29=0,1,(MAX(CT77,0)/Inputs!$B$6)^Inputs!$B$29)</f>
        <v>16635.161868910309</v>
      </c>
      <c r="CR78" s="38">
        <f>Inputs!$B$32*CT77/Inputs!$B$6</f>
        <v>0</v>
      </c>
      <c r="CS78" s="38">
        <f>Inputs!$B$33</f>
        <v>2500</v>
      </c>
      <c r="CT78" s="38">
        <f t="shared" si="86"/>
        <v>0</v>
      </c>
      <c r="CU78" s="38">
        <f t="shared" si="87"/>
        <v>0</v>
      </c>
      <c r="CV78" s="38">
        <f>Inputs!$B$19*(1-Inputs!$C$73*$H78)+Inputs!$B$21+Inputs!$B$73*$J78</f>
        <v>583500</v>
      </c>
      <c r="CW78" s="38">
        <f t="shared" si="88"/>
        <v>-583500</v>
      </c>
      <c r="CX78" s="38">
        <f t="shared" si="89"/>
        <v>1</v>
      </c>
      <c r="CY78" s="38">
        <f>MAX(0,MIN(Inputs!$C$36,DD77,CZ78+DA78+DB78+Inputs!$C$6-DC77))</f>
        <v>0</v>
      </c>
      <c r="CZ78" s="38">
        <f>Inputs!$C$27*(1+Inputs!$C$28)^($A78/12)*IF(Inputs!$B$73=1,$G78,1)*(1-Inputs!$C$73*$H78*(1-Inputs!$E$54*Inputs!$B$73))*(1+$I78)*IF(Inputs!$C$29=0,1,(MAX(DC77,0)/Inputs!$C$6)^Inputs!$C$29)</f>
        <v>6997.8688172589909</v>
      </c>
      <c r="DA78" s="38">
        <f>Inputs!$C$32*DC77/Inputs!$C$6</f>
        <v>1436.7794158651154</v>
      </c>
      <c r="DB78" s="38">
        <f>Inputs!$C$33</f>
        <v>2000</v>
      </c>
      <c r="DC78" s="38">
        <f t="shared" si="90"/>
        <v>159850.31957311183</v>
      </c>
      <c r="DD78" s="38">
        <f t="shared" si="91"/>
        <v>0</v>
      </c>
      <c r="DE78" s="38">
        <f>Inputs!$C$19*(1-Inputs!$C$73*$H78)+Inputs!$C$21+Inputs!$B$73*$J78</f>
        <v>486000</v>
      </c>
      <c r="DF78" s="38">
        <f t="shared" si="92"/>
        <v>-326149.68042688817</v>
      </c>
      <c r="DG78" s="38">
        <f t="shared" si="93"/>
        <v>1</v>
      </c>
      <c r="DH78" s="38">
        <f>MAX(0,MIN(Inputs!$D$36,DM77,DI78+DJ78+DK78+Inputs!$D$6-DL77))</f>
        <v>0</v>
      </c>
      <c r="DI78" s="38">
        <f>Inputs!$D$27*(1+Inputs!$D$28)^($A78/12)*IF(Inputs!$B$73=1,$G78,1)*(1-Inputs!$C$73*$H78*(1-Inputs!$E$54*Inputs!$B$73))*(1+$I78)*IF(Inputs!$D$29=0,1,(MAX(DL77,0)/Inputs!$D$6)^Inputs!$D$29)</f>
        <v>5903.5868617743317</v>
      </c>
      <c r="DJ78" s="38">
        <f>Inputs!$D$32*DL77/Inputs!$D$6</f>
        <v>4022.0018778696531</v>
      </c>
      <c r="DK78" s="38">
        <f>Inputs!$D$33</f>
        <v>1500</v>
      </c>
      <c r="DL78" s="38">
        <f t="shared" si="94"/>
        <v>831279.5666235215</v>
      </c>
      <c r="DM78" s="38">
        <f t="shared" si="95"/>
        <v>0</v>
      </c>
      <c r="DN78" s="38">
        <f>Inputs!$D$19*(1-Inputs!$C$73*$H78)+Inputs!$D$21+Inputs!$B$73*$J78</f>
        <v>398150</v>
      </c>
      <c r="DO78" s="38">
        <f t="shared" si="96"/>
        <v>433129.5666235215</v>
      </c>
      <c r="DP78" s="38">
        <f t="shared" si="97"/>
        <v>0</v>
      </c>
    </row>
    <row r="79" spans="1:120" x14ac:dyDescent="0.35">
      <c r="A79" s="29">
        <v>74</v>
      </c>
      <c r="B79" s="34">
        <f>EDATE(Inputs!$B$67,$A79)</f>
        <v>48519</v>
      </c>
      <c r="C79" s="35">
        <f>IF(Inputs!$E$47&lt;=0,Inputs!$E$46,Inputs!$E$44+(Inputs!$E$46-Inputs!$E$44)*MIN($A79/Inputs!$E$47,1))</f>
        <v>0.7</v>
      </c>
      <c r="D79" s="35">
        <f>MIN(Inputs!$E$57,Inputs!$E$55*(1+Inputs!$E$56)^($A79/12))*Inputs!$E$58*(1+Inputs!$E$59)^($A79/12)/Inputs!$E$45</f>
        <v>1.5</v>
      </c>
      <c r="E79" s="35">
        <f>MAX(Inputs!$E$44,MIN(C79,D79))</f>
        <v>0.7</v>
      </c>
      <c r="F79" s="35">
        <f>IF(Inputs!$E$50&lt;=0,Inputs!$E$49,Inputs!$E$48+(Inputs!$E$49-Inputs!$E$48)*MIN($A79/Inputs!$E$50,1))</f>
        <v>0.12</v>
      </c>
      <c r="G79" s="36">
        <f>(Inputs!$E$41*(1-E79*Inputs!$E$51)+Inputs!$E$42*(1-F79*Inputs!$E$51))/(Inputs!$E$41*(1-Inputs!$E$44*Inputs!$E$51)+Inputs!$E$42*(1-Inputs!$E$48*Inputs!$E$51))</f>
        <v>0.8423127463863338</v>
      </c>
      <c r="H79" s="35">
        <f>IF(Inputs!$E$53&lt;=0,Inputs!$E$52,Inputs!$E$52*MIN($A79/Inputs!$E$53,1))</f>
        <v>0.1</v>
      </c>
      <c r="I79" s="35">
        <f>IF(Inputs!$E$64&lt;=0,Inputs!$E$63,Inputs!$E$62+(Inputs!$E$63-Inputs!$E$62)*MIN($A79/Inputs!$E$64,1))</f>
        <v>0.03</v>
      </c>
      <c r="J79" s="37">
        <f>(E79-Inputs!$E$44)*Inputs!$E$45/Inputs!$E$60*Inputs!$E$61</f>
        <v>5999.9999999999991</v>
      </c>
      <c r="K79" s="29">
        <f t="shared" si="49"/>
        <v>0</v>
      </c>
      <c r="L79" s="29"/>
      <c r="M79" s="38">
        <f>MAX(0,MIN(Inputs!$B$36,R78,N79+O79+P79+Inputs!$B$6-Q78))</f>
        <v>0</v>
      </c>
      <c r="N79" s="38">
        <f>Inputs!$B$27*(1+Inputs!$B$28)^($A79/12)*IF(Inputs!$B$70=1,$G79,1)*(1-Inputs!$C$70*$H79*(1-Inputs!$E$54*Inputs!$B$70))*(1+$I79)*IF(Inputs!$B$29=0,1,(MAX(Q78,0)/Inputs!$B$6)^Inputs!$B$29)</f>
        <v>20873.526520234394</v>
      </c>
      <c r="O79" s="38">
        <f>Inputs!$B$32*Q78/Inputs!$B$6</f>
        <v>0</v>
      </c>
      <c r="P79" s="38">
        <f>Inputs!$B$33</f>
        <v>2500</v>
      </c>
      <c r="Q79" s="38">
        <f t="shared" si="50"/>
        <v>0</v>
      </c>
      <c r="R79" s="38">
        <f t="shared" si="51"/>
        <v>0</v>
      </c>
      <c r="S79" s="38">
        <f>Inputs!$B$19*(1-Inputs!$C$70*$H79)+Inputs!$B$21+Inputs!$B$70*$J79</f>
        <v>595000</v>
      </c>
      <c r="T79" s="38">
        <f t="shared" si="52"/>
        <v>-595000</v>
      </c>
      <c r="U79" s="38">
        <f t="shared" si="53"/>
        <v>1</v>
      </c>
      <c r="V79" s="38">
        <f>MAX(0,MIN(Inputs!$C$36,AA78,W79+X79+Y79+Inputs!$C$6-Z78))</f>
        <v>0</v>
      </c>
      <c r="W79" s="38">
        <f>Inputs!$C$27*(1+Inputs!$C$28)^($A79/12)*IF(Inputs!$B$70=1,$G79,1)*(1-Inputs!$C$70*$H79*(1-Inputs!$E$54*Inputs!$B$70))*(1+$I79)*IF(Inputs!$C$29=0,1,(MAX(Z78,0)/Inputs!$C$6)^Inputs!$C$29)</f>
        <v>7192.4534144235186</v>
      </c>
      <c r="X79" s="38">
        <f>Inputs!$C$32*Z78/Inputs!$C$6</f>
        <v>657.38993808644443</v>
      </c>
      <c r="Y79" s="38">
        <f>Inputs!$C$33</f>
        <v>2000</v>
      </c>
      <c r="Z79" s="38">
        <f t="shared" si="54"/>
        <v>68063.038198476046</v>
      </c>
      <c r="AA79" s="38">
        <f t="shared" si="55"/>
        <v>0</v>
      </c>
      <c r="AB79" s="38">
        <f>Inputs!$C$19*(1-Inputs!$C$70*$H79)+Inputs!$C$21+Inputs!$B$70*$J79</f>
        <v>495000</v>
      </c>
      <c r="AC79" s="38">
        <f t="shared" si="56"/>
        <v>-426936.96180152392</v>
      </c>
      <c r="AD79" s="38">
        <f t="shared" si="57"/>
        <v>1</v>
      </c>
      <c r="AE79" s="38">
        <f>MAX(0,MIN(Inputs!$D$36,AJ78,AF79+AG79+AH79+Inputs!$D$6-AI78))</f>
        <v>0</v>
      </c>
      <c r="AF79" s="38">
        <f>Inputs!$D$27*(1+Inputs!$D$28)^($A79/12)*IF(Inputs!$B$70=1,$G79,1)*(1-Inputs!$C$70*$H79*(1-Inputs!$E$54*Inputs!$B$70))*(1+$I79)*IF(Inputs!$D$29=0,1,(MAX(AI78,0)/Inputs!$D$6)^Inputs!$D$29)</f>
        <v>6880.9801986648981</v>
      </c>
      <c r="AG79" s="38">
        <f>Inputs!$D$32*AI78/Inputs!$D$6</f>
        <v>3528.7237347148912</v>
      </c>
      <c r="AH79" s="38">
        <f>Inputs!$D$33</f>
        <v>1500</v>
      </c>
      <c r="AI79" s="38">
        <f t="shared" si="58"/>
        <v>727441.93572116876</v>
      </c>
      <c r="AJ79" s="38">
        <f t="shared" si="59"/>
        <v>0</v>
      </c>
      <c r="AK79" s="38">
        <f>Inputs!$D$19*(1-Inputs!$C$70*$H79)+Inputs!$D$21+Inputs!$B$70*$J79</f>
        <v>404800</v>
      </c>
      <c r="AL79" s="38">
        <f t="shared" si="60"/>
        <v>322641.93572116876</v>
      </c>
      <c r="AM79" s="38">
        <f t="shared" si="61"/>
        <v>0</v>
      </c>
      <c r="AN79" s="38">
        <f>MAX(0,MIN(Inputs!$B$36,AS78,AO79+AP79+AQ79+Inputs!$B$6-AR78))</f>
        <v>0</v>
      </c>
      <c r="AO79" s="38">
        <f>Inputs!$B$27*(1+Inputs!$B$28)^($A79/12)*IF(Inputs!$B$71=1,$G79,1)*(1-Inputs!$C$71*$H79*(1-Inputs!$E$54*Inputs!$B$71))*(1+$I79)*IF(Inputs!$B$29=0,1,(MAX(AR78,0)/Inputs!$B$6)^Inputs!$B$29)</f>
        <v>17582.037450026608</v>
      </c>
      <c r="AP79" s="38">
        <f>Inputs!$B$32*AR78/Inputs!$B$6</f>
        <v>0</v>
      </c>
      <c r="AQ79" s="38">
        <f>Inputs!$B$33</f>
        <v>2500</v>
      </c>
      <c r="AR79" s="38">
        <f t="shared" si="62"/>
        <v>0</v>
      </c>
      <c r="AS79" s="38">
        <f t="shared" si="63"/>
        <v>0</v>
      </c>
      <c r="AT79" s="38">
        <f>Inputs!$B$19*(1-Inputs!$C$71*$H79)+Inputs!$B$21+Inputs!$B$71*$J79</f>
        <v>601000</v>
      </c>
      <c r="AU79" s="38">
        <f t="shared" si="64"/>
        <v>-601000</v>
      </c>
      <c r="AV79" s="38">
        <f t="shared" si="65"/>
        <v>1</v>
      </c>
      <c r="AW79" s="38">
        <f>MAX(0,MIN(Inputs!$C$36,BB78,AX79+AY79+AZ79+Inputs!$C$6-BA78))</f>
        <v>0</v>
      </c>
      <c r="AX79" s="38">
        <f>Inputs!$C$27*(1+Inputs!$C$28)^($A79/12)*IF(Inputs!$B$71=1,$G79,1)*(1-Inputs!$C$71*$H79*(1-Inputs!$E$54*Inputs!$B$71))*(1+$I79)*IF(Inputs!$C$29=0,1,(MAX(BA78,0)/Inputs!$C$6)^Inputs!$C$29)</f>
        <v>7059.7377760689324</v>
      </c>
      <c r="AY79" s="38">
        <f>Inputs!$C$32*BA78/Inputs!$C$6</f>
        <v>1212.2037170669666</v>
      </c>
      <c r="AZ79" s="38">
        <f>Inputs!$C$33</f>
        <v>2000</v>
      </c>
      <c r="BA79" s="38">
        <f t="shared" si="66"/>
        <v>133396.6471962824</v>
      </c>
      <c r="BB79" s="38">
        <f t="shared" si="67"/>
        <v>0</v>
      </c>
      <c r="BC79" s="38">
        <f>Inputs!$C$19*(1-Inputs!$C$71*$H79)+Inputs!$C$21+Inputs!$B$71*$J79</f>
        <v>501000</v>
      </c>
      <c r="BD79" s="38">
        <f t="shared" si="68"/>
        <v>-367603.3528037176</v>
      </c>
      <c r="BE79" s="38">
        <f t="shared" si="69"/>
        <v>1</v>
      </c>
      <c r="BF79" s="38">
        <f>MAX(0,MIN(Inputs!$D$36,BK78,BG79+BH79+BI79+Inputs!$D$6-BJ78))</f>
        <v>0</v>
      </c>
      <c r="BG79" s="38">
        <f>Inputs!$D$27*(1+Inputs!$D$28)^($A79/12)*IF(Inputs!$B$71=1,$G79,1)*(1-Inputs!$C$71*$H79*(1-Inputs!$E$54*Inputs!$B$71))*(1+$I79)*IF(Inputs!$D$29=0,1,(MAX(BJ78,0)/Inputs!$D$6)^Inputs!$D$29)</f>
        <v>6081.8473655518164</v>
      </c>
      <c r="BH79" s="38">
        <f>Inputs!$D$32*BJ78/Inputs!$D$6</f>
        <v>3885.4500489956395</v>
      </c>
      <c r="BI79" s="38">
        <f>Inputs!$D$33</f>
        <v>1500</v>
      </c>
      <c r="BJ79" s="38">
        <f t="shared" si="70"/>
        <v>802626.99856549117</v>
      </c>
      <c r="BK79" s="38">
        <f t="shared" si="71"/>
        <v>0</v>
      </c>
      <c r="BL79" s="38">
        <f>Inputs!$D$19*(1-Inputs!$C$71*$H79)+Inputs!$D$21+Inputs!$B$71*$J79</f>
        <v>410800</v>
      </c>
      <c r="BM79" s="38">
        <f t="shared" si="72"/>
        <v>391826.99856549117</v>
      </c>
      <c r="BN79" s="38">
        <f t="shared" si="73"/>
        <v>0</v>
      </c>
      <c r="BO79" s="38">
        <f>MAX(0,MIN(Inputs!$B$36,BT78,BP79+BQ79+BR79+Inputs!$B$6-BS78))</f>
        <v>0</v>
      </c>
      <c r="BP79" s="38">
        <f>Inputs!$B$27*(1+Inputs!$B$28)^($A79/12)*IF(Inputs!$B$72=1,$G79,1)*(1-Inputs!$C$72*$H79*(1-Inputs!$E$54*Inputs!$B$72))*(1+$I79)*IF(Inputs!$B$29=0,1,(MAX(BS78,0)/Inputs!$B$6)^Inputs!$B$29)</f>
        <v>18786.173868210957</v>
      </c>
      <c r="BQ79" s="38">
        <f>Inputs!$B$32*BS78/Inputs!$B$6</f>
        <v>0</v>
      </c>
      <c r="BR79" s="38">
        <f>Inputs!$B$33</f>
        <v>2500</v>
      </c>
      <c r="BS79" s="38">
        <f t="shared" si="74"/>
        <v>0</v>
      </c>
      <c r="BT79" s="38">
        <f t="shared" si="75"/>
        <v>0</v>
      </c>
      <c r="BU79" s="38">
        <f>Inputs!$B$19*(1-Inputs!$C$72*$H79)+Inputs!$B$21+Inputs!$B$72*$J79</f>
        <v>577500</v>
      </c>
      <c r="BV79" s="38">
        <f t="shared" si="76"/>
        <v>-577500</v>
      </c>
      <c r="BW79" s="38">
        <f t="shared" si="77"/>
        <v>1</v>
      </c>
      <c r="BX79" s="38">
        <f>MAX(0,MIN(Inputs!$C$36,CC78,BY79+BZ79+CA79+Inputs!$C$6-CB78))</f>
        <v>0</v>
      </c>
      <c r="BY79" s="38">
        <f>Inputs!$C$27*(1+Inputs!$C$28)^($A79/12)*IF(Inputs!$B$72=1,$G79,1)*(1-Inputs!$C$72*$H79*(1-Inputs!$E$54*Inputs!$B$72))*(1+$I79)*IF(Inputs!$C$29=0,1,(MAX(CB78,0)/Inputs!$C$6)^Inputs!$C$29)</f>
        <v>7091.8209501092306</v>
      </c>
      <c r="BZ79" s="38">
        <f>Inputs!$C$32*CB78/Inputs!$C$6</f>
        <v>947.05637821659263</v>
      </c>
      <c r="CA79" s="38">
        <f>Inputs!$C$33</f>
        <v>2000</v>
      </c>
      <c r="CB79" s="38">
        <f t="shared" si="78"/>
        <v>102204.8415714185</v>
      </c>
      <c r="CC79" s="38">
        <f t="shared" si="79"/>
        <v>0</v>
      </c>
      <c r="CD79" s="38">
        <f>Inputs!$C$19*(1-Inputs!$C$72*$H79)+Inputs!$C$21+Inputs!$B$72*$J79</f>
        <v>480000</v>
      </c>
      <c r="CE79" s="38">
        <f t="shared" si="80"/>
        <v>-377795.15842858149</v>
      </c>
      <c r="CF79" s="38">
        <f t="shared" si="81"/>
        <v>1</v>
      </c>
      <c r="CG79" s="38">
        <f>MAX(0,MIN(Inputs!$D$36,CL78,CH79+CI79+CJ79+Inputs!$D$6-CK78))</f>
        <v>0</v>
      </c>
      <c r="CH79" s="38">
        <f>Inputs!$D$27*(1+Inputs!$D$28)^($A79/12)*IF(Inputs!$B$72=1,$G79,1)*(1-Inputs!$C$72*$H79*(1-Inputs!$E$54*Inputs!$B$72))*(1+$I79)*IF(Inputs!$D$29=0,1,(MAX(CK78,0)/Inputs!$D$6)^Inputs!$D$29)</f>
        <v>6352.1548497743124</v>
      </c>
      <c r="CI79" s="38">
        <f>Inputs!$D$32*CK78/Inputs!$D$6</f>
        <v>3712.5659456229155</v>
      </c>
      <c r="CJ79" s="38">
        <f>Inputs!$D$33</f>
        <v>1500</v>
      </c>
      <c r="CK79" s="38">
        <f t="shared" si="82"/>
        <v>766306.23923988035</v>
      </c>
      <c r="CL79" s="38">
        <f t="shared" si="83"/>
        <v>0</v>
      </c>
      <c r="CM79" s="38">
        <f>Inputs!$D$19*(1-Inputs!$C$72*$H79)+Inputs!$D$21+Inputs!$B$72*$J79</f>
        <v>392150</v>
      </c>
      <c r="CN79" s="38">
        <f t="shared" si="84"/>
        <v>374156.23923988035</v>
      </c>
      <c r="CO79" s="38">
        <f t="shared" si="85"/>
        <v>0</v>
      </c>
      <c r="CP79" s="38">
        <f>MAX(0,MIN(Inputs!$B$36,CU78,CQ79+CR79+CS79+Inputs!$B$6-CT78))</f>
        <v>0</v>
      </c>
      <c r="CQ79" s="38">
        <f>Inputs!$B$27*(1+Inputs!$B$28)^($A79/12)*IF(Inputs!$B$73=1,$G79,1)*(1-Inputs!$C$73*$H79*(1-Inputs!$E$54*Inputs!$B$73))*(1+$I79)*IF(Inputs!$B$29=0,1,(MAX(CT78,0)/Inputs!$B$6)^Inputs!$B$29)</f>
        <v>16702.935577525277</v>
      </c>
      <c r="CR79" s="38">
        <f>Inputs!$B$32*CT78/Inputs!$B$6</f>
        <v>0</v>
      </c>
      <c r="CS79" s="38">
        <f>Inputs!$B$33</f>
        <v>2500</v>
      </c>
      <c r="CT79" s="38">
        <f t="shared" si="86"/>
        <v>0</v>
      </c>
      <c r="CU79" s="38">
        <f t="shared" si="87"/>
        <v>0</v>
      </c>
      <c r="CV79" s="38">
        <f>Inputs!$B$19*(1-Inputs!$C$73*$H79)+Inputs!$B$21+Inputs!$B$73*$J79</f>
        <v>583500</v>
      </c>
      <c r="CW79" s="38">
        <f t="shared" si="88"/>
        <v>-583500</v>
      </c>
      <c r="CX79" s="38">
        <f t="shared" si="89"/>
        <v>1</v>
      </c>
      <c r="CY79" s="38">
        <f>MAX(0,MIN(Inputs!$C$36,DD78,CZ79+DA79+DB79+Inputs!$C$6-DC78))</f>
        <v>0</v>
      </c>
      <c r="CZ79" s="38">
        <f>Inputs!$C$27*(1+Inputs!$C$28)^($A79/12)*IF(Inputs!$B$73=1,$G79,1)*(1-Inputs!$C$73*$H79*(1-Inputs!$E$54*Inputs!$B$73))*(1+$I79)*IF(Inputs!$C$29=0,1,(MAX(DC78,0)/Inputs!$C$6)^Inputs!$C$29)</f>
        <v>6888.1103525424123</v>
      </c>
      <c r="DA79" s="38">
        <f>Inputs!$C$32*DC78/Inputs!$C$6</f>
        <v>1348.7370713981309</v>
      </c>
      <c r="DB79" s="38">
        <f>Inputs!$C$33</f>
        <v>2000</v>
      </c>
      <c r="DC79" s="38">
        <f t="shared" si="90"/>
        <v>149613.47214917128</v>
      </c>
      <c r="DD79" s="38">
        <f t="shared" si="91"/>
        <v>0</v>
      </c>
      <c r="DE79" s="38">
        <f>Inputs!$C$19*(1-Inputs!$C$73*$H79)+Inputs!$C$21+Inputs!$B$73*$J79</f>
        <v>486000</v>
      </c>
      <c r="DF79" s="38">
        <f t="shared" si="92"/>
        <v>-336386.52785082872</v>
      </c>
      <c r="DG79" s="38">
        <f t="shared" si="93"/>
        <v>1</v>
      </c>
      <c r="DH79" s="38">
        <f>MAX(0,MIN(Inputs!$D$36,DM78,DI79+DJ79+DK79+Inputs!$D$6-DL78))</f>
        <v>0</v>
      </c>
      <c r="DI79" s="38">
        <f>Inputs!$D$27*(1+Inputs!$D$28)^($A79/12)*IF(Inputs!$B$73=1,$G79,1)*(1-Inputs!$C$73*$H79*(1-Inputs!$E$54*Inputs!$B$73))*(1+$I79)*IF(Inputs!$D$29=0,1,(MAX(DL78,0)/Inputs!$D$6)^Inputs!$D$29)</f>
        <v>5838.4197971814128</v>
      </c>
      <c r="DJ79" s="38">
        <f>Inputs!$D$32*DL78/Inputs!$D$6</f>
        <v>3967.470658884989</v>
      </c>
      <c r="DK79" s="38">
        <f>Inputs!$D$33</f>
        <v>1500</v>
      </c>
      <c r="DL79" s="38">
        <f t="shared" si="94"/>
        <v>819973.67616745515</v>
      </c>
      <c r="DM79" s="38">
        <f t="shared" si="95"/>
        <v>0</v>
      </c>
      <c r="DN79" s="38">
        <f>Inputs!$D$19*(1-Inputs!$C$73*$H79)+Inputs!$D$21+Inputs!$B$73*$J79</f>
        <v>398150</v>
      </c>
      <c r="DO79" s="38">
        <f t="shared" si="96"/>
        <v>421823.67616745515</v>
      </c>
      <c r="DP79" s="38">
        <f t="shared" si="97"/>
        <v>0</v>
      </c>
    </row>
    <row r="80" spans="1:120" x14ac:dyDescent="0.35">
      <c r="A80" s="29">
        <v>75</v>
      </c>
      <c r="B80" s="34">
        <f>EDATE(Inputs!$B$67,$A80)</f>
        <v>48549</v>
      </c>
      <c r="C80" s="35">
        <f>IF(Inputs!$E$47&lt;=0,Inputs!$E$46,Inputs!$E$44+(Inputs!$E$46-Inputs!$E$44)*MIN($A80/Inputs!$E$47,1))</f>
        <v>0.7</v>
      </c>
      <c r="D80" s="35">
        <f>MIN(Inputs!$E$57,Inputs!$E$55*(1+Inputs!$E$56)^($A80/12))*Inputs!$E$58*(1+Inputs!$E$59)^($A80/12)/Inputs!$E$45</f>
        <v>1.5</v>
      </c>
      <c r="E80" s="35">
        <f>MAX(Inputs!$E$44,MIN(C80,D80))</f>
        <v>0.7</v>
      </c>
      <c r="F80" s="35">
        <f>IF(Inputs!$E$50&lt;=0,Inputs!$E$49,Inputs!$E$48+(Inputs!$E$49-Inputs!$E$48)*MIN($A80/Inputs!$E$50,1))</f>
        <v>0.12</v>
      </c>
      <c r="G80" s="36">
        <f>(Inputs!$E$41*(1-E80*Inputs!$E$51)+Inputs!$E$42*(1-F80*Inputs!$E$51))/(Inputs!$E$41*(1-Inputs!$E$44*Inputs!$E$51)+Inputs!$E$42*(1-Inputs!$E$48*Inputs!$E$51))</f>
        <v>0.8423127463863338</v>
      </c>
      <c r="H80" s="35">
        <f>IF(Inputs!$E$53&lt;=0,Inputs!$E$52,Inputs!$E$52*MIN($A80/Inputs!$E$53,1))</f>
        <v>0.1</v>
      </c>
      <c r="I80" s="35">
        <f>IF(Inputs!$E$64&lt;=0,Inputs!$E$63,Inputs!$E$62+(Inputs!$E$63-Inputs!$E$62)*MIN($A80/Inputs!$E$64,1))</f>
        <v>0.03</v>
      </c>
      <c r="J80" s="37">
        <f>(E80-Inputs!$E$44)*Inputs!$E$45/Inputs!$E$60*Inputs!$E$61</f>
        <v>5999.9999999999991</v>
      </c>
      <c r="K80" s="29">
        <f t="shared" si="49"/>
        <v>0</v>
      </c>
      <c r="L80" s="29"/>
      <c r="M80" s="38">
        <f>MAX(0,MIN(Inputs!$B$36,R79,N80+O80+P80+Inputs!$B$6-Q79))</f>
        <v>0</v>
      </c>
      <c r="N80" s="38">
        <f>Inputs!$B$27*(1+Inputs!$B$28)^($A80/12)*IF(Inputs!$B$70=1,$G80,1)*(1-Inputs!$C$70*$H80*(1-Inputs!$E$54*Inputs!$B$70))*(1+$I80)*IF(Inputs!$B$29=0,1,(MAX(Q79,0)/Inputs!$B$6)^Inputs!$B$29)</f>
        <v>20958.5678510791</v>
      </c>
      <c r="O80" s="38">
        <f>Inputs!$B$32*Q79/Inputs!$B$6</f>
        <v>0</v>
      </c>
      <c r="P80" s="38">
        <f>Inputs!$B$33</f>
        <v>2500</v>
      </c>
      <c r="Q80" s="38">
        <f t="shared" si="50"/>
        <v>0</v>
      </c>
      <c r="R80" s="38">
        <f t="shared" si="51"/>
        <v>0</v>
      </c>
      <c r="S80" s="38">
        <f>Inputs!$B$19*(1-Inputs!$C$70*$H80)+Inputs!$B$21+Inputs!$B$70*$J80</f>
        <v>595000</v>
      </c>
      <c r="T80" s="38">
        <f t="shared" si="52"/>
        <v>-595000</v>
      </c>
      <c r="U80" s="38">
        <f t="shared" si="53"/>
        <v>1</v>
      </c>
      <c r="V80" s="38">
        <f>MAX(0,MIN(Inputs!$C$36,AA79,W80+X80+Y80+Inputs!$C$6-Z79))</f>
        <v>0</v>
      </c>
      <c r="W80" s="38">
        <f>Inputs!$C$27*(1+Inputs!$C$28)^($A80/12)*IF(Inputs!$B$70=1,$G80,1)*(1-Inputs!$C$70*$H80*(1-Inputs!$E$54*Inputs!$B$70))*(1+$I80)*IF(Inputs!$C$29=0,1,(MAX(Z79,0)/Inputs!$C$6)^Inputs!$C$29)</f>
        <v>6953.4858268043909</v>
      </c>
      <c r="X80" s="38">
        <f>Inputs!$C$32*Z79/Inputs!$C$6</f>
        <v>574.2818847996416</v>
      </c>
      <c r="Y80" s="38">
        <f>Inputs!$C$33</f>
        <v>2000</v>
      </c>
      <c r="Z80" s="38">
        <f t="shared" si="54"/>
        <v>58535.270486872017</v>
      </c>
      <c r="AA80" s="38">
        <f t="shared" si="55"/>
        <v>0</v>
      </c>
      <c r="AB80" s="38">
        <f>Inputs!$C$19*(1-Inputs!$C$70*$H80)+Inputs!$C$21+Inputs!$B$70*$J80</f>
        <v>495000</v>
      </c>
      <c r="AC80" s="38">
        <f t="shared" si="56"/>
        <v>-436464.729513128</v>
      </c>
      <c r="AD80" s="38">
        <f t="shared" si="57"/>
        <v>1</v>
      </c>
      <c r="AE80" s="38">
        <f>MAX(0,MIN(Inputs!$D$36,AJ79,AF80+AG80+AH80+Inputs!$D$6-AI79))</f>
        <v>0</v>
      </c>
      <c r="AF80" s="38">
        <f>Inputs!$D$27*(1+Inputs!$D$28)^($A80/12)*IF(Inputs!$B$70=1,$G80,1)*(1-Inputs!$C$70*$H80*(1-Inputs!$E$54*Inputs!$B$70))*(1+$I80)*IF(Inputs!$D$29=0,1,(MAX(AI79,0)/Inputs!$D$6)^Inputs!$D$29)</f>
        <v>6796.2224977293963</v>
      </c>
      <c r="AG80" s="38">
        <f>Inputs!$D$32*AI79/Inputs!$D$6</f>
        <v>3471.8819659419419</v>
      </c>
      <c r="AH80" s="38">
        <f>Inputs!$D$33</f>
        <v>1500</v>
      </c>
      <c r="AI80" s="38">
        <f t="shared" si="58"/>
        <v>715673.83125749743</v>
      </c>
      <c r="AJ80" s="38">
        <f t="shared" si="59"/>
        <v>0</v>
      </c>
      <c r="AK80" s="38">
        <f>Inputs!$D$19*(1-Inputs!$C$70*$H80)+Inputs!$D$21+Inputs!$B$70*$J80</f>
        <v>404800</v>
      </c>
      <c r="AL80" s="38">
        <f t="shared" si="60"/>
        <v>310873.83125749743</v>
      </c>
      <c r="AM80" s="38">
        <f t="shared" si="61"/>
        <v>0</v>
      </c>
      <c r="AN80" s="38">
        <f>MAX(0,MIN(Inputs!$B$36,AS79,AO80+AP80+AQ80+Inputs!$B$6-AR79))</f>
        <v>0</v>
      </c>
      <c r="AO80" s="38">
        <f>Inputs!$B$27*(1+Inputs!$B$28)^($A80/12)*IF(Inputs!$B$71=1,$G80,1)*(1-Inputs!$C$71*$H80*(1-Inputs!$E$54*Inputs!$B$71))*(1+$I80)*IF(Inputs!$B$29=0,1,(MAX(AR79,0)/Inputs!$B$6)^Inputs!$B$29)</f>
        <v>17653.668846966757</v>
      </c>
      <c r="AP80" s="38">
        <f>Inputs!$B$32*AR79/Inputs!$B$6</f>
        <v>0</v>
      </c>
      <c r="AQ80" s="38">
        <f>Inputs!$B$33</f>
        <v>2500</v>
      </c>
      <c r="AR80" s="38">
        <f t="shared" si="62"/>
        <v>0</v>
      </c>
      <c r="AS80" s="38">
        <f t="shared" si="63"/>
        <v>0</v>
      </c>
      <c r="AT80" s="38">
        <f>Inputs!$B$19*(1-Inputs!$C$71*$H80)+Inputs!$B$21+Inputs!$B$71*$J80</f>
        <v>601000</v>
      </c>
      <c r="AU80" s="38">
        <f t="shared" si="64"/>
        <v>-601000</v>
      </c>
      <c r="AV80" s="38">
        <f t="shared" si="65"/>
        <v>1</v>
      </c>
      <c r="AW80" s="38">
        <f>MAX(0,MIN(Inputs!$C$36,BB79,AX80+AY80+AZ80+Inputs!$C$6-BA79))</f>
        <v>0</v>
      </c>
      <c r="AX80" s="38">
        <f>Inputs!$C$27*(1+Inputs!$C$28)^($A80/12)*IF(Inputs!$B$71=1,$G80,1)*(1-Inputs!$C$71*$H80*(1-Inputs!$E$54*Inputs!$B$71))*(1+$I80)*IF(Inputs!$C$29=0,1,(MAX(BA79,0)/Inputs!$C$6)^Inputs!$C$29)</f>
        <v>6930.0176744062546</v>
      </c>
      <c r="AY80" s="38">
        <f>Inputs!$C$32*BA79/Inputs!$C$6</f>
        <v>1125.5342107186327</v>
      </c>
      <c r="AZ80" s="38">
        <f>Inputs!$C$33</f>
        <v>2000</v>
      </c>
      <c r="BA80" s="38">
        <f t="shared" si="66"/>
        <v>123341.09531115752</v>
      </c>
      <c r="BB80" s="38">
        <f t="shared" si="67"/>
        <v>0</v>
      </c>
      <c r="BC80" s="38">
        <f>Inputs!$C$19*(1-Inputs!$C$71*$H80)+Inputs!$C$21+Inputs!$B$71*$J80</f>
        <v>501000</v>
      </c>
      <c r="BD80" s="38">
        <f t="shared" si="68"/>
        <v>-377658.90468884248</v>
      </c>
      <c r="BE80" s="38">
        <f t="shared" si="69"/>
        <v>1</v>
      </c>
      <c r="BF80" s="38">
        <f>MAX(0,MIN(Inputs!$D$36,BK79,BG80+BH80+BI80+Inputs!$D$6-BJ79))</f>
        <v>0</v>
      </c>
      <c r="BG80" s="38">
        <f>Inputs!$D$27*(1+Inputs!$D$28)^($A80/12)*IF(Inputs!$B$71=1,$G80,1)*(1-Inputs!$C$71*$H80*(1-Inputs!$E$54*Inputs!$B$71))*(1+$I80)*IF(Inputs!$D$29=0,1,(MAX(BJ79,0)/Inputs!$D$6)^Inputs!$D$29)</f>
        <v>6013.1034644922056</v>
      </c>
      <c r="BH80" s="38">
        <f>Inputs!$D$32*BJ79/Inputs!$D$6</f>
        <v>3830.7197658807531</v>
      </c>
      <c r="BI80" s="38">
        <f>Inputs!$D$33</f>
        <v>1500</v>
      </c>
      <c r="BJ80" s="38">
        <f t="shared" si="70"/>
        <v>791283.1753351182</v>
      </c>
      <c r="BK80" s="38">
        <f t="shared" si="71"/>
        <v>0</v>
      </c>
      <c r="BL80" s="38">
        <f>Inputs!$D$19*(1-Inputs!$C$71*$H80)+Inputs!$D$21+Inputs!$B$71*$J80</f>
        <v>410800</v>
      </c>
      <c r="BM80" s="38">
        <f t="shared" si="72"/>
        <v>380483.1753351182</v>
      </c>
      <c r="BN80" s="38">
        <f t="shared" si="73"/>
        <v>0</v>
      </c>
      <c r="BO80" s="38">
        <f>MAX(0,MIN(Inputs!$B$36,BT79,BP80+BQ80+BR80+Inputs!$B$6-BS79))</f>
        <v>0</v>
      </c>
      <c r="BP80" s="38">
        <f>Inputs!$B$27*(1+Inputs!$B$28)^($A80/12)*IF(Inputs!$B$72=1,$G80,1)*(1-Inputs!$C$72*$H80*(1-Inputs!$E$54*Inputs!$B$72))*(1+$I80)*IF(Inputs!$B$29=0,1,(MAX(BS79,0)/Inputs!$B$6)^Inputs!$B$29)</f>
        <v>18862.711065971191</v>
      </c>
      <c r="BQ80" s="38">
        <f>Inputs!$B$32*BS79/Inputs!$B$6</f>
        <v>0</v>
      </c>
      <c r="BR80" s="38">
        <f>Inputs!$B$33</f>
        <v>2500</v>
      </c>
      <c r="BS80" s="38">
        <f t="shared" si="74"/>
        <v>0</v>
      </c>
      <c r="BT80" s="38">
        <f t="shared" si="75"/>
        <v>0</v>
      </c>
      <c r="BU80" s="38">
        <f>Inputs!$B$19*(1-Inputs!$C$72*$H80)+Inputs!$B$21+Inputs!$B$72*$J80</f>
        <v>577500</v>
      </c>
      <c r="BV80" s="38">
        <f t="shared" si="76"/>
        <v>-577500</v>
      </c>
      <c r="BW80" s="38">
        <f t="shared" si="77"/>
        <v>1</v>
      </c>
      <c r="BX80" s="38">
        <f>MAX(0,MIN(Inputs!$C$36,CC79,BY80+BZ80+CA80+Inputs!$C$6-CB79))</f>
        <v>0</v>
      </c>
      <c r="BY80" s="38">
        <f>Inputs!$C$27*(1+Inputs!$C$28)^($A80/12)*IF(Inputs!$B$72=1,$G80,1)*(1-Inputs!$C$72*$H80*(1-Inputs!$E$54*Inputs!$B$72))*(1+$I80)*IF(Inputs!$C$29=0,1,(MAX(CB79,0)/Inputs!$C$6)^Inputs!$C$29)</f>
        <v>6927.6369147739451</v>
      </c>
      <c r="BZ80" s="38">
        <f>Inputs!$C$32*CB79/Inputs!$C$6</f>
        <v>862.35335075884348</v>
      </c>
      <c r="CA80" s="38">
        <f>Inputs!$C$33</f>
        <v>2000</v>
      </c>
      <c r="CB80" s="38">
        <f t="shared" si="78"/>
        <v>92414.851305885706</v>
      </c>
      <c r="CC80" s="38">
        <f t="shared" si="79"/>
        <v>0</v>
      </c>
      <c r="CD80" s="38">
        <f>Inputs!$C$19*(1-Inputs!$C$72*$H80)+Inputs!$C$21+Inputs!$B$72*$J80</f>
        <v>480000</v>
      </c>
      <c r="CE80" s="38">
        <f t="shared" si="80"/>
        <v>-387585.14869411429</v>
      </c>
      <c r="CF80" s="38">
        <f t="shared" si="81"/>
        <v>1</v>
      </c>
      <c r="CG80" s="38">
        <f>MAX(0,MIN(Inputs!$D$36,CL79,CH80+CI80+CJ80+Inputs!$D$6-CK79))</f>
        <v>0</v>
      </c>
      <c r="CH80" s="38">
        <f>Inputs!$D$27*(1+Inputs!$D$28)^($A80/12)*IF(Inputs!$B$72=1,$G80,1)*(1-Inputs!$C$72*$H80*(1-Inputs!$E$54*Inputs!$B$72))*(1+$I80)*IF(Inputs!$D$29=0,1,(MAX(CK79,0)/Inputs!$D$6)^Inputs!$D$29)</f>
        <v>6277.8670175967763</v>
      </c>
      <c r="CI80" s="38">
        <f>Inputs!$D$32*CK79/Inputs!$D$6</f>
        <v>3657.3706872812472</v>
      </c>
      <c r="CJ80" s="38">
        <f>Inputs!$D$33</f>
        <v>1500</v>
      </c>
      <c r="CK80" s="38">
        <f t="shared" si="82"/>
        <v>754871.00153500238</v>
      </c>
      <c r="CL80" s="38">
        <f t="shared" si="83"/>
        <v>0</v>
      </c>
      <c r="CM80" s="38">
        <f>Inputs!$D$19*(1-Inputs!$C$72*$H80)+Inputs!$D$21+Inputs!$B$72*$J80</f>
        <v>392150</v>
      </c>
      <c r="CN80" s="38">
        <f t="shared" si="84"/>
        <v>362721.00153500238</v>
      </c>
      <c r="CO80" s="38">
        <f t="shared" si="85"/>
        <v>0</v>
      </c>
      <c r="CP80" s="38">
        <f>MAX(0,MIN(Inputs!$B$36,CU79,CQ80+CR80+CS80+Inputs!$B$6-CT79))</f>
        <v>0</v>
      </c>
      <c r="CQ80" s="38">
        <f>Inputs!$B$27*(1+Inputs!$B$28)^($A80/12)*IF(Inputs!$B$73=1,$G80,1)*(1-Inputs!$C$73*$H80*(1-Inputs!$E$54*Inputs!$B$73))*(1+$I80)*IF(Inputs!$B$29=0,1,(MAX(CT79,0)/Inputs!$B$6)^Inputs!$B$29)</f>
        <v>16770.985404618419</v>
      </c>
      <c r="CR80" s="38">
        <f>Inputs!$B$32*CT79/Inputs!$B$6</f>
        <v>0</v>
      </c>
      <c r="CS80" s="38">
        <f>Inputs!$B$33</f>
        <v>2500</v>
      </c>
      <c r="CT80" s="38">
        <f t="shared" si="86"/>
        <v>0</v>
      </c>
      <c r="CU80" s="38">
        <f t="shared" si="87"/>
        <v>0</v>
      </c>
      <c r="CV80" s="38">
        <f>Inputs!$B$19*(1-Inputs!$C$73*$H80)+Inputs!$B$21+Inputs!$B$73*$J80</f>
        <v>583500</v>
      </c>
      <c r="CW80" s="38">
        <f t="shared" si="88"/>
        <v>-583500</v>
      </c>
      <c r="CX80" s="38">
        <f t="shared" si="89"/>
        <v>1</v>
      </c>
      <c r="CY80" s="38">
        <f>MAX(0,MIN(Inputs!$C$36,DD79,CZ80+DA80+DB80+Inputs!$C$6-DC79))</f>
        <v>0</v>
      </c>
      <c r="CZ80" s="38">
        <f>Inputs!$C$27*(1+Inputs!$C$28)^($A80/12)*IF(Inputs!$B$73=1,$G80,1)*(1-Inputs!$C$73*$H80*(1-Inputs!$E$54*Inputs!$B$73))*(1+$I80)*IF(Inputs!$C$29=0,1,(MAX(DC79,0)/Inputs!$C$6)^Inputs!$C$29)</f>
        <v>6775.0794815696636</v>
      </c>
      <c r="DA80" s="38">
        <f>Inputs!$C$32*DC79/Inputs!$C$6</f>
        <v>1262.3636712586326</v>
      </c>
      <c r="DB80" s="38">
        <f>Inputs!$C$33</f>
        <v>2000</v>
      </c>
      <c r="DC80" s="38">
        <f t="shared" si="90"/>
        <v>139576.02899634297</v>
      </c>
      <c r="DD80" s="38">
        <f t="shared" si="91"/>
        <v>0</v>
      </c>
      <c r="DE80" s="38">
        <f>Inputs!$C$19*(1-Inputs!$C$73*$H80)+Inputs!$C$21+Inputs!$B$73*$J80</f>
        <v>486000</v>
      </c>
      <c r="DF80" s="38">
        <f t="shared" si="92"/>
        <v>-346423.97100365703</v>
      </c>
      <c r="DG80" s="38">
        <f t="shared" si="93"/>
        <v>1</v>
      </c>
      <c r="DH80" s="38">
        <f>MAX(0,MIN(Inputs!$D$36,DM79,DI80+DJ80+DK80+Inputs!$D$6-DL79))</f>
        <v>0</v>
      </c>
      <c r="DI80" s="38">
        <f>Inputs!$D$27*(1+Inputs!$D$28)^($A80/12)*IF(Inputs!$B$73=1,$G80,1)*(1-Inputs!$C$73*$H80*(1-Inputs!$E$54*Inputs!$B$73))*(1+$I80)*IF(Inputs!$D$29=0,1,(MAX(DL79,0)/Inputs!$D$6)^Inputs!$D$29)</f>
        <v>5773.8481097799922</v>
      </c>
      <c r="DJ80" s="38">
        <f>Inputs!$D$32*DL79/Inputs!$D$6</f>
        <v>3913.5107271628544</v>
      </c>
      <c r="DK80" s="38">
        <f>Inputs!$D$33</f>
        <v>1500</v>
      </c>
      <c r="DL80" s="38">
        <f t="shared" si="94"/>
        <v>808786.31733051233</v>
      </c>
      <c r="DM80" s="38">
        <f t="shared" si="95"/>
        <v>0</v>
      </c>
      <c r="DN80" s="38">
        <f>Inputs!$D$19*(1-Inputs!$C$73*$H80)+Inputs!$D$21+Inputs!$B$73*$J80</f>
        <v>398150</v>
      </c>
      <c r="DO80" s="38">
        <f t="shared" si="96"/>
        <v>410636.31733051233</v>
      </c>
      <c r="DP80" s="38">
        <f t="shared" si="97"/>
        <v>0</v>
      </c>
    </row>
    <row r="81" spans="1:120" x14ac:dyDescent="0.35">
      <c r="A81" s="29">
        <v>76</v>
      </c>
      <c r="B81" s="34">
        <f>EDATE(Inputs!$B$67,$A81)</f>
        <v>48580</v>
      </c>
      <c r="C81" s="35">
        <f>IF(Inputs!$E$47&lt;=0,Inputs!$E$46,Inputs!$E$44+(Inputs!$E$46-Inputs!$E$44)*MIN($A81/Inputs!$E$47,1))</f>
        <v>0.7</v>
      </c>
      <c r="D81" s="35">
        <f>MIN(Inputs!$E$57,Inputs!$E$55*(1+Inputs!$E$56)^($A81/12))*Inputs!$E$58*(1+Inputs!$E$59)^($A81/12)/Inputs!$E$45</f>
        <v>1.5</v>
      </c>
      <c r="E81" s="35">
        <f>MAX(Inputs!$E$44,MIN(C81,D81))</f>
        <v>0.7</v>
      </c>
      <c r="F81" s="35">
        <f>IF(Inputs!$E$50&lt;=0,Inputs!$E$49,Inputs!$E$48+(Inputs!$E$49-Inputs!$E$48)*MIN($A81/Inputs!$E$50,1))</f>
        <v>0.12</v>
      </c>
      <c r="G81" s="36">
        <f>(Inputs!$E$41*(1-E81*Inputs!$E$51)+Inputs!$E$42*(1-F81*Inputs!$E$51))/(Inputs!$E$41*(1-Inputs!$E$44*Inputs!$E$51)+Inputs!$E$42*(1-Inputs!$E$48*Inputs!$E$51))</f>
        <v>0.8423127463863338</v>
      </c>
      <c r="H81" s="35">
        <f>IF(Inputs!$E$53&lt;=0,Inputs!$E$52,Inputs!$E$52*MIN($A81/Inputs!$E$53,1))</f>
        <v>0.1</v>
      </c>
      <c r="I81" s="35">
        <f>IF(Inputs!$E$64&lt;=0,Inputs!$E$63,Inputs!$E$62+(Inputs!$E$63-Inputs!$E$62)*MIN($A81/Inputs!$E$64,1))</f>
        <v>0.03</v>
      </c>
      <c r="J81" s="37">
        <f>(E81-Inputs!$E$44)*Inputs!$E$45/Inputs!$E$60*Inputs!$E$61</f>
        <v>5999.9999999999991</v>
      </c>
      <c r="K81" s="29">
        <f t="shared" si="49"/>
        <v>0</v>
      </c>
      <c r="L81" s="29"/>
      <c r="M81" s="38">
        <f>MAX(0,MIN(Inputs!$B$36,R80,N81+O81+P81+Inputs!$B$6-Q80))</f>
        <v>0</v>
      </c>
      <c r="N81" s="38">
        <f>Inputs!$B$27*(1+Inputs!$B$28)^($A81/12)*IF(Inputs!$B$70=1,$G81,1)*(1-Inputs!$C$70*$H81*(1-Inputs!$E$54*Inputs!$B$70))*(1+$I81)*IF(Inputs!$B$29=0,1,(MAX(Q80,0)/Inputs!$B$6)^Inputs!$B$29)</f>
        <v>21043.955650832384</v>
      </c>
      <c r="O81" s="38">
        <f>Inputs!$B$32*Q80/Inputs!$B$6</f>
        <v>0</v>
      </c>
      <c r="P81" s="38">
        <f>Inputs!$B$33</f>
        <v>2500</v>
      </c>
      <c r="Q81" s="38">
        <f t="shared" si="50"/>
        <v>0</v>
      </c>
      <c r="R81" s="38">
        <f t="shared" si="51"/>
        <v>0</v>
      </c>
      <c r="S81" s="38">
        <f>Inputs!$B$19*(1-Inputs!$C$70*$H81)+Inputs!$B$21+Inputs!$B$70*$J81</f>
        <v>595000</v>
      </c>
      <c r="T81" s="38">
        <f t="shared" si="52"/>
        <v>-595000</v>
      </c>
      <c r="U81" s="38">
        <f t="shared" si="53"/>
        <v>1</v>
      </c>
      <c r="V81" s="38">
        <f>MAX(0,MIN(Inputs!$C$36,AA80,W81+X81+Y81+Inputs!$C$6-Z80))</f>
        <v>0</v>
      </c>
      <c r="W81" s="38">
        <f>Inputs!$C$27*(1+Inputs!$C$28)^($A81/12)*IF(Inputs!$B$70=1,$G81,1)*(1-Inputs!$C$70*$H81*(1-Inputs!$E$54*Inputs!$B$70))*(1+$I81)*IF(Inputs!$C$29=0,1,(MAX(Z80,0)/Inputs!$C$6)^Inputs!$C$29)</f>
        <v>6696.2112833028514</v>
      </c>
      <c r="X81" s="38">
        <f>Inputs!$C$32*Z80/Inputs!$C$6</f>
        <v>493.89134473298259</v>
      </c>
      <c r="Y81" s="38">
        <f>Inputs!$C$33</f>
        <v>2000</v>
      </c>
      <c r="Z81" s="38">
        <f t="shared" si="54"/>
        <v>49345.167858836183</v>
      </c>
      <c r="AA81" s="38">
        <f t="shared" si="55"/>
        <v>0</v>
      </c>
      <c r="AB81" s="38">
        <f>Inputs!$C$19*(1-Inputs!$C$70*$H81)+Inputs!$C$21+Inputs!$B$70*$J81</f>
        <v>495000</v>
      </c>
      <c r="AC81" s="38">
        <f t="shared" si="56"/>
        <v>-445654.83214116382</v>
      </c>
      <c r="AD81" s="38">
        <f t="shared" si="57"/>
        <v>1</v>
      </c>
      <c r="AE81" s="38">
        <f>MAX(0,MIN(Inputs!$D$36,AJ80,AF81+AG81+AH81+Inputs!$D$6-AI80))</f>
        <v>0</v>
      </c>
      <c r="AF81" s="38">
        <f>Inputs!$D$27*(1+Inputs!$D$28)^($A81/12)*IF(Inputs!$B$70=1,$G81,1)*(1-Inputs!$C$70*$H81*(1-Inputs!$E$54*Inputs!$B$70))*(1+$I81)*IF(Inputs!$D$29=0,1,(MAX(AI80,0)/Inputs!$D$6)^Inputs!$D$29)</f>
        <v>6712.2731928858911</v>
      </c>
      <c r="AG81" s="38">
        <f>Inputs!$D$32*AI80/Inputs!$D$6</f>
        <v>3415.7160128198743</v>
      </c>
      <c r="AH81" s="38">
        <f>Inputs!$D$33</f>
        <v>1500</v>
      </c>
      <c r="AI81" s="38">
        <f t="shared" si="58"/>
        <v>704045.84205179161</v>
      </c>
      <c r="AJ81" s="38">
        <f t="shared" si="59"/>
        <v>0</v>
      </c>
      <c r="AK81" s="38">
        <f>Inputs!$D$19*(1-Inputs!$C$70*$H81)+Inputs!$D$21+Inputs!$B$70*$J81</f>
        <v>404800</v>
      </c>
      <c r="AL81" s="38">
        <f t="shared" si="60"/>
        <v>299245.84205179161</v>
      </c>
      <c r="AM81" s="38">
        <f t="shared" si="61"/>
        <v>0</v>
      </c>
      <c r="AN81" s="38">
        <f>MAX(0,MIN(Inputs!$B$36,AS80,AO81+AP81+AQ81+Inputs!$B$6-AR80))</f>
        <v>0</v>
      </c>
      <c r="AO81" s="38">
        <f>Inputs!$B$27*(1+Inputs!$B$28)^($A81/12)*IF(Inputs!$B$71=1,$G81,1)*(1-Inputs!$C$71*$H81*(1-Inputs!$E$54*Inputs!$B$71))*(1+$I81)*IF(Inputs!$B$29=0,1,(MAX(AR80,0)/Inputs!$B$6)^Inputs!$B$29)</f>
        <v>17725.592079084836</v>
      </c>
      <c r="AP81" s="38">
        <f>Inputs!$B$32*AR80/Inputs!$B$6</f>
        <v>0</v>
      </c>
      <c r="AQ81" s="38">
        <f>Inputs!$B$33</f>
        <v>2500</v>
      </c>
      <c r="AR81" s="38">
        <f t="shared" si="62"/>
        <v>0</v>
      </c>
      <c r="AS81" s="38">
        <f t="shared" si="63"/>
        <v>0</v>
      </c>
      <c r="AT81" s="38">
        <f>Inputs!$B$19*(1-Inputs!$C$71*$H81)+Inputs!$B$21+Inputs!$B$71*$J81</f>
        <v>601000</v>
      </c>
      <c r="AU81" s="38">
        <f t="shared" si="64"/>
        <v>-601000</v>
      </c>
      <c r="AV81" s="38">
        <f t="shared" si="65"/>
        <v>1</v>
      </c>
      <c r="AW81" s="38">
        <f>MAX(0,MIN(Inputs!$C$36,BB80,AX81+AY81+AZ81+Inputs!$C$6-BA80))</f>
        <v>0</v>
      </c>
      <c r="AX81" s="38">
        <f>Inputs!$C$27*(1+Inputs!$C$28)^($A81/12)*IF(Inputs!$B$71=1,$G81,1)*(1-Inputs!$C$71*$H81*(1-Inputs!$E$54*Inputs!$B$71))*(1+$I81)*IF(Inputs!$C$29=0,1,(MAX(BA80,0)/Inputs!$C$6)^Inputs!$C$29)</f>
        <v>6795.55706725052</v>
      </c>
      <c r="AY81" s="38">
        <f>Inputs!$C$32*BA80/Inputs!$C$6</f>
        <v>1040.6904916878914</v>
      </c>
      <c r="AZ81" s="38">
        <f>Inputs!$C$33</f>
        <v>2000</v>
      </c>
      <c r="BA81" s="38">
        <f t="shared" si="66"/>
        <v>113504.84775221912</v>
      </c>
      <c r="BB81" s="38">
        <f t="shared" si="67"/>
        <v>0</v>
      </c>
      <c r="BC81" s="38">
        <f>Inputs!$C$19*(1-Inputs!$C$71*$H81)+Inputs!$C$21+Inputs!$B$71*$J81</f>
        <v>501000</v>
      </c>
      <c r="BD81" s="38">
        <f t="shared" si="68"/>
        <v>-387495.15224778088</v>
      </c>
      <c r="BE81" s="38">
        <f t="shared" si="69"/>
        <v>1</v>
      </c>
      <c r="BF81" s="38">
        <f>MAX(0,MIN(Inputs!$D$36,BK80,BG81+BH81+BI81+Inputs!$D$6-BJ80))</f>
        <v>0</v>
      </c>
      <c r="BG81" s="38">
        <f>Inputs!$D$27*(1+Inputs!$D$28)^($A81/12)*IF(Inputs!$B$71=1,$G81,1)*(1-Inputs!$C$71*$H81*(1-Inputs!$E$54*Inputs!$B$71))*(1+$I81)*IF(Inputs!$D$29=0,1,(MAX(BJ80,0)/Inputs!$D$6)^Inputs!$D$29)</f>
        <v>5944.993635649781</v>
      </c>
      <c r="BH81" s="38">
        <f>Inputs!$D$32*BJ80/Inputs!$D$6</f>
        <v>3776.5787913721551</v>
      </c>
      <c r="BI81" s="38">
        <f>Inputs!$D$33</f>
        <v>1500</v>
      </c>
      <c r="BJ81" s="38">
        <f t="shared" si="70"/>
        <v>780061.60290809628</v>
      </c>
      <c r="BK81" s="38">
        <f t="shared" si="71"/>
        <v>0</v>
      </c>
      <c r="BL81" s="38">
        <f>Inputs!$D$19*(1-Inputs!$C$71*$H81)+Inputs!$D$21+Inputs!$B$71*$J81</f>
        <v>410800</v>
      </c>
      <c r="BM81" s="38">
        <f t="shared" si="72"/>
        <v>369261.60290809628</v>
      </c>
      <c r="BN81" s="38">
        <f t="shared" si="73"/>
        <v>0</v>
      </c>
      <c r="BO81" s="38">
        <f>MAX(0,MIN(Inputs!$B$36,BT80,BP81+BQ81+BR81+Inputs!$B$6-BS80))</f>
        <v>0</v>
      </c>
      <c r="BP81" s="38">
        <f>Inputs!$B$27*(1+Inputs!$B$28)^($A81/12)*IF(Inputs!$B$72=1,$G81,1)*(1-Inputs!$C$72*$H81*(1-Inputs!$E$54*Inputs!$B$72))*(1+$I81)*IF(Inputs!$B$29=0,1,(MAX(BS80,0)/Inputs!$B$6)^Inputs!$B$29)</f>
        <v>18939.560085749148</v>
      </c>
      <c r="BQ81" s="38">
        <f>Inputs!$B$32*BS80/Inputs!$B$6</f>
        <v>0</v>
      </c>
      <c r="BR81" s="38">
        <f>Inputs!$B$33</f>
        <v>2500</v>
      </c>
      <c r="BS81" s="38">
        <f t="shared" si="74"/>
        <v>0</v>
      </c>
      <c r="BT81" s="38">
        <f t="shared" si="75"/>
        <v>0</v>
      </c>
      <c r="BU81" s="38">
        <f>Inputs!$B$19*(1-Inputs!$C$72*$H81)+Inputs!$B$21+Inputs!$B$72*$J81</f>
        <v>577500</v>
      </c>
      <c r="BV81" s="38">
        <f t="shared" si="76"/>
        <v>-577500</v>
      </c>
      <c r="BW81" s="38">
        <f t="shared" si="77"/>
        <v>1</v>
      </c>
      <c r="BX81" s="38">
        <f>MAX(0,MIN(Inputs!$C$36,CC80,BY81+BZ81+CA81+Inputs!$C$6-CB80))</f>
        <v>0</v>
      </c>
      <c r="BY81" s="38">
        <f>Inputs!$C$27*(1+Inputs!$C$28)^($A81/12)*IF(Inputs!$B$72=1,$G81,1)*(1-Inputs!$C$72*$H81*(1-Inputs!$E$54*Inputs!$B$72))*(1+$I81)*IF(Inputs!$C$29=0,1,(MAX(CB80,0)/Inputs!$C$6)^Inputs!$C$29)</f>
        <v>6755.4252480690002</v>
      </c>
      <c r="BZ81" s="38">
        <f>Inputs!$C$32*CB80/Inputs!$C$6</f>
        <v>779.75030789341042</v>
      </c>
      <c r="CA81" s="38">
        <f>Inputs!$C$33</f>
        <v>2000</v>
      </c>
      <c r="CB81" s="38">
        <f t="shared" si="78"/>
        <v>82879.675749923292</v>
      </c>
      <c r="CC81" s="38">
        <f t="shared" si="79"/>
        <v>0</v>
      </c>
      <c r="CD81" s="38">
        <f>Inputs!$C$19*(1-Inputs!$C$72*$H81)+Inputs!$C$21+Inputs!$B$72*$J81</f>
        <v>480000</v>
      </c>
      <c r="CE81" s="38">
        <f t="shared" si="80"/>
        <v>-397120.32425007672</v>
      </c>
      <c r="CF81" s="38">
        <f t="shared" si="81"/>
        <v>1</v>
      </c>
      <c r="CG81" s="38">
        <f>MAX(0,MIN(Inputs!$D$36,CL80,CH81+CI81+CJ81+Inputs!$D$6-CK80))</f>
        <v>0</v>
      </c>
      <c r="CH81" s="38">
        <f>Inputs!$D$27*(1+Inputs!$D$28)^($A81/12)*IF(Inputs!$B$72=1,$G81,1)*(1-Inputs!$C$72*$H81*(1-Inputs!$E$54*Inputs!$B$72))*(1+$I81)*IF(Inputs!$D$29=0,1,(MAX(CK80,0)/Inputs!$D$6)^Inputs!$D$29)</f>
        <v>6204.2735235434657</v>
      </c>
      <c r="CI81" s="38">
        <f>Inputs!$D$32*CK80/Inputs!$D$6</f>
        <v>3602.793416417057</v>
      </c>
      <c r="CJ81" s="38">
        <f>Inputs!$D$33</f>
        <v>1500</v>
      </c>
      <c r="CK81" s="38">
        <f t="shared" si="82"/>
        <v>743563.93459504179</v>
      </c>
      <c r="CL81" s="38">
        <f t="shared" si="83"/>
        <v>0</v>
      </c>
      <c r="CM81" s="38">
        <f>Inputs!$D$19*(1-Inputs!$C$72*$H81)+Inputs!$D$21+Inputs!$B$72*$J81</f>
        <v>392150</v>
      </c>
      <c r="CN81" s="38">
        <f t="shared" si="84"/>
        <v>351413.93459504179</v>
      </c>
      <c r="CO81" s="38">
        <f t="shared" si="85"/>
        <v>0</v>
      </c>
      <c r="CP81" s="38">
        <f>MAX(0,MIN(Inputs!$B$36,CU80,CQ81+CR81+CS81+Inputs!$B$6-CT80))</f>
        <v>0</v>
      </c>
      <c r="CQ81" s="38">
        <f>Inputs!$B$27*(1+Inputs!$B$28)^($A81/12)*IF(Inputs!$B$73=1,$G81,1)*(1-Inputs!$C$73*$H81*(1-Inputs!$E$54*Inputs!$B$73))*(1+$I81)*IF(Inputs!$B$29=0,1,(MAX(CT80,0)/Inputs!$B$6)^Inputs!$B$29)</f>
        <v>16839.312475130591</v>
      </c>
      <c r="CR81" s="38">
        <f>Inputs!$B$32*CT80/Inputs!$B$6</f>
        <v>0</v>
      </c>
      <c r="CS81" s="38">
        <f>Inputs!$B$33</f>
        <v>2500</v>
      </c>
      <c r="CT81" s="38">
        <f t="shared" si="86"/>
        <v>0</v>
      </c>
      <c r="CU81" s="38">
        <f t="shared" si="87"/>
        <v>0</v>
      </c>
      <c r="CV81" s="38">
        <f>Inputs!$B$19*(1-Inputs!$C$73*$H81)+Inputs!$B$21+Inputs!$B$73*$J81</f>
        <v>583500</v>
      </c>
      <c r="CW81" s="38">
        <f t="shared" si="88"/>
        <v>-583500</v>
      </c>
      <c r="CX81" s="38">
        <f t="shared" si="89"/>
        <v>1</v>
      </c>
      <c r="CY81" s="38">
        <f>MAX(0,MIN(Inputs!$C$36,DD80,CZ81+DA81+DB81+Inputs!$C$6-DC80))</f>
        <v>0</v>
      </c>
      <c r="CZ81" s="38">
        <f>Inputs!$C$27*(1+Inputs!$C$28)^($A81/12)*IF(Inputs!$B$73=1,$G81,1)*(1-Inputs!$C$73*$H81*(1-Inputs!$E$54*Inputs!$B$73))*(1+$I81)*IF(Inputs!$C$29=0,1,(MAX(DC80,0)/Inputs!$C$6)^Inputs!$C$29)</f>
        <v>6658.4697120509554</v>
      </c>
      <c r="DA81" s="38">
        <f>Inputs!$C$32*DC80/Inputs!$C$6</f>
        <v>1177.6727446566435</v>
      </c>
      <c r="DB81" s="38">
        <f>Inputs!$C$33</f>
        <v>2000</v>
      </c>
      <c r="DC81" s="38">
        <f t="shared" si="90"/>
        <v>129739.88653963536</v>
      </c>
      <c r="DD81" s="38">
        <f t="shared" si="91"/>
        <v>0</v>
      </c>
      <c r="DE81" s="38">
        <f>Inputs!$C$19*(1-Inputs!$C$73*$H81)+Inputs!$C$21+Inputs!$B$73*$J81</f>
        <v>486000</v>
      </c>
      <c r="DF81" s="38">
        <f t="shared" si="92"/>
        <v>-356260.11346036464</v>
      </c>
      <c r="DG81" s="38">
        <f t="shared" si="93"/>
        <v>1</v>
      </c>
      <c r="DH81" s="38">
        <f>MAX(0,MIN(Inputs!$D$36,DM80,DI81+DJ81+DK81+Inputs!$D$6-DL80))</f>
        <v>0</v>
      </c>
      <c r="DI81" s="38">
        <f>Inputs!$D$27*(1+Inputs!$D$28)^($A81/12)*IF(Inputs!$B$73=1,$G81,1)*(1-Inputs!$C$73*$H81*(1-Inputs!$E$54*Inputs!$B$73))*(1+$I81)*IF(Inputs!$D$29=0,1,(MAX(DL80,0)/Inputs!$D$6)^Inputs!$D$29)</f>
        <v>5709.8661965102119</v>
      </c>
      <c r="DJ81" s="38">
        <f>Inputs!$D$32*DL80/Inputs!$D$6</f>
        <v>3860.1165145319906</v>
      </c>
      <c r="DK81" s="38">
        <f>Inputs!$D$33</f>
        <v>1500</v>
      </c>
      <c r="DL81" s="38">
        <f t="shared" si="94"/>
        <v>797716.33461947006</v>
      </c>
      <c r="DM81" s="38">
        <f t="shared" si="95"/>
        <v>0</v>
      </c>
      <c r="DN81" s="38">
        <f>Inputs!$D$19*(1-Inputs!$C$73*$H81)+Inputs!$D$21+Inputs!$B$73*$J81</f>
        <v>398150</v>
      </c>
      <c r="DO81" s="38">
        <f t="shared" si="96"/>
        <v>399566.33461947006</v>
      </c>
      <c r="DP81" s="38">
        <f t="shared" si="97"/>
        <v>0</v>
      </c>
    </row>
    <row r="82" spans="1:120" x14ac:dyDescent="0.35">
      <c r="A82" s="29">
        <v>77</v>
      </c>
      <c r="B82" s="34">
        <f>EDATE(Inputs!$B$67,$A82)</f>
        <v>48611</v>
      </c>
      <c r="C82" s="35">
        <f>IF(Inputs!$E$47&lt;=0,Inputs!$E$46,Inputs!$E$44+(Inputs!$E$46-Inputs!$E$44)*MIN($A82/Inputs!$E$47,1))</f>
        <v>0.7</v>
      </c>
      <c r="D82" s="35">
        <f>MIN(Inputs!$E$57,Inputs!$E$55*(1+Inputs!$E$56)^($A82/12))*Inputs!$E$58*(1+Inputs!$E$59)^($A82/12)/Inputs!$E$45</f>
        <v>1.5</v>
      </c>
      <c r="E82" s="35">
        <f>MAX(Inputs!$E$44,MIN(C82,D82))</f>
        <v>0.7</v>
      </c>
      <c r="F82" s="35">
        <f>IF(Inputs!$E$50&lt;=0,Inputs!$E$49,Inputs!$E$48+(Inputs!$E$49-Inputs!$E$48)*MIN($A82/Inputs!$E$50,1))</f>
        <v>0.12</v>
      </c>
      <c r="G82" s="36">
        <f>(Inputs!$E$41*(1-E82*Inputs!$E$51)+Inputs!$E$42*(1-F82*Inputs!$E$51))/(Inputs!$E$41*(1-Inputs!$E$44*Inputs!$E$51)+Inputs!$E$42*(1-Inputs!$E$48*Inputs!$E$51))</f>
        <v>0.8423127463863338</v>
      </c>
      <c r="H82" s="35">
        <f>IF(Inputs!$E$53&lt;=0,Inputs!$E$52,Inputs!$E$52*MIN($A82/Inputs!$E$53,1))</f>
        <v>0.1</v>
      </c>
      <c r="I82" s="35">
        <f>IF(Inputs!$E$64&lt;=0,Inputs!$E$63,Inputs!$E$62+(Inputs!$E$63-Inputs!$E$62)*MIN($A82/Inputs!$E$64,1))</f>
        <v>0.03</v>
      </c>
      <c r="J82" s="37">
        <f>(E82-Inputs!$E$44)*Inputs!$E$45/Inputs!$E$60*Inputs!$E$61</f>
        <v>5999.9999999999991</v>
      </c>
      <c r="K82" s="29">
        <f t="shared" si="49"/>
        <v>0</v>
      </c>
      <c r="L82" s="29"/>
      <c r="M82" s="38">
        <f>MAX(0,MIN(Inputs!$B$36,R81,N82+O82+P82+Inputs!$B$6-Q81))</f>
        <v>0</v>
      </c>
      <c r="N82" s="38">
        <f>Inputs!$B$27*(1+Inputs!$B$28)^($A82/12)*IF(Inputs!$B$70=1,$G82,1)*(1-Inputs!$C$70*$H82*(1-Inputs!$E$54*Inputs!$B$70))*(1+$I82)*IF(Inputs!$B$29=0,1,(MAX(Q81,0)/Inputs!$B$6)^Inputs!$B$29)</f>
        <v>21129.691331051483</v>
      </c>
      <c r="O82" s="38">
        <f>Inputs!$B$32*Q81/Inputs!$B$6</f>
        <v>0</v>
      </c>
      <c r="P82" s="38">
        <f>Inputs!$B$33</f>
        <v>2500</v>
      </c>
      <c r="Q82" s="38">
        <f t="shared" si="50"/>
        <v>0</v>
      </c>
      <c r="R82" s="38">
        <f t="shared" si="51"/>
        <v>0</v>
      </c>
      <c r="S82" s="38">
        <f>Inputs!$B$19*(1-Inputs!$C$70*$H82)+Inputs!$B$21+Inputs!$B$70*$J82</f>
        <v>595000</v>
      </c>
      <c r="T82" s="38">
        <f t="shared" si="52"/>
        <v>-595000</v>
      </c>
      <c r="U82" s="38">
        <f t="shared" si="53"/>
        <v>1</v>
      </c>
      <c r="V82" s="38">
        <f>MAX(0,MIN(Inputs!$C$36,AA81,W82+X82+Y82+Inputs!$C$6-Z81))</f>
        <v>0</v>
      </c>
      <c r="W82" s="38">
        <f>Inputs!$C$27*(1+Inputs!$C$28)^($A82/12)*IF(Inputs!$B$70=1,$G82,1)*(1-Inputs!$C$70*$H82*(1-Inputs!$E$54*Inputs!$B$70))*(1+$I82)*IF(Inputs!$C$29=0,1,(MAX(Z81,0)/Inputs!$C$6)^Inputs!$C$29)</f>
        <v>6416.3182761919561</v>
      </c>
      <c r="X82" s="38">
        <f>Inputs!$C$32*Z81/Inputs!$C$6</f>
        <v>416.34985380893022</v>
      </c>
      <c r="Y82" s="38">
        <f>Inputs!$C$33</f>
        <v>2000</v>
      </c>
      <c r="Z82" s="38">
        <f t="shared" si="54"/>
        <v>40512.49972883529</v>
      </c>
      <c r="AA82" s="38">
        <f t="shared" si="55"/>
        <v>0</v>
      </c>
      <c r="AB82" s="38">
        <f>Inputs!$C$19*(1-Inputs!$C$70*$H82)+Inputs!$C$21+Inputs!$B$70*$J82</f>
        <v>495000</v>
      </c>
      <c r="AC82" s="38">
        <f t="shared" si="56"/>
        <v>-454487.5002711647</v>
      </c>
      <c r="AD82" s="38">
        <f t="shared" si="57"/>
        <v>1</v>
      </c>
      <c r="AE82" s="38">
        <f>MAX(0,MIN(Inputs!$D$36,AJ81,AF82+AG82+AH82+Inputs!$D$6-AI81))</f>
        <v>0</v>
      </c>
      <c r="AF82" s="38">
        <f>Inputs!$D$27*(1+Inputs!$D$28)^($A82/12)*IF(Inputs!$B$70=1,$G82,1)*(1-Inputs!$C$70*$H82*(1-Inputs!$E$54*Inputs!$B$70))*(1+$I82)*IF(Inputs!$D$29=0,1,(MAX(AI81,0)/Inputs!$D$6)^Inputs!$D$29)</f>
        <v>6629.1242366753513</v>
      </c>
      <c r="AG82" s="38">
        <f>Inputs!$D$32*AI81/Inputs!$D$6</f>
        <v>3360.2187916108232</v>
      </c>
      <c r="AH82" s="38">
        <f>Inputs!$D$33</f>
        <v>1500</v>
      </c>
      <c r="AI82" s="38">
        <f t="shared" si="58"/>
        <v>692556.49902350549</v>
      </c>
      <c r="AJ82" s="38">
        <f t="shared" si="59"/>
        <v>0</v>
      </c>
      <c r="AK82" s="38">
        <f>Inputs!$D$19*(1-Inputs!$C$70*$H82)+Inputs!$D$21+Inputs!$B$70*$J82</f>
        <v>404800</v>
      </c>
      <c r="AL82" s="38">
        <f t="shared" si="60"/>
        <v>287756.49902350549</v>
      </c>
      <c r="AM82" s="38">
        <f t="shared" si="61"/>
        <v>0</v>
      </c>
      <c r="AN82" s="38">
        <f>MAX(0,MIN(Inputs!$B$36,AS81,AO82+AP82+AQ82+Inputs!$B$6-AR81))</f>
        <v>0</v>
      </c>
      <c r="AO82" s="38">
        <f>Inputs!$B$27*(1+Inputs!$B$28)^($A82/12)*IF(Inputs!$B$71=1,$G82,1)*(1-Inputs!$C$71*$H82*(1-Inputs!$E$54*Inputs!$B$71))*(1+$I82)*IF(Inputs!$B$29=0,1,(MAX(AR81,0)/Inputs!$B$6)^Inputs!$B$29)</f>
        <v>17797.808335353482</v>
      </c>
      <c r="AP82" s="38">
        <f>Inputs!$B$32*AR81/Inputs!$B$6</f>
        <v>0</v>
      </c>
      <c r="AQ82" s="38">
        <f>Inputs!$B$33</f>
        <v>2500</v>
      </c>
      <c r="AR82" s="38">
        <f t="shared" si="62"/>
        <v>0</v>
      </c>
      <c r="AS82" s="38">
        <f t="shared" si="63"/>
        <v>0</v>
      </c>
      <c r="AT82" s="38">
        <f>Inputs!$B$19*(1-Inputs!$C$71*$H82)+Inputs!$B$21+Inputs!$B$71*$J82</f>
        <v>601000</v>
      </c>
      <c r="AU82" s="38">
        <f t="shared" si="64"/>
        <v>-601000</v>
      </c>
      <c r="AV82" s="38">
        <f t="shared" si="65"/>
        <v>1</v>
      </c>
      <c r="AW82" s="38">
        <f>MAX(0,MIN(Inputs!$C$36,BB81,AX82+AY82+AZ82+Inputs!$C$6-BA81))</f>
        <v>0</v>
      </c>
      <c r="AX82" s="38">
        <f>Inputs!$C$27*(1+Inputs!$C$28)^($A82/12)*IF(Inputs!$B$71=1,$G82,1)*(1-Inputs!$C$71*$H82*(1-Inputs!$E$54*Inputs!$B$71))*(1+$I82)*IF(Inputs!$C$29=0,1,(MAX(BA81,0)/Inputs!$C$6)^Inputs!$C$29)</f>
        <v>6655.8222674949102</v>
      </c>
      <c r="AY82" s="38">
        <f>Inputs!$C$32*BA81/Inputs!$C$6</f>
        <v>957.6971529093488</v>
      </c>
      <c r="AZ82" s="38">
        <f>Inputs!$C$33</f>
        <v>2000</v>
      </c>
      <c r="BA82" s="38">
        <f t="shared" si="66"/>
        <v>103891.32833181488</v>
      </c>
      <c r="BB82" s="38">
        <f t="shared" si="67"/>
        <v>0</v>
      </c>
      <c r="BC82" s="38">
        <f>Inputs!$C$19*(1-Inputs!$C$71*$H82)+Inputs!$C$21+Inputs!$B$71*$J82</f>
        <v>501000</v>
      </c>
      <c r="BD82" s="38">
        <f t="shared" si="68"/>
        <v>-397108.67166818515</v>
      </c>
      <c r="BE82" s="38">
        <f t="shared" si="69"/>
        <v>1</v>
      </c>
      <c r="BF82" s="38">
        <f>MAX(0,MIN(Inputs!$D$36,BK81,BG82+BH82+BI82+Inputs!$D$6-BJ81))</f>
        <v>0</v>
      </c>
      <c r="BG82" s="38">
        <f>Inputs!$D$27*(1+Inputs!$D$28)^($A82/12)*IF(Inputs!$B$71=1,$G82,1)*(1-Inputs!$C$71*$H82*(1-Inputs!$E$54*Inputs!$B$71))*(1+$I82)*IF(Inputs!$D$29=0,1,(MAX(BJ81,0)/Inputs!$D$6)^Inputs!$D$29)</f>
        <v>5877.5118380751737</v>
      </c>
      <c r="BH82" s="38">
        <f>Inputs!$D$32*BJ81/Inputs!$D$6</f>
        <v>3723.0212866068232</v>
      </c>
      <c r="BI82" s="38">
        <f>Inputs!$D$33</f>
        <v>1500</v>
      </c>
      <c r="BJ82" s="38">
        <f t="shared" si="70"/>
        <v>768961.06978341436</v>
      </c>
      <c r="BK82" s="38">
        <f t="shared" si="71"/>
        <v>0</v>
      </c>
      <c r="BL82" s="38">
        <f>Inputs!$D$19*(1-Inputs!$C$71*$H82)+Inputs!$D$21+Inputs!$B$71*$J82</f>
        <v>410800</v>
      </c>
      <c r="BM82" s="38">
        <f t="shared" si="72"/>
        <v>358161.06978341436</v>
      </c>
      <c r="BN82" s="38">
        <f t="shared" si="73"/>
        <v>0</v>
      </c>
      <c r="BO82" s="38">
        <f>MAX(0,MIN(Inputs!$B$36,BT81,BP82+BQ82+BR82+Inputs!$B$6-BS81))</f>
        <v>0</v>
      </c>
      <c r="BP82" s="38">
        <f>Inputs!$B$27*(1+Inputs!$B$28)^($A82/12)*IF(Inputs!$B$72=1,$G82,1)*(1-Inputs!$C$72*$H82*(1-Inputs!$E$54*Inputs!$B$72))*(1+$I82)*IF(Inputs!$B$29=0,1,(MAX(BS81,0)/Inputs!$B$6)^Inputs!$B$29)</f>
        <v>19016.722197946336</v>
      </c>
      <c r="BQ82" s="38">
        <f>Inputs!$B$32*BS81/Inputs!$B$6</f>
        <v>0</v>
      </c>
      <c r="BR82" s="38">
        <f>Inputs!$B$33</f>
        <v>2500</v>
      </c>
      <c r="BS82" s="38">
        <f t="shared" si="74"/>
        <v>0</v>
      </c>
      <c r="BT82" s="38">
        <f t="shared" si="75"/>
        <v>0</v>
      </c>
      <c r="BU82" s="38">
        <f>Inputs!$B$19*(1-Inputs!$C$72*$H82)+Inputs!$B$21+Inputs!$B$72*$J82</f>
        <v>577500</v>
      </c>
      <c r="BV82" s="38">
        <f t="shared" si="76"/>
        <v>-577500</v>
      </c>
      <c r="BW82" s="38">
        <f t="shared" si="77"/>
        <v>1</v>
      </c>
      <c r="BX82" s="38">
        <f>MAX(0,MIN(Inputs!$C$36,CC81,BY82+BZ82+CA82+Inputs!$C$6-CB81))</f>
        <v>0</v>
      </c>
      <c r="BY82" s="38">
        <f>Inputs!$C$27*(1+Inputs!$C$28)^($A82/12)*IF(Inputs!$B$72=1,$G82,1)*(1-Inputs!$C$72*$H82*(1-Inputs!$E$54*Inputs!$B$72))*(1+$I82)*IF(Inputs!$C$29=0,1,(MAX(CB81,0)/Inputs!$C$6)^Inputs!$C$29)</f>
        <v>6573.9933621560585</v>
      </c>
      <c r="BZ82" s="38">
        <f>Inputs!$C$32*CB81/Inputs!$C$6</f>
        <v>699.29726413997764</v>
      </c>
      <c r="CA82" s="38">
        <f>Inputs!$C$33</f>
        <v>2000</v>
      </c>
      <c r="CB82" s="38">
        <f t="shared" si="78"/>
        <v>73606.385123627246</v>
      </c>
      <c r="CC82" s="38">
        <f t="shared" si="79"/>
        <v>0</v>
      </c>
      <c r="CD82" s="38">
        <f>Inputs!$C$19*(1-Inputs!$C$72*$H82)+Inputs!$C$21+Inputs!$B$72*$J82</f>
        <v>480000</v>
      </c>
      <c r="CE82" s="38">
        <f t="shared" si="80"/>
        <v>-406393.61487637274</v>
      </c>
      <c r="CF82" s="38">
        <f t="shared" si="81"/>
        <v>1</v>
      </c>
      <c r="CG82" s="38">
        <f>MAX(0,MIN(Inputs!$D$36,CL81,CH82+CI82+CJ82+Inputs!$D$6-CK81))</f>
        <v>0</v>
      </c>
      <c r="CH82" s="38">
        <f>Inputs!$D$27*(1+Inputs!$D$28)^($A82/12)*IF(Inputs!$B$72=1,$G82,1)*(1-Inputs!$C$72*$H82*(1-Inputs!$E$54*Inputs!$B$72))*(1+$I82)*IF(Inputs!$D$29=0,1,(MAX(CK81,0)/Inputs!$D$6)^Inputs!$D$29)</f>
        <v>6131.3676351944914</v>
      </c>
      <c r="CI82" s="38">
        <f>Inputs!$D$32*CK81/Inputs!$D$6</f>
        <v>3548.8278696581542</v>
      </c>
      <c r="CJ82" s="38">
        <f>Inputs!$D$33</f>
        <v>1500</v>
      </c>
      <c r="CK82" s="38">
        <f t="shared" si="82"/>
        <v>732383.73909018922</v>
      </c>
      <c r="CL82" s="38">
        <f t="shared" si="83"/>
        <v>0</v>
      </c>
      <c r="CM82" s="38">
        <f>Inputs!$D$19*(1-Inputs!$C$72*$H82)+Inputs!$D$21+Inputs!$B$72*$J82</f>
        <v>392150</v>
      </c>
      <c r="CN82" s="38">
        <f t="shared" si="84"/>
        <v>340233.73909018922</v>
      </c>
      <c r="CO82" s="38">
        <f t="shared" si="85"/>
        <v>0</v>
      </c>
      <c r="CP82" s="38">
        <f>MAX(0,MIN(Inputs!$B$36,CU81,CQ82+CR82+CS82+Inputs!$B$6-CT81))</f>
        <v>0</v>
      </c>
      <c r="CQ82" s="38">
        <f>Inputs!$B$27*(1+Inputs!$B$28)^($A82/12)*IF(Inputs!$B$73=1,$G82,1)*(1-Inputs!$C$73*$H82*(1-Inputs!$E$54*Inputs!$B$73))*(1+$I82)*IF(Inputs!$B$29=0,1,(MAX(CT81,0)/Inputs!$B$6)^Inputs!$B$29)</f>
        <v>16907.917918585808</v>
      </c>
      <c r="CR82" s="38">
        <f>Inputs!$B$32*CT81/Inputs!$B$6</f>
        <v>0</v>
      </c>
      <c r="CS82" s="38">
        <f>Inputs!$B$33</f>
        <v>2500</v>
      </c>
      <c r="CT82" s="38">
        <f t="shared" si="86"/>
        <v>0</v>
      </c>
      <c r="CU82" s="38">
        <f t="shared" si="87"/>
        <v>0</v>
      </c>
      <c r="CV82" s="38">
        <f>Inputs!$B$19*(1-Inputs!$C$73*$H82)+Inputs!$B$21+Inputs!$B$73*$J82</f>
        <v>583500</v>
      </c>
      <c r="CW82" s="38">
        <f t="shared" si="88"/>
        <v>-583500</v>
      </c>
      <c r="CX82" s="38">
        <f t="shared" si="89"/>
        <v>1</v>
      </c>
      <c r="CY82" s="38">
        <f>MAX(0,MIN(Inputs!$C$36,DD81,CZ82+DA82+DB82+Inputs!$C$6-DC81))</f>
        <v>0</v>
      </c>
      <c r="CZ82" s="38">
        <f>Inputs!$C$27*(1+Inputs!$C$28)^($A82/12)*IF(Inputs!$B$73=1,$G82,1)*(1-Inputs!$C$73*$H82*(1-Inputs!$E$54*Inputs!$B$73))*(1+$I82)*IF(Inputs!$C$29=0,1,(MAX(DC81,0)/Inputs!$C$6)^Inputs!$C$29)</f>
        <v>6537.9274568341643</v>
      </c>
      <c r="DA82" s="38">
        <f>Inputs!$C$32*DC81/Inputs!$C$6</f>
        <v>1094.6802926781731</v>
      </c>
      <c r="DB82" s="38">
        <f>Inputs!$C$33</f>
        <v>2000</v>
      </c>
      <c r="DC82" s="38">
        <f t="shared" si="90"/>
        <v>120107.27879012303</v>
      </c>
      <c r="DD82" s="38">
        <f t="shared" si="91"/>
        <v>0</v>
      </c>
      <c r="DE82" s="38">
        <f>Inputs!$C$19*(1-Inputs!$C$73*$H82)+Inputs!$C$21+Inputs!$B$73*$J82</f>
        <v>486000</v>
      </c>
      <c r="DF82" s="38">
        <f t="shared" si="92"/>
        <v>-365892.72120987694</v>
      </c>
      <c r="DG82" s="38">
        <f t="shared" si="93"/>
        <v>1</v>
      </c>
      <c r="DH82" s="38">
        <f>MAX(0,MIN(Inputs!$D$36,DM81,DI82+DJ82+DK82+Inputs!$D$6-DL81))</f>
        <v>0</v>
      </c>
      <c r="DI82" s="38">
        <f>Inputs!$D$27*(1+Inputs!$D$28)^($A82/12)*IF(Inputs!$B$73=1,$G82,1)*(1-Inputs!$C$73*$H82*(1-Inputs!$E$54*Inputs!$B$73))*(1+$I82)*IF(Inputs!$D$29=0,1,(MAX(DL81,0)/Inputs!$D$6)^Inputs!$D$29)</f>
        <v>5646.4685016295261</v>
      </c>
      <c r="DJ82" s="38">
        <f>Inputs!$D$32*DL81/Inputs!$D$6</f>
        <v>3807.2825061383801</v>
      </c>
      <c r="DK82" s="38">
        <f>Inputs!$D$33</f>
        <v>1500</v>
      </c>
      <c r="DL82" s="38">
        <f t="shared" si="94"/>
        <v>786762.58361170208</v>
      </c>
      <c r="DM82" s="38">
        <f t="shared" si="95"/>
        <v>0</v>
      </c>
      <c r="DN82" s="38">
        <f>Inputs!$D$19*(1-Inputs!$C$73*$H82)+Inputs!$D$21+Inputs!$B$73*$J82</f>
        <v>398150</v>
      </c>
      <c r="DO82" s="38">
        <f t="shared" si="96"/>
        <v>388612.58361170208</v>
      </c>
      <c r="DP82" s="38">
        <f t="shared" si="97"/>
        <v>0</v>
      </c>
    </row>
    <row r="83" spans="1:120" x14ac:dyDescent="0.35">
      <c r="A83" s="29">
        <v>78</v>
      </c>
      <c r="B83" s="34">
        <f>EDATE(Inputs!$B$67,$A83)</f>
        <v>48639</v>
      </c>
      <c r="C83" s="35">
        <f>IF(Inputs!$E$47&lt;=0,Inputs!$E$46,Inputs!$E$44+(Inputs!$E$46-Inputs!$E$44)*MIN($A83/Inputs!$E$47,1))</f>
        <v>0.7</v>
      </c>
      <c r="D83" s="35">
        <f>MIN(Inputs!$E$57,Inputs!$E$55*(1+Inputs!$E$56)^($A83/12))*Inputs!$E$58*(1+Inputs!$E$59)^($A83/12)/Inputs!$E$45</f>
        <v>1.5</v>
      </c>
      <c r="E83" s="35">
        <f>MAX(Inputs!$E$44,MIN(C83,D83))</f>
        <v>0.7</v>
      </c>
      <c r="F83" s="35">
        <f>IF(Inputs!$E$50&lt;=0,Inputs!$E$49,Inputs!$E$48+(Inputs!$E$49-Inputs!$E$48)*MIN($A83/Inputs!$E$50,1))</f>
        <v>0.12</v>
      </c>
      <c r="G83" s="36">
        <f>(Inputs!$E$41*(1-E83*Inputs!$E$51)+Inputs!$E$42*(1-F83*Inputs!$E$51))/(Inputs!$E$41*(1-Inputs!$E$44*Inputs!$E$51)+Inputs!$E$42*(1-Inputs!$E$48*Inputs!$E$51))</f>
        <v>0.8423127463863338</v>
      </c>
      <c r="H83" s="35">
        <f>IF(Inputs!$E$53&lt;=0,Inputs!$E$52,Inputs!$E$52*MIN($A83/Inputs!$E$53,1))</f>
        <v>0.1</v>
      </c>
      <c r="I83" s="35">
        <f>IF(Inputs!$E$64&lt;=0,Inputs!$E$63,Inputs!$E$62+(Inputs!$E$63-Inputs!$E$62)*MIN($A83/Inputs!$E$64,1))</f>
        <v>0.03</v>
      </c>
      <c r="J83" s="37">
        <f>(E83-Inputs!$E$44)*Inputs!$E$45/Inputs!$E$60*Inputs!$E$61</f>
        <v>5999.9999999999991</v>
      </c>
      <c r="K83" s="29">
        <f t="shared" si="49"/>
        <v>0</v>
      </c>
      <c r="L83" s="29"/>
      <c r="M83" s="38">
        <f>MAX(0,MIN(Inputs!$B$36,R82,N83+O83+P83+Inputs!$B$6-Q82))</f>
        <v>0</v>
      </c>
      <c r="N83" s="38">
        <f>Inputs!$B$27*(1+Inputs!$B$28)^($A83/12)*IF(Inputs!$B$70=1,$G83,1)*(1-Inputs!$C$70*$H83*(1-Inputs!$E$54*Inputs!$B$70))*(1+$I83)*IF(Inputs!$B$29=0,1,(MAX(Q82,0)/Inputs!$B$6)^Inputs!$B$29)</f>
        <v>21215.776309044464</v>
      </c>
      <c r="O83" s="38">
        <f>Inputs!$B$32*Q82/Inputs!$B$6</f>
        <v>0</v>
      </c>
      <c r="P83" s="38">
        <f>Inputs!$B$33</f>
        <v>2500</v>
      </c>
      <c r="Q83" s="38">
        <f t="shared" si="50"/>
        <v>0</v>
      </c>
      <c r="R83" s="38">
        <f t="shared" si="51"/>
        <v>0</v>
      </c>
      <c r="S83" s="38">
        <f>Inputs!$B$19*(1-Inputs!$C$70*$H83)+Inputs!$B$21+Inputs!$B$70*$J83</f>
        <v>595000</v>
      </c>
      <c r="T83" s="38">
        <f t="shared" si="52"/>
        <v>-595000</v>
      </c>
      <c r="U83" s="38">
        <f t="shared" si="53"/>
        <v>1</v>
      </c>
      <c r="V83" s="38">
        <f>MAX(0,MIN(Inputs!$C$36,AA82,W83+X83+Y83+Inputs!$C$6-Z82))</f>
        <v>0</v>
      </c>
      <c r="W83" s="38">
        <f>Inputs!$C$27*(1+Inputs!$C$28)^($A83/12)*IF(Inputs!$B$70=1,$G83,1)*(1-Inputs!$C$70*$H83*(1-Inputs!$E$54*Inputs!$B$70))*(1+$I83)*IF(Inputs!$C$29=0,1,(MAX(Z82,0)/Inputs!$C$6)^Inputs!$C$29)</f>
        <v>6107.6198970612713</v>
      </c>
      <c r="X83" s="38">
        <f>Inputs!$C$32*Z82/Inputs!$C$6</f>
        <v>341.82421646204767</v>
      </c>
      <c r="Y83" s="38">
        <f>Inputs!$C$33</f>
        <v>2000</v>
      </c>
      <c r="Z83" s="38">
        <f t="shared" si="54"/>
        <v>32063.055615311969</v>
      </c>
      <c r="AA83" s="38">
        <f t="shared" si="55"/>
        <v>0</v>
      </c>
      <c r="AB83" s="38">
        <f>Inputs!$C$19*(1-Inputs!$C$70*$H83)+Inputs!$C$21+Inputs!$B$70*$J83</f>
        <v>495000</v>
      </c>
      <c r="AC83" s="38">
        <f t="shared" si="56"/>
        <v>-462936.94438468805</v>
      </c>
      <c r="AD83" s="38">
        <f t="shared" si="57"/>
        <v>1</v>
      </c>
      <c r="AE83" s="38">
        <f>MAX(0,MIN(Inputs!$D$36,AJ82,AF83+AG83+AH83+Inputs!$D$6-AI82))</f>
        <v>0</v>
      </c>
      <c r="AF83" s="38">
        <f>Inputs!$D$27*(1+Inputs!$D$28)^($A83/12)*IF(Inputs!$B$70=1,$G83,1)*(1-Inputs!$C$70*$H83*(1-Inputs!$E$54*Inputs!$B$70))*(1+$I83)*IF(Inputs!$D$29=0,1,(MAX(AI82,0)/Inputs!$D$6)^Inputs!$D$29)</f>
        <v>6546.7676472103876</v>
      </c>
      <c r="AG83" s="38">
        <f>Inputs!$D$32*AI82/Inputs!$D$6</f>
        <v>3305.3832907940036</v>
      </c>
      <c r="AH83" s="38">
        <f>Inputs!$D$33</f>
        <v>1500</v>
      </c>
      <c r="AI83" s="38">
        <f t="shared" si="58"/>
        <v>681204.34808550111</v>
      </c>
      <c r="AJ83" s="38">
        <f t="shared" si="59"/>
        <v>0</v>
      </c>
      <c r="AK83" s="38">
        <f>Inputs!$D$19*(1-Inputs!$C$70*$H83)+Inputs!$D$21+Inputs!$B$70*$J83</f>
        <v>404800</v>
      </c>
      <c r="AL83" s="38">
        <f t="shared" si="60"/>
        <v>276404.34808550111</v>
      </c>
      <c r="AM83" s="38">
        <f t="shared" si="61"/>
        <v>0</v>
      </c>
      <c r="AN83" s="38">
        <f>MAX(0,MIN(Inputs!$B$36,AS82,AO83+AP83+AQ83+Inputs!$B$6-AR82))</f>
        <v>0</v>
      </c>
      <c r="AO83" s="38">
        <f>Inputs!$B$27*(1+Inputs!$B$28)^($A83/12)*IF(Inputs!$B$71=1,$G83,1)*(1-Inputs!$C$71*$H83*(1-Inputs!$E$54*Inputs!$B$71))*(1+$I83)*IF(Inputs!$B$29=0,1,(MAX(AR82,0)/Inputs!$B$6)^Inputs!$B$29)</f>
        <v>17870.31880958936</v>
      </c>
      <c r="AP83" s="38">
        <f>Inputs!$B$32*AR82/Inputs!$B$6</f>
        <v>0</v>
      </c>
      <c r="AQ83" s="38">
        <f>Inputs!$B$33</f>
        <v>2500</v>
      </c>
      <c r="AR83" s="38">
        <f t="shared" si="62"/>
        <v>0</v>
      </c>
      <c r="AS83" s="38">
        <f t="shared" si="63"/>
        <v>0</v>
      </c>
      <c r="AT83" s="38">
        <f>Inputs!$B$19*(1-Inputs!$C$71*$H83)+Inputs!$B$21+Inputs!$B$71*$J83</f>
        <v>601000</v>
      </c>
      <c r="AU83" s="38">
        <f t="shared" si="64"/>
        <v>-601000</v>
      </c>
      <c r="AV83" s="38">
        <f t="shared" si="65"/>
        <v>1</v>
      </c>
      <c r="AW83" s="38">
        <f>MAX(0,MIN(Inputs!$C$36,BB82,AX83+AY83+AZ83+Inputs!$C$6-BA82))</f>
        <v>0</v>
      </c>
      <c r="AX83" s="38">
        <f>Inputs!$C$27*(1+Inputs!$C$28)^($A83/12)*IF(Inputs!$B$71=1,$G83,1)*(1-Inputs!$C$71*$H83*(1-Inputs!$E$54*Inputs!$B$71))*(1+$I83)*IF(Inputs!$C$29=0,1,(MAX(BA82,0)/Inputs!$C$6)^Inputs!$C$29)</f>
        <v>6510.1791297217032</v>
      </c>
      <c r="AY83" s="38">
        <f>Inputs!$C$32*BA82/Inputs!$C$6</f>
        <v>876.58308279968787</v>
      </c>
      <c r="AZ83" s="38">
        <f>Inputs!$C$33</f>
        <v>2000</v>
      </c>
      <c r="BA83" s="38">
        <f t="shared" si="66"/>
        <v>94504.566119293493</v>
      </c>
      <c r="BB83" s="38">
        <f t="shared" si="67"/>
        <v>0</v>
      </c>
      <c r="BC83" s="38">
        <f>Inputs!$C$19*(1-Inputs!$C$71*$H83)+Inputs!$C$21+Inputs!$B$71*$J83</f>
        <v>501000</v>
      </c>
      <c r="BD83" s="38">
        <f t="shared" si="68"/>
        <v>-406495.43388070649</v>
      </c>
      <c r="BE83" s="38">
        <f t="shared" si="69"/>
        <v>1</v>
      </c>
      <c r="BF83" s="38">
        <f>MAX(0,MIN(Inputs!$D$36,BK82,BG83+BH83+BI83+Inputs!$D$6-BJ82))</f>
        <v>0</v>
      </c>
      <c r="BG83" s="38">
        <f>Inputs!$D$27*(1+Inputs!$D$28)^($A83/12)*IF(Inputs!$B$71=1,$G83,1)*(1-Inputs!$C$71*$H83*(1-Inputs!$E$54*Inputs!$B$71))*(1+$I83)*IF(Inputs!$D$29=0,1,(MAX(BJ82,0)/Inputs!$D$6)^Inputs!$D$29)</f>
        <v>5810.6520815792719</v>
      </c>
      <c r="BH83" s="38">
        <f>Inputs!$D$32*BJ82/Inputs!$D$6</f>
        <v>3670.0414694208412</v>
      </c>
      <c r="BI83" s="38">
        <f>Inputs!$D$33</f>
        <v>1500</v>
      </c>
      <c r="BJ83" s="38">
        <f t="shared" si="70"/>
        <v>757980.37623241416</v>
      </c>
      <c r="BK83" s="38">
        <f t="shared" si="71"/>
        <v>0</v>
      </c>
      <c r="BL83" s="38">
        <f>Inputs!$D$19*(1-Inputs!$C$71*$H83)+Inputs!$D$21+Inputs!$B$71*$J83</f>
        <v>410800</v>
      </c>
      <c r="BM83" s="38">
        <f t="shared" si="72"/>
        <v>347180.37623241416</v>
      </c>
      <c r="BN83" s="38">
        <f t="shared" si="73"/>
        <v>0</v>
      </c>
      <c r="BO83" s="38">
        <f>MAX(0,MIN(Inputs!$B$36,BT82,BP83+BQ83+BR83+Inputs!$B$6-BS82))</f>
        <v>0</v>
      </c>
      <c r="BP83" s="38">
        <f>Inputs!$B$27*(1+Inputs!$B$28)^($A83/12)*IF(Inputs!$B$72=1,$G83,1)*(1-Inputs!$C$72*$H83*(1-Inputs!$E$54*Inputs!$B$72))*(1+$I83)*IF(Inputs!$B$29=0,1,(MAX(BS82,0)/Inputs!$B$6)^Inputs!$B$29)</f>
        <v>19094.198678140019</v>
      </c>
      <c r="BQ83" s="38">
        <f>Inputs!$B$32*BS82/Inputs!$B$6</f>
        <v>0</v>
      </c>
      <c r="BR83" s="38">
        <f>Inputs!$B$33</f>
        <v>2500</v>
      </c>
      <c r="BS83" s="38">
        <f t="shared" si="74"/>
        <v>0</v>
      </c>
      <c r="BT83" s="38">
        <f t="shared" si="75"/>
        <v>0</v>
      </c>
      <c r="BU83" s="38">
        <f>Inputs!$B$19*(1-Inputs!$C$72*$H83)+Inputs!$B$21+Inputs!$B$72*$J83</f>
        <v>577500</v>
      </c>
      <c r="BV83" s="38">
        <f t="shared" si="76"/>
        <v>-577500</v>
      </c>
      <c r="BW83" s="38">
        <f t="shared" si="77"/>
        <v>1</v>
      </c>
      <c r="BX83" s="38">
        <f>MAX(0,MIN(Inputs!$C$36,CC82,BY83+BZ83+CA83+Inputs!$C$6-CB82))</f>
        <v>0</v>
      </c>
      <c r="BY83" s="38">
        <f>Inputs!$C$27*(1+Inputs!$C$28)^($A83/12)*IF(Inputs!$B$72=1,$G83,1)*(1-Inputs!$C$72*$H83*(1-Inputs!$E$54*Inputs!$B$72))*(1+$I83)*IF(Inputs!$C$29=0,1,(MAX(CB82,0)/Inputs!$C$6)^Inputs!$C$29)</f>
        <v>6381.8431018064684</v>
      </c>
      <c r="BZ83" s="38">
        <f>Inputs!$C$32*CB82/Inputs!$C$6</f>
        <v>621.0538744806048</v>
      </c>
      <c r="CA83" s="38">
        <f>Inputs!$C$33</f>
        <v>2000</v>
      </c>
      <c r="CB83" s="38">
        <f t="shared" si="78"/>
        <v>64603.488147340162</v>
      </c>
      <c r="CC83" s="38">
        <f t="shared" si="79"/>
        <v>0</v>
      </c>
      <c r="CD83" s="38">
        <f>Inputs!$C$19*(1-Inputs!$C$72*$H83)+Inputs!$C$21+Inputs!$B$72*$J83</f>
        <v>480000</v>
      </c>
      <c r="CE83" s="38">
        <f t="shared" si="80"/>
        <v>-415396.51185265987</v>
      </c>
      <c r="CF83" s="38">
        <f t="shared" si="81"/>
        <v>1</v>
      </c>
      <c r="CG83" s="38">
        <f>MAX(0,MIN(Inputs!$D$36,CL82,CH83+CI83+CJ83+Inputs!$D$6-CK82))</f>
        <v>0</v>
      </c>
      <c r="CH83" s="38">
        <f>Inputs!$D$27*(1+Inputs!$D$28)^($A83/12)*IF(Inputs!$B$72=1,$G83,1)*(1-Inputs!$C$72*$H83*(1-Inputs!$E$54*Inputs!$B$72))*(1+$I83)*IF(Inputs!$D$29=0,1,(MAX(CK82,0)/Inputs!$D$6)^Inputs!$D$29)</f>
        <v>6059.1426761277298</v>
      </c>
      <c r="CI83" s="38">
        <f>Inputs!$D$32*CK82/Inputs!$D$6</f>
        <v>3495.4678456577212</v>
      </c>
      <c r="CJ83" s="38">
        <f>Inputs!$D$33</f>
        <v>1500</v>
      </c>
      <c r="CK83" s="38">
        <f t="shared" si="82"/>
        <v>721329.12856840377</v>
      </c>
      <c r="CL83" s="38">
        <f t="shared" si="83"/>
        <v>0</v>
      </c>
      <c r="CM83" s="38">
        <f>Inputs!$D$19*(1-Inputs!$C$72*$H83)+Inputs!$D$21+Inputs!$B$72*$J83</f>
        <v>392150</v>
      </c>
      <c r="CN83" s="38">
        <f t="shared" si="84"/>
        <v>329179.12856840377</v>
      </c>
      <c r="CO83" s="38">
        <f t="shared" si="85"/>
        <v>0</v>
      </c>
      <c r="CP83" s="38">
        <f>MAX(0,MIN(Inputs!$B$36,CU82,CQ83+CR83+CS83+Inputs!$B$6-CT82))</f>
        <v>0</v>
      </c>
      <c r="CQ83" s="38">
        <f>Inputs!$B$27*(1+Inputs!$B$28)^($A83/12)*IF(Inputs!$B$73=1,$G83,1)*(1-Inputs!$C$73*$H83*(1-Inputs!$E$54*Inputs!$B$73))*(1+$I83)*IF(Inputs!$B$29=0,1,(MAX(CT82,0)/Inputs!$B$6)^Inputs!$B$29)</f>
        <v>16976.802869109888</v>
      </c>
      <c r="CR83" s="38">
        <f>Inputs!$B$32*CT82/Inputs!$B$6</f>
        <v>0</v>
      </c>
      <c r="CS83" s="38">
        <f>Inputs!$B$33</f>
        <v>2500</v>
      </c>
      <c r="CT83" s="38">
        <f t="shared" si="86"/>
        <v>0</v>
      </c>
      <c r="CU83" s="38">
        <f t="shared" si="87"/>
        <v>0</v>
      </c>
      <c r="CV83" s="38">
        <f>Inputs!$B$19*(1-Inputs!$C$73*$H83)+Inputs!$B$21+Inputs!$B$73*$J83</f>
        <v>583500</v>
      </c>
      <c r="CW83" s="38">
        <f t="shared" si="88"/>
        <v>-583500</v>
      </c>
      <c r="CX83" s="38">
        <f t="shared" si="89"/>
        <v>1</v>
      </c>
      <c r="CY83" s="38">
        <f>MAX(0,MIN(Inputs!$C$36,DD82,CZ83+DA83+DB83+Inputs!$C$6-DC82))</f>
        <v>0</v>
      </c>
      <c r="CZ83" s="38">
        <f>Inputs!$C$27*(1+Inputs!$C$28)^($A83/12)*IF(Inputs!$B$73=1,$G83,1)*(1-Inputs!$C$73*$H83*(1-Inputs!$E$54*Inputs!$B$73))*(1+$I83)*IF(Inputs!$C$29=0,1,(MAX(DC82,0)/Inputs!$C$6)^Inputs!$C$29)</f>
        <v>6413.0415080826115</v>
      </c>
      <c r="DA83" s="38">
        <f>Inputs!$C$32*DC82/Inputs!$C$6</f>
        <v>1013.405164791663</v>
      </c>
      <c r="DB83" s="38">
        <f>Inputs!$C$33</f>
        <v>2000</v>
      </c>
      <c r="DC83" s="38">
        <f t="shared" si="90"/>
        <v>110680.83211724876</v>
      </c>
      <c r="DD83" s="38">
        <f t="shared" si="91"/>
        <v>0</v>
      </c>
      <c r="DE83" s="38">
        <f>Inputs!$C$19*(1-Inputs!$C$73*$H83)+Inputs!$C$21+Inputs!$B$73*$J83</f>
        <v>486000</v>
      </c>
      <c r="DF83" s="38">
        <f t="shared" si="92"/>
        <v>-375319.16788275121</v>
      </c>
      <c r="DG83" s="38">
        <f t="shared" si="93"/>
        <v>1</v>
      </c>
      <c r="DH83" s="38">
        <f>MAX(0,MIN(Inputs!$D$36,DM82,DI83+DJ83+DK83+Inputs!$D$6-DL82))</f>
        <v>0</v>
      </c>
      <c r="DI83" s="38">
        <f>Inputs!$D$27*(1+Inputs!$D$28)^($A83/12)*IF(Inputs!$B$73=1,$G83,1)*(1-Inputs!$C$73*$H83*(1-Inputs!$E$54*Inputs!$B$73))*(1+$I83)*IF(Inputs!$D$29=0,1,(MAX(DL82,0)/Inputs!$D$6)^Inputs!$D$29)</f>
        <v>5583.6495162252395</v>
      </c>
      <c r="DJ83" s="38">
        <f>Inputs!$D$32*DL82/Inputs!$D$6</f>
        <v>3755.0032399649422</v>
      </c>
      <c r="DK83" s="38">
        <f>Inputs!$D$33</f>
        <v>1500</v>
      </c>
      <c r="DL83" s="38">
        <f t="shared" si="94"/>
        <v>775923.93085551192</v>
      </c>
      <c r="DM83" s="38">
        <f t="shared" si="95"/>
        <v>0</v>
      </c>
      <c r="DN83" s="38">
        <f>Inputs!$D$19*(1-Inputs!$C$73*$H83)+Inputs!$D$21+Inputs!$B$73*$J83</f>
        <v>398150</v>
      </c>
      <c r="DO83" s="38">
        <f t="shared" si="96"/>
        <v>377773.93085551192</v>
      </c>
      <c r="DP83" s="38">
        <f t="shared" si="97"/>
        <v>0</v>
      </c>
    </row>
    <row r="84" spans="1:120" x14ac:dyDescent="0.35">
      <c r="A84" s="29">
        <v>79</v>
      </c>
      <c r="B84" s="34">
        <f>EDATE(Inputs!$B$67,$A84)</f>
        <v>48670</v>
      </c>
      <c r="C84" s="35">
        <f>IF(Inputs!$E$47&lt;=0,Inputs!$E$46,Inputs!$E$44+(Inputs!$E$46-Inputs!$E$44)*MIN($A84/Inputs!$E$47,1))</f>
        <v>0.7</v>
      </c>
      <c r="D84" s="35">
        <f>MIN(Inputs!$E$57,Inputs!$E$55*(1+Inputs!$E$56)^($A84/12))*Inputs!$E$58*(1+Inputs!$E$59)^($A84/12)/Inputs!$E$45</f>
        <v>1.5</v>
      </c>
      <c r="E84" s="35">
        <f>MAX(Inputs!$E$44,MIN(C84,D84))</f>
        <v>0.7</v>
      </c>
      <c r="F84" s="35">
        <f>IF(Inputs!$E$50&lt;=0,Inputs!$E$49,Inputs!$E$48+(Inputs!$E$49-Inputs!$E$48)*MIN($A84/Inputs!$E$50,1))</f>
        <v>0.12</v>
      </c>
      <c r="G84" s="36">
        <f>(Inputs!$E$41*(1-E84*Inputs!$E$51)+Inputs!$E$42*(1-F84*Inputs!$E$51))/(Inputs!$E$41*(1-Inputs!$E$44*Inputs!$E$51)+Inputs!$E$42*(1-Inputs!$E$48*Inputs!$E$51))</f>
        <v>0.8423127463863338</v>
      </c>
      <c r="H84" s="35">
        <f>IF(Inputs!$E$53&lt;=0,Inputs!$E$52,Inputs!$E$52*MIN($A84/Inputs!$E$53,1))</f>
        <v>0.1</v>
      </c>
      <c r="I84" s="35">
        <f>IF(Inputs!$E$64&lt;=0,Inputs!$E$63,Inputs!$E$62+(Inputs!$E$63-Inputs!$E$62)*MIN($A84/Inputs!$E$64,1))</f>
        <v>0.03</v>
      </c>
      <c r="J84" s="37">
        <f>(E84-Inputs!$E$44)*Inputs!$E$45/Inputs!$E$60*Inputs!$E$61</f>
        <v>5999.9999999999991</v>
      </c>
      <c r="K84" s="29">
        <f t="shared" si="49"/>
        <v>0</v>
      </c>
      <c r="L84" s="29"/>
      <c r="M84" s="38">
        <f>MAX(0,MIN(Inputs!$B$36,R83,N84+O84+P84+Inputs!$B$6-Q83))</f>
        <v>0</v>
      </c>
      <c r="N84" s="38">
        <f>Inputs!$B$27*(1+Inputs!$B$28)^($A84/12)*IF(Inputs!$B$70=1,$G84,1)*(1-Inputs!$C$70*$H84*(1-Inputs!$E$54*Inputs!$B$70))*(1+$I84)*IF(Inputs!$B$29=0,1,(MAX(Q83,0)/Inputs!$B$6)^Inputs!$B$29)</f>
        <v>21302.212007893711</v>
      </c>
      <c r="O84" s="38">
        <f>Inputs!$B$32*Q83/Inputs!$B$6</f>
        <v>0</v>
      </c>
      <c r="P84" s="38">
        <f>Inputs!$B$33</f>
        <v>2500</v>
      </c>
      <c r="Q84" s="38">
        <f t="shared" si="50"/>
        <v>0</v>
      </c>
      <c r="R84" s="38">
        <f t="shared" si="51"/>
        <v>0</v>
      </c>
      <c r="S84" s="38">
        <f>Inputs!$B$19*(1-Inputs!$C$70*$H84)+Inputs!$B$21+Inputs!$B$70*$J84</f>
        <v>595000</v>
      </c>
      <c r="T84" s="38">
        <f t="shared" si="52"/>
        <v>-595000</v>
      </c>
      <c r="U84" s="38">
        <f t="shared" si="53"/>
        <v>1</v>
      </c>
      <c r="V84" s="38">
        <f>MAX(0,MIN(Inputs!$C$36,AA83,W84+X84+Y84+Inputs!$C$6-Z83))</f>
        <v>0</v>
      </c>
      <c r="W84" s="38">
        <f>Inputs!$C$27*(1+Inputs!$C$28)^($A84/12)*IF(Inputs!$B$70=1,$G84,1)*(1-Inputs!$C$70*$H84*(1-Inputs!$E$54*Inputs!$B$70))*(1+$I84)*IF(Inputs!$C$29=0,1,(MAX(Z83,0)/Inputs!$C$6)^Inputs!$C$29)</f>
        <v>5760.7094044050773</v>
      </c>
      <c r="X84" s="38">
        <f>Inputs!$C$32*Z83/Inputs!$C$6</f>
        <v>270.53203175419469</v>
      </c>
      <c r="Y84" s="38">
        <f>Inputs!$C$33</f>
        <v>2000</v>
      </c>
      <c r="Z84" s="38">
        <f t="shared" si="54"/>
        <v>24031.814179152698</v>
      </c>
      <c r="AA84" s="38">
        <f t="shared" si="55"/>
        <v>0</v>
      </c>
      <c r="AB84" s="38">
        <f>Inputs!$C$19*(1-Inputs!$C$70*$H84)+Inputs!$C$21+Inputs!$B$70*$J84</f>
        <v>495000</v>
      </c>
      <c r="AC84" s="38">
        <f t="shared" si="56"/>
        <v>-470968.18582084728</v>
      </c>
      <c r="AD84" s="38">
        <f t="shared" si="57"/>
        <v>1</v>
      </c>
      <c r="AE84" s="38">
        <f>MAX(0,MIN(Inputs!$D$36,AJ83,AF84+AG84+AH84+Inputs!$D$6-AI83))</f>
        <v>0</v>
      </c>
      <c r="AF84" s="38">
        <f>Inputs!$D$27*(1+Inputs!$D$28)^($A84/12)*IF(Inputs!$B$70=1,$G84,1)*(1-Inputs!$C$70*$H84*(1-Inputs!$E$54*Inputs!$B$70))*(1+$I84)*IF(Inputs!$D$29=0,1,(MAX(AI83,0)/Inputs!$D$6)^Inputs!$D$29)</f>
        <v>6465.1955073446743</v>
      </c>
      <c r="AG84" s="38">
        <f>Inputs!$D$32*AI83/Inputs!$D$6</f>
        <v>3251.2025704080734</v>
      </c>
      <c r="AH84" s="38">
        <f>Inputs!$D$33</f>
        <v>1500</v>
      </c>
      <c r="AI84" s="38">
        <f t="shared" si="58"/>
        <v>669987.95000774832</v>
      </c>
      <c r="AJ84" s="38">
        <f t="shared" si="59"/>
        <v>0</v>
      </c>
      <c r="AK84" s="38">
        <f>Inputs!$D$19*(1-Inputs!$C$70*$H84)+Inputs!$D$21+Inputs!$B$70*$J84</f>
        <v>404800</v>
      </c>
      <c r="AL84" s="38">
        <f t="shared" si="60"/>
        <v>265187.95000774832</v>
      </c>
      <c r="AM84" s="38">
        <f t="shared" si="61"/>
        <v>0</v>
      </c>
      <c r="AN84" s="38">
        <f>MAX(0,MIN(Inputs!$B$36,AS83,AO84+AP84+AQ84+Inputs!$B$6-AR83))</f>
        <v>0</v>
      </c>
      <c r="AO84" s="38">
        <f>Inputs!$B$27*(1+Inputs!$B$28)^($A84/12)*IF(Inputs!$B$71=1,$G84,1)*(1-Inputs!$C$71*$H84*(1-Inputs!$E$54*Inputs!$B$71))*(1+$I84)*IF(Inputs!$B$29=0,1,(MAX(AR83,0)/Inputs!$B$6)^Inputs!$B$29)</f>
        <v>17943.124700472887</v>
      </c>
      <c r="AP84" s="38">
        <f>Inputs!$B$32*AR83/Inputs!$B$6</f>
        <v>0</v>
      </c>
      <c r="AQ84" s="38">
        <f>Inputs!$B$33</f>
        <v>2500</v>
      </c>
      <c r="AR84" s="38">
        <f t="shared" si="62"/>
        <v>0</v>
      </c>
      <c r="AS84" s="38">
        <f t="shared" si="63"/>
        <v>0</v>
      </c>
      <c r="AT84" s="38">
        <f>Inputs!$B$19*(1-Inputs!$C$71*$H84)+Inputs!$B$21+Inputs!$B$71*$J84</f>
        <v>601000</v>
      </c>
      <c r="AU84" s="38">
        <f t="shared" si="64"/>
        <v>-601000</v>
      </c>
      <c r="AV84" s="38">
        <f t="shared" si="65"/>
        <v>1</v>
      </c>
      <c r="AW84" s="38">
        <f>MAX(0,MIN(Inputs!$C$36,BB83,AX84+AY84+AZ84+Inputs!$C$6-BA83))</f>
        <v>0</v>
      </c>
      <c r="AX84" s="38">
        <f>Inputs!$C$27*(1+Inputs!$C$28)^($A84/12)*IF(Inputs!$B$71=1,$G84,1)*(1-Inputs!$C$71*$H84*(1-Inputs!$E$54*Inputs!$B$71))*(1+$I84)*IF(Inputs!$C$29=0,1,(MAX(BA83,0)/Inputs!$C$6)^Inputs!$C$29)</f>
        <v>6357.8651432716333</v>
      </c>
      <c r="AY84" s="38">
        <f>Inputs!$C$32*BA83/Inputs!$C$6</f>
        <v>797.38227663153873</v>
      </c>
      <c r="AZ84" s="38">
        <f>Inputs!$C$33</f>
        <v>2000</v>
      </c>
      <c r="BA84" s="38">
        <f t="shared" si="66"/>
        <v>85349.318699390322</v>
      </c>
      <c r="BB84" s="38">
        <f t="shared" si="67"/>
        <v>0</v>
      </c>
      <c r="BC84" s="38">
        <f>Inputs!$C$19*(1-Inputs!$C$71*$H84)+Inputs!$C$21+Inputs!$B$71*$J84</f>
        <v>501000</v>
      </c>
      <c r="BD84" s="38">
        <f t="shared" si="68"/>
        <v>-415650.68130060966</v>
      </c>
      <c r="BE84" s="38">
        <f t="shared" si="69"/>
        <v>1</v>
      </c>
      <c r="BF84" s="38">
        <f>MAX(0,MIN(Inputs!$D$36,BK83,BG84+BH84+BI84+Inputs!$D$6-BJ83))</f>
        <v>0</v>
      </c>
      <c r="BG84" s="38">
        <f>Inputs!$D$27*(1+Inputs!$D$28)^($A84/12)*IF(Inputs!$B$71=1,$G84,1)*(1-Inputs!$C$71*$H84*(1-Inputs!$E$54*Inputs!$B$71))*(1+$I84)*IF(Inputs!$D$29=0,1,(MAX(BJ83,0)/Inputs!$D$6)^Inputs!$D$29)</f>
        <v>5744.4084261907128</v>
      </c>
      <c r="BH84" s="38">
        <f>Inputs!$D$32*BJ83/Inputs!$D$6</f>
        <v>3617.6336138365218</v>
      </c>
      <c r="BI84" s="38">
        <f>Inputs!$D$33</f>
        <v>1500</v>
      </c>
      <c r="BJ84" s="38">
        <f t="shared" si="70"/>
        <v>747118.33419238694</v>
      </c>
      <c r="BK84" s="38">
        <f t="shared" si="71"/>
        <v>0</v>
      </c>
      <c r="BL84" s="38">
        <f>Inputs!$D$19*(1-Inputs!$C$71*$H84)+Inputs!$D$21+Inputs!$B$71*$J84</f>
        <v>410800</v>
      </c>
      <c r="BM84" s="38">
        <f t="shared" si="72"/>
        <v>336318.33419238694</v>
      </c>
      <c r="BN84" s="38">
        <f t="shared" si="73"/>
        <v>0</v>
      </c>
      <c r="BO84" s="38">
        <f>MAX(0,MIN(Inputs!$B$36,BT83,BP84+BQ84+BR84+Inputs!$B$6-BS83))</f>
        <v>0</v>
      </c>
      <c r="BP84" s="38">
        <f>Inputs!$B$27*(1+Inputs!$B$28)^($A84/12)*IF(Inputs!$B$72=1,$G84,1)*(1-Inputs!$C$72*$H84*(1-Inputs!$E$54*Inputs!$B$72))*(1+$I84)*IF(Inputs!$B$29=0,1,(MAX(BS83,0)/Inputs!$B$6)^Inputs!$B$29)</f>
        <v>19171.990807104339</v>
      </c>
      <c r="BQ84" s="38">
        <f>Inputs!$B$32*BS83/Inputs!$B$6</f>
        <v>0</v>
      </c>
      <c r="BR84" s="38">
        <f>Inputs!$B$33</f>
        <v>2500</v>
      </c>
      <c r="BS84" s="38">
        <f t="shared" si="74"/>
        <v>0</v>
      </c>
      <c r="BT84" s="38">
        <f t="shared" si="75"/>
        <v>0</v>
      </c>
      <c r="BU84" s="38">
        <f>Inputs!$B$19*(1-Inputs!$C$72*$H84)+Inputs!$B$21+Inputs!$B$72*$J84</f>
        <v>577500</v>
      </c>
      <c r="BV84" s="38">
        <f t="shared" si="76"/>
        <v>-577500</v>
      </c>
      <c r="BW84" s="38">
        <f t="shared" si="77"/>
        <v>1</v>
      </c>
      <c r="BX84" s="38">
        <f>MAX(0,MIN(Inputs!$C$36,CC83,BY84+BZ84+CA84+Inputs!$C$6-CB83))</f>
        <v>0</v>
      </c>
      <c r="BY84" s="38">
        <f>Inputs!$C$27*(1+Inputs!$C$28)^($A84/12)*IF(Inputs!$B$72=1,$G84,1)*(1-Inputs!$C$72*$H84*(1-Inputs!$E$54*Inputs!$B$72))*(1+$I84)*IF(Inputs!$C$29=0,1,(MAX(CB83,0)/Inputs!$C$6)^Inputs!$C$29)</f>
        <v>6177.0517858140274</v>
      </c>
      <c r="BZ84" s="38">
        <f>Inputs!$C$32*CB83/Inputs!$C$6</f>
        <v>545.09193124318256</v>
      </c>
      <c r="CA84" s="38">
        <f>Inputs!$C$33</f>
        <v>2000</v>
      </c>
      <c r="CB84" s="38">
        <f t="shared" si="78"/>
        <v>55881.344430282952</v>
      </c>
      <c r="CC84" s="38">
        <f t="shared" si="79"/>
        <v>0</v>
      </c>
      <c r="CD84" s="38">
        <f>Inputs!$C$19*(1-Inputs!$C$72*$H84)+Inputs!$C$21+Inputs!$B$72*$J84</f>
        <v>480000</v>
      </c>
      <c r="CE84" s="38">
        <f t="shared" si="80"/>
        <v>-424118.65556971706</v>
      </c>
      <c r="CF84" s="38">
        <f t="shared" si="81"/>
        <v>1</v>
      </c>
      <c r="CG84" s="38">
        <f>MAX(0,MIN(Inputs!$D$36,CL83,CH84+CI84+CJ84+Inputs!$D$6-CK83))</f>
        <v>0</v>
      </c>
      <c r="CH84" s="38">
        <f>Inputs!$D$27*(1+Inputs!$D$28)^($A84/12)*IF(Inputs!$B$72=1,$G84,1)*(1-Inputs!$C$72*$H84*(1-Inputs!$E$54*Inputs!$B$72))*(1+$I84)*IF(Inputs!$D$29=0,1,(MAX(CK83,0)/Inputs!$D$6)^Inputs!$D$29)</f>
        <v>5987.5920252826008</v>
      </c>
      <c r="CI84" s="38">
        <f>Inputs!$D$32*CK83/Inputs!$D$6</f>
        <v>3442.7072045310179</v>
      </c>
      <c r="CJ84" s="38">
        <f>Inputs!$D$33</f>
        <v>1500</v>
      </c>
      <c r="CK84" s="38">
        <f t="shared" si="82"/>
        <v>710398.82933859015</v>
      </c>
      <c r="CL84" s="38">
        <f t="shared" si="83"/>
        <v>0</v>
      </c>
      <c r="CM84" s="38">
        <f>Inputs!$D$19*(1-Inputs!$C$72*$H84)+Inputs!$D$21+Inputs!$B$72*$J84</f>
        <v>392150</v>
      </c>
      <c r="CN84" s="38">
        <f t="shared" si="84"/>
        <v>318248.82933859015</v>
      </c>
      <c r="CO84" s="38">
        <f t="shared" si="85"/>
        <v>0</v>
      </c>
      <c r="CP84" s="38">
        <f>MAX(0,MIN(Inputs!$B$36,CU83,CQ84+CR84+CS84+Inputs!$B$6-CT83))</f>
        <v>0</v>
      </c>
      <c r="CQ84" s="38">
        <f>Inputs!$B$27*(1+Inputs!$B$28)^($A84/12)*IF(Inputs!$B$73=1,$G84,1)*(1-Inputs!$C$73*$H84*(1-Inputs!$E$54*Inputs!$B$73))*(1+$I84)*IF(Inputs!$B$29=0,1,(MAX(CT83,0)/Inputs!$B$6)^Inputs!$B$29)</f>
        <v>17045.968465449241</v>
      </c>
      <c r="CR84" s="38">
        <f>Inputs!$B$32*CT83/Inputs!$B$6</f>
        <v>0</v>
      </c>
      <c r="CS84" s="38">
        <f>Inputs!$B$33</f>
        <v>2500</v>
      </c>
      <c r="CT84" s="38">
        <f t="shared" si="86"/>
        <v>0</v>
      </c>
      <c r="CU84" s="38">
        <f t="shared" si="87"/>
        <v>0</v>
      </c>
      <c r="CV84" s="38">
        <f>Inputs!$B$19*(1-Inputs!$C$73*$H84)+Inputs!$B$21+Inputs!$B$73*$J84</f>
        <v>583500</v>
      </c>
      <c r="CW84" s="38">
        <f t="shared" si="88"/>
        <v>-583500</v>
      </c>
      <c r="CX84" s="38">
        <f t="shared" si="89"/>
        <v>1</v>
      </c>
      <c r="CY84" s="38">
        <f>MAX(0,MIN(Inputs!$C$36,DD83,CZ84+DA84+DB84+Inputs!$C$6-DC83))</f>
        <v>0</v>
      </c>
      <c r="CZ84" s="38">
        <f>Inputs!$C$27*(1+Inputs!$C$28)^($A84/12)*IF(Inputs!$B$73=1,$G84,1)*(1-Inputs!$C$73*$H84*(1-Inputs!$E$54*Inputs!$B$73))*(1+$I84)*IF(Inputs!$C$29=0,1,(MAX(DC83,0)/Inputs!$C$6)^Inputs!$C$29)</f>
        <v>6283.3293268138978</v>
      </c>
      <c r="DA84" s="38">
        <f>Inputs!$C$32*DC83/Inputs!$C$6</f>
        <v>933.86952098928634</v>
      </c>
      <c r="DB84" s="38">
        <f>Inputs!$C$33</f>
        <v>2000</v>
      </c>
      <c r="DC84" s="38">
        <f t="shared" si="90"/>
        <v>101463.63326944558</v>
      </c>
      <c r="DD84" s="38">
        <f t="shared" si="91"/>
        <v>0</v>
      </c>
      <c r="DE84" s="38">
        <f>Inputs!$C$19*(1-Inputs!$C$73*$H84)+Inputs!$C$21+Inputs!$B$73*$J84</f>
        <v>486000</v>
      </c>
      <c r="DF84" s="38">
        <f t="shared" si="92"/>
        <v>-384536.36673055444</v>
      </c>
      <c r="DG84" s="38">
        <f t="shared" si="93"/>
        <v>1</v>
      </c>
      <c r="DH84" s="38">
        <f>MAX(0,MIN(Inputs!$D$36,DM83,DI84+DJ84+DK84+Inputs!$D$6-DL83))</f>
        <v>0</v>
      </c>
      <c r="DI84" s="38">
        <f>Inputs!$D$27*(1+Inputs!$D$28)^($A84/12)*IF(Inputs!$B$73=1,$G84,1)*(1-Inputs!$C$73*$H84*(1-Inputs!$E$54*Inputs!$B$73))*(1+$I84)*IF(Inputs!$D$29=0,1,(MAX(DL83,0)/Inputs!$D$6)^Inputs!$D$29)</f>
        <v>5521.4037777291569</v>
      </c>
      <c r="DJ84" s="38">
        <f>Inputs!$D$32*DL83/Inputs!$D$6</f>
        <v>3703.2733063558526</v>
      </c>
      <c r="DK84" s="38">
        <f>Inputs!$D$33</f>
        <v>1500</v>
      </c>
      <c r="DL84" s="38">
        <f t="shared" si="94"/>
        <v>765199.25377142697</v>
      </c>
      <c r="DM84" s="38">
        <f t="shared" si="95"/>
        <v>0</v>
      </c>
      <c r="DN84" s="38">
        <f>Inputs!$D$19*(1-Inputs!$C$73*$H84)+Inputs!$D$21+Inputs!$B$73*$J84</f>
        <v>398150</v>
      </c>
      <c r="DO84" s="38">
        <f t="shared" si="96"/>
        <v>367049.25377142697</v>
      </c>
      <c r="DP84" s="38">
        <f t="shared" si="97"/>
        <v>0</v>
      </c>
    </row>
    <row r="85" spans="1:120" x14ac:dyDescent="0.35">
      <c r="A85" s="29">
        <v>80</v>
      </c>
      <c r="B85" s="34">
        <f>EDATE(Inputs!$B$67,$A85)</f>
        <v>48700</v>
      </c>
      <c r="C85" s="35">
        <f>IF(Inputs!$E$47&lt;=0,Inputs!$E$46,Inputs!$E$44+(Inputs!$E$46-Inputs!$E$44)*MIN($A85/Inputs!$E$47,1))</f>
        <v>0.7</v>
      </c>
      <c r="D85" s="35">
        <f>MIN(Inputs!$E$57,Inputs!$E$55*(1+Inputs!$E$56)^($A85/12))*Inputs!$E$58*(1+Inputs!$E$59)^($A85/12)/Inputs!$E$45</f>
        <v>1.5</v>
      </c>
      <c r="E85" s="35">
        <f>MAX(Inputs!$E$44,MIN(C85,D85))</f>
        <v>0.7</v>
      </c>
      <c r="F85" s="35">
        <f>IF(Inputs!$E$50&lt;=0,Inputs!$E$49,Inputs!$E$48+(Inputs!$E$49-Inputs!$E$48)*MIN($A85/Inputs!$E$50,1))</f>
        <v>0.12</v>
      </c>
      <c r="G85" s="36">
        <f>(Inputs!$E$41*(1-E85*Inputs!$E$51)+Inputs!$E$42*(1-F85*Inputs!$E$51))/(Inputs!$E$41*(1-Inputs!$E$44*Inputs!$E$51)+Inputs!$E$42*(1-Inputs!$E$48*Inputs!$E$51))</f>
        <v>0.8423127463863338</v>
      </c>
      <c r="H85" s="35">
        <f>IF(Inputs!$E$53&lt;=0,Inputs!$E$52,Inputs!$E$52*MIN($A85/Inputs!$E$53,1))</f>
        <v>0.1</v>
      </c>
      <c r="I85" s="35">
        <f>IF(Inputs!$E$64&lt;=0,Inputs!$E$63,Inputs!$E$62+(Inputs!$E$63-Inputs!$E$62)*MIN($A85/Inputs!$E$64,1))</f>
        <v>0.03</v>
      </c>
      <c r="J85" s="37">
        <f>(E85-Inputs!$E$44)*Inputs!$E$45/Inputs!$E$60*Inputs!$E$61</f>
        <v>5999.9999999999991</v>
      </c>
      <c r="K85" s="29">
        <f t="shared" si="49"/>
        <v>0</v>
      </c>
      <c r="L85" s="29"/>
      <c r="M85" s="38">
        <f>MAX(0,MIN(Inputs!$B$36,R84,N85+O85+P85+Inputs!$B$6-Q84))</f>
        <v>0</v>
      </c>
      <c r="N85" s="38">
        <f>Inputs!$B$27*(1+Inputs!$B$28)^($A85/12)*IF(Inputs!$B$70=1,$G85,1)*(1-Inputs!$C$70*$H85*(1-Inputs!$E$54*Inputs!$B$70))*(1+$I85)*IF(Inputs!$B$29=0,1,(MAX(Q84,0)/Inputs!$B$6)^Inputs!$B$29)</f>
        <v>21388.999856479386</v>
      </c>
      <c r="O85" s="38">
        <f>Inputs!$B$32*Q84/Inputs!$B$6</f>
        <v>0</v>
      </c>
      <c r="P85" s="38">
        <f>Inputs!$B$33</f>
        <v>2500</v>
      </c>
      <c r="Q85" s="38">
        <f t="shared" si="50"/>
        <v>0</v>
      </c>
      <c r="R85" s="38">
        <f t="shared" si="51"/>
        <v>0</v>
      </c>
      <c r="S85" s="38">
        <f>Inputs!$B$19*(1-Inputs!$C$70*$H85)+Inputs!$B$21+Inputs!$B$70*$J85</f>
        <v>595000</v>
      </c>
      <c r="T85" s="38">
        <f t="shared" si="52"/>
        <v>-595000</v>
      </c>
      <c r="U85" s="38">
        <f t="shared" si="53"/>
        <v>1</v>
      </c>
      <c r="V85" s="38">
        <f>MAX(0,MIN(Inputs!$C$36,AA84,W85+X85+Y85+Inputs!$C$6-Z84))</f>
        <v>0</v>
      </c>
      <c r="W85" s="38">
        <f>Inputs!$C$27*(1+Inputs!$C$28)^($A85/12)*IF(Inputs!$B$70=1,$G85,1)*(1-Inputs!$C$70*$H85*(1-Inputs!$E$54*Inputs!$B$70))*(1+$I85)*IF(Inputs!$C$29=0,1,(MAX(Z84,0)/Inputs!$C$6)^Inputs!$C$29)</f>
        <v>5360.0813406628167</v>
      </c>
      <c r="X85" s="38">
        <f>Inputs!$C$32*Z84/Inputs!$C$6</f>
        <v>202.76843213660086</v>
      </c>
      <c r="Y85" s="38">
        <f>Inputs!$C$33</f>
        <v>2000</v>
      </c>
      <c r="Z85" s="38">
        <f t="shared" si="54"/>
        <v>16468.96440635328</v>
      </c>
      <c r="AA85" s="38">
        <f t="shared" si="55"/>
        <v>0</v>
      </c>
      <c r="AB85" s="38">
        <f>Inputs!$C$19*(1-Inputs!$C$70*$H85)+Inputs!$C$21+Inputs!$B$70*$J85</f>
        <v>495000</v>
      </c>
      <c r="AC85" s="38">
        <f t="shared" si="56"/>
        <v>-478531.03559364669</v>
      </c>
      <c r="AD85" s="38">
        <f t="shared" si="57"/>
        <v>1</v>
      </c>
      <c r="AE85" s="38">
        <f>MAX(0,MIN(Inputs!$D$36,AJ84,AF85+AG85+AH85+Inputs!$D$6-AI84))</f>
        <v>0</v>
      </c>
      <c r="AF85" s="38">
        <f>Inputs!$D$27*(1+Inputs!$D$28)^($A85/12)*IF(Inputs!$B$70=1,$G85,1)*(1-Inputs!$C$70*$H85*(1-Inputs!$E$54*Inputs!$B$70))*(1+$I85)*IF(Inputs!$D$29=0,1,(MAX(AI84,0)/Inputs!$D$6)^Inputs!$D$29)</f>
        <v>6384.3999638406858</v>
      </c>
      <c r="AG85" s="38">
        <f>Inputs!$D$32*AI84/Inputs!$D$6</f>
        <v>3197.6697614006171</v>
      </c>
      <c r="AH85" s="38">
        <f>Inputs!$D$33</f>
        <v>1500</v>
      </c>
      <c r="AI85" s="38">
        <f t="shared" si="58"/>
        <v>658905.88028250693</v>
      </c>
      <c r="AJ85" s="38">
        <f t="shared" si="59"/>
        <v>0</v>
      </c>
      <c r="AK85" s="38">
        <f>Inputs!$D$19*(1-Inputs!$C$70*$H85)+Inputs!$D$21+Inputs!$B$70*$J85</f>
        <v>404800</v>
      </c>
      <c r="AL85" s="38">
        <f t="shared" si="60"/>
        <v>254105.88028250693</v>
      </c>
      <c r="AM85" s="38">
        <f t="shared" si="61"/>
        <v>0</v>
      </c>
      <c r="AN85" s="38">
        <f>MAX(0,MIN(Inputs!$B$36,AS84,AO85+AP85+AQ85+Inputs!$B$6-AR84))</f>
        <v>0</v>
      </c>
      <c r="AO85" s="38">
        <f>Inputs!$B$27*(1+Inputs!$B$28)^($A85/12)*IF(Inputs!$B$71=1,$G85,1)*(1-Inputs!$C$71*$H85*(1-Inputs!$E$54*Inputs!$B$71))*(1+$I85)*IF(Inputs!$B$29=0,1,(MAX(AR84,0)/Inputs!$B$6)^Inputs!$B$29)</f>
        <v>18016.22721156805</v>
      </c>
      <c r="AP85" s="38">
        <f>Inputs!$B$32*AR84/Inputs!$B$6</f>
        <v>0</v>
      </c>
      <c r="AQ85" s="38">
        <f>Inputs!$B$33</f>
        <v>2500</v>
      </c>
      <c r="AR85" s="38">
        <f t="shared" si="62"/>
        <v>0</v>
      </c>
      <c r="AS85" s="38">
        <f t="shared" si="63"/>
        <v>0</v>
      </c>
      <c r="AT85" s="38">
        <f>Inputs!$B$19*(1-Inputs!$C$71*$H85)+Inputs!$B$21+Inputs!$B$71*$J85</f>
        <v>601000</v>
      </c>
      <c r="AU85" s="38">
        <f t="shared" si="64"/>
        <v>-601000</v>
      </c>
      <c r="AV85" s="38">
        <f t="shared" si="65"/>
        <v>1</v>
      </c>
      <c r="AW85" s="38">
        <f>MAX(0,MIN(Inputs!$C$36,BB84,AX85+AY85+AZ85+Inputs!$C$6-BA84))</f>
        <v>0</v>
      </c>
      <c r="AX85" s="38">
        <f>Inputs!$C$27*(1+Inputs!$C$28)^($A85/12)*IF(Inputs!$B$71=1,$G85,1)*(1-Inputs!$C$71*$H85*(1-Inputs!$E$54*Inputs!$B$71))*(1+$I85)*IF(Inputs!$C$29=0,1,(MAX(BA84,0)/Inputs!$C$6)^Inputs!$C$29)</f>
        <v>6197.9508563785284</v>
      </c>
      <c r="AY85" s="38">
        <f>Inputs!$C$32*BA84/Inputs!$C$6</f>
        <v>720.1348765261057</v>
      </c>
      <c r="AZ85" s="38">
        <f>Inputs!$C$33</f>
        <v>2000</v>
      </c>
      <c r="BA85" s="38">
        <f t="shared" si="66"/>
        <v>76431.232966485681</v>
      </c>
      <c r="BB85" s="38">
        <f t="shared" si="67"/>
        <v>0</v>
      </c>
      <c r="BC85" s="38">
        <f>Inputs!$C$19*(1-Inputs!$C$71*$H85)+Inputs!$C$21+Inputs!$B$71*$J85</f>
        <v>501000</v>
      </c>
      <c r="BD85" s="38">
        <f t="shared" si="68"/>
        <v>-424568.76703351433</v>
      </c>
      <c r="BE85" s="38">
        <f t="shared" si="69"/>
        <v>1</v>
      </c>
      <c r="BF85" s="38">
        <f>MAX(0,MIN(Inputs!$D$36,BK84,BG85+BH85+BI85+Inputs!$D$6-BJ84))</f>
        <v>0</v>
      </c>
      <c r="BG85" s="38">
        <f>Inputs!$D$27*(1+Inputs!$D$28)^($A85/12)*IF(Inputs!$B$71=1,$G85,1)*(1-Inputs!$C$71*$H85*(1-Inputs!$E$54*Inputs!$B$71))*(1+$I85)*IF(Inputs!$D$29=0,1,(MAX(BJ84,0)/Inputs!$D$6)^Inputs!$D$29)</f>
        <v>5678.7749816152418</v>
      </c>
      <c r="BH85" s="38">
        <f>Inputs!$D$32*BJ84/Inputs!$D$6</f>
        <v>3565.7920495545741</v>
      </c>
      <c r="BI85" s="38">
        <f>Inputs!$D$33</f>
        <v>1500</v>
      </c>
      <c r="BJ85" s="38">
        <f t="shared" si="70"/>
        <v>736373.76716121717</v>
      </c>
      <c r="BK85" s="38">
        <f t="shared" si="71"/>
        <v>0</v>
      </c>
      <c r="BL85" s="38">
        <f>Inputs!$D$19*(1-Inputs!$C$71*$H85)+Inputs!$D$21+Inputs!$B$71*$J85</f>
        <v>410800</v>
      </c>
      <c r="BM85" s="38">
        <f t="shared" si="72"/>
        <v>325573.76716121717</v>
      </c>
      <c r="BN85" s="38">
        <f t="shared" si="73"/>
        <v>0</v>
      </c>
      <c r="BO85" s="38">
        <f>MAX(0,MIN(Inputs!$B$36,BT84,BP85+BQ85+BR85+Inputs!$B$6-BS84))</f>
        <v>0</v>
      </c>
      <c r="BP85" s="38">
        <f>Inputs!$B$27*(1+Inputs!$B$28)^($A85/12)*IF(Inputs!$B$72=1,$G85,1)*(1-Inputs!$C$72*$H85*(1-Inputs!$E$54*Inputs!$B$72))*(1+$I85)*IF(Inputs!$B$29=0,1,(MAX(BS84,0)/Inputs!$B$6)^Inputs!$B$29)</f>
        <v>19250.099870831447</v>
      </c>
      <c r="BQ85" s="38">
        <f>Inputs!$B$32*BS84/Inputs!$B$6</f>
        <v>0</v>
      </c>
      <c r="BR85" s="38">
        <f>Inputs!$B$33</f>
        <v>2500</v>
      </c>
      <c r="BS85" s="38">
        <f t="shared" si="74"/>
        <v>0</v>
      </c>
      <c r="BT85" s="38">
        <f t="shared" si="75"/>
        <v>0</v>
      </c>
      <c r="BU85" s="38">
        <f>Inputs!$B$19*(1-Inputs!$C$72*$H85)+Inputs!$B$21+Inputs!$B$72*$J85</f>
        <v>577500</v>
      </c>
      <c r="BV85" s="38">
        <f t="shared" si="76"/>
        <v>-577500</v>
      </c>
      <c r="BW85" s="38">
        <f t="shared" si="77"/>
        <v>1</v>
      </c>
      <c r="BX85" s="38">
        <f>MAX(0,MIN(Inputs!$C$36,CC84,BY85+BZ85+CA85+Inputs!$C$6-CB84))</f>
        <v>0</v>
      </c>
      <c r="BY85" s="38">
        <f>Inputs!$C$27*(1+Inputs!$C$28)^($A85/12)*IF(Inputs!$B$72=1,$G85,1)*(1-Inputs!$C$72*$H85*(1-Inputs!$E$54*Inputs!$B$72))*(1+$I85)*IF(Inputs!$C$29=0,1,(MAX(CB84,0)/Inputs!$C$6)^Inputs!$C$29)</f>
        <v>5957.0872627249937</v>
      </c>
      <c r="BZ85" s="38">
        <f>Inputs!$C$32*CB84/Inputs!$C$6</f>
        <v>471.49884363051234</v>
      </c>
      <c r="CA85" s="38">
        <f>Inputs!$C$33</f>
        <v>2000</v>
      </c>
      <c r="CB85" s="38">
        <f t="shared" si="78"/>
        <v>47452.758323927446</v>
      </c>
      <c r="CC85" s="38">
        <f t="shared" si="79"/>
        <v>0</v>
      </c>
      <c r="CD85" s="38">
        <f>Inputs!$C$19*(1-Inputs!$C$72*$H85)+Inputs!$C$21+Inputs!$B$72*$J85</f>
        <v>480000</v>
      </c>
      <c r="CE85" s="38">
        <f t="shared" si="80"/>
        <v>-432547.24167607253</v>
      </c>
      <c r="CF85" s="38">
        <f t="shared" si="81"/>
        <v>1</v>
      </c>
      <c r="CG85" s="38">
        <f>MAX(0,MIN(Inputs!$D$36,CL84,CH85+CI85+CJ85+Inputs!$D$6-CK84))</f>
        <v>0</v>
      </c>
      <c r="CH85" s="38">
        <f>Inputs!$D$27*(1+Inputs!$D$28)^($A85/12)*IF(Inputs!$B$72=1,$G85,1)*(1-Inputs!$C$72*$H85*(1-Inputs!$E$54*Inputs!$B$72))*(1+$I85)*IF(Inputs!$D$29=0,1,(MAX(CK84,0)/Inputs!$D$6)^Inputs!$D$29)</f>
        <v>5916.7091163248069</v>
      </c>
      <c r="CI85" s="38">
        <f>Inputs!$D$32*CK84/Inputs!$D$6</f>
        <v>3390.5398672978167</v>
      </c>
      <c r="CJ85" s="38">
        <f>Inputs!$D$33</f>
        <v>1500</v>
      </c>
      <c r="CK85" s="38">
        <f t="shared" si="82"/>
        <v>699591.5803549675</v>
      </c>
      <c r="CL85" s="38">
        <f t="shared" si="83"/>
        <v>0</v>
      </c>
      <c r="CM85" s="38">
        <f>Inputs!$D$19*(1-Inputs!$C$72*$H85)+Inputs!$D$21+Inputs!$B$72*$J85</f>
        <v>392150</v>
      </c>
      <c r="CN85" s="38">
        <f t="shared" si="84"/>
        <v>307441.5803549675</v>
      </c>
      <c r="CO85" s="38">
        <f t="shared" si="85"/>
        <v>0</v>
      </c>
      <c r="CP85" s="38">
        <f>MAX(0,MIN(Inputs!$B$36,CU84,CQ85+CR85+CS85+Inputs!$B$6-CT84))</f>
        <v>0</v>
      </c>
      <c r="CQ85" s="38">
        <f>Inputs!$B$27*(1+Inputs!$B$28)^($A85/12)*IF(Inputs!$B$73=1,$G85,1)*(1-Inputs!$C$73*$H85*(1-Inputs!$E$54*Inputs!$B$73))*(1+$I85)*IF(Inputs!$B$29=0,1,(MAX(CT84,0)/Inputs!$B$6)^Inputs!$B$29)</f>
        <v>17115.415850989648</v>
      </c>
      <c r="CR85" s="38">
        <f>Inputs!$B$32*CT84/Inputs!$B$6</f>
        <v>0</v>
      </c>
      <c r="CS85" s="38">
        <f>Inputs!$B$33</f>
        <v>2500</v>
      </c>
      <c r="CT85" s="38">
        <f t="shared" si="86"/>
        <v>0</v>
      </c>
      <c r="CU85" s="38">
        <f t="shared" si="87"/>
        <v>0</v>
      </c>
      <c r="CV85" s="38">
        <f>Inputs!$B$19*(1-Inputs!$C$73*$H85)+Inputs!$B$21+Inputs!$B$73*$J85</f>
        <v>583500</v>
      </c>
      <c r="CW85" s="38">
        <f t="shared" si="88"/>
        <v>-583500</v>
      </c>
      <c r="CX85" s="38">
        <f t="shared" si="89"/>
        <v>1</v>
      </c>
      <c r="CY85" s="38">
        <f>MAX(0,MIN(Inputs!$C$36,DD84,CZ85+DA85+DB85+Inputs!$C$6-DC84))</f>
        <v>0</v>
      </c>
      <c r="CZ85" s="38">
        <f>Inputs!$C$27*(1+Inputs!$C$28)^($A85/12)*IF(Inputs!$B$73=1,$G85,1)*(1-Inputs!$C$73*$H85*(1-Inputs!$E$54*Inputs!$B$73))*(1+$I85)*IF(Inputs!$C$29=0,1,(MAX(DC84,0)/Inputs!$C$6)^Inputs!$C$29)</f>
        <v>6148.2188971033302</v>
      </c>
      <c r="DA85" s="38">
        <f>Inputs!$C$32*DC84/Inputs!$C$6</f>
        <v>856.09940571094694</v>
      </c>
      <c r="DB85" s="38">
        <f>Inputs!$C$33</f>
        <v>2000</v>
      </c>
      <c r="DC85" s="38">
        <f t="shared" si="90"/>
        <v>92459.314966631297</v>
      </c>
      <c r="DD85" s="38">
        <f t="shared" si="91"/>
        <v>0</v>
      </c>
      <c r="DE85" s="38">
        <f>Inputs!$C$19*(1-Inputs!$C$73*$H85)+Inputs!$C$21+Inputs!$B$73*$J85</f>
        <v>486000</v>
      </c>
      <c r="DF85" s="38">
        <f t="shared" si="92"/>
        <v>-393540.6850333687</v>
      </c>
      <c r="DG85" s="38">
        <f t="shared" si="93"/>
        <v>1</v>
      </c>
      <c r="DH85" s="38">
        <f>MAX(0,MIN(Inputs!$D$36,DM84,DI85+DJ85+DK85+Inputs!$D$6-DL84))</f>
        <v>0</v>
      </c>
      <c r="DI85" s="38">
        <f>Inputs!$D$27*(1+Inputs!$D$28)^($A85/12)*IF(Inputs!$B$73=1,$G85,1)*(1-Inputs!$C$73*$H85*(1-Inputs!$E$54*Inputs!$B$73))*(1+$I85)*IF(Inputs!$D$29=0,1,(MAX(DL84,0)/Inputs!$D$6)^Inputs!$D$29)</f>
        <v>5459.7258694343418</v>
      </c>
      <c r="DJ85" s="38">
        <f>Inputs!$D$32*DL84/Inputs!$D$6</f>
        <v>3652.0873475454473</v>
      </c>
      <c r="DK85" s="38">
        <f>Inputs!$D$33</f>
        <v>1500</v>
      </c>
      <c r="DL85" s="38">
        <f t="shared" si="94"/>
        <v>754587.44055444724</v>
      </c>
      <c r="DM85" s="38">
        <f t="shared" si="95"/>
        <v>0</v>
      </c>
      <c r="DN85" s="38">
        <f>Inputs!$D$19*(1-Inputs!$C$73*$H85)+Inputs!$D$21+Inputs!$B$73*$J85</f>
        <v>398150</v>
      </c>
      <c r="DO85" s="38">
        <f t="shared" si="96"/>
        <v>356437.44055444724</v>
      </c>
      <c r="DP85" s="38">
        <f t="shared" si="97"/>
        <v>0</v>
      </c>
    </row>
    <row r="86" spans="1:120" x14ac:dyDescent="0.35">
      <c r="A86" s="29">
        <v>81</v>
      </c>
      <c r="B86" s="34">
        <f>EDATE(Inputs!$B$67,$A86)</f>
        <v>48731</v>
      </c>
      <c r="C86" s="35">
        <f>IF(Inputs!$E$47&lt;=0,Inputs!$E$46,Inputs!$E$44+(Inputs!$E$46-Inputs!$E$44)*MIN($A86/Inputs!$E$47,1))</f>
        <v>0.7</v>
      </c>
      <c r="D86" s="35">
        <f>MIN(Inputs!$E$57,Inputs!$E$55*(1+Inputs!$E$56)^($A86/12))*Inputs!$E$58*(1+Inputs!$E$59)^($A86/12)/Inputs!$E$45</f>
        <v>1.5</v>
      </c>
      <c r="E86" s="35">
        <f>MAX(Inputs!$E$44,MIN(C86,D86))</f>
        <v>0.7</v>
      </c>
      <c r="F86" s="35">
        <f>IF(Inputs!$E$50&lt;=0,Inputs!$E$49,Inputs!$E$48+(Inputs!$E$49-Inputs!$E$48)*MIN($A86/Inputs!$E$50,1))</f>
        <v>0.12</v>
      </c>
      <c r="G86" s="36">
        <f>(Inputs!$E$41*(1-E86*Inputs!$E$51)+Inputs!$E$42*(1-F86*Inputs!$E$51))/(Inputs!$E$41*(1-Inputs!$E$44*Inputs!$E$51)+Inputs!$E$42*(1-Inputs!$E$48*Inputs!$E$51))</f>
        <v>0.8423127463863338</v>
      </c>
      <c r="H86" s="35">
        <f>IF(Inputs!$E$53&lt;=0,Inputs!$E$52,Inputs!$E$52*MIN($A86/Inputs!$E$53,1))</f>
        <v>0.1</v>
      </c>
      <c r="I86" s="35">
        <f>IF(Inputs!$E$64&lt;=0,Inputs!$E$63,Inputs!$E$62+(Inputs!$E$63-Inputs!$E$62)*MIN($A86/Inputs!$E$64,1))</f>
        <v>0.03</v>
      </c>
      <c r="J86" s="37">
        <f>(E86-Inputs!$E$44)*Inputs!$E$45/Inputs!$E$60*Inputs!$E$61</f>
        <v>5999.9999999999991</v>
      </c>
      <c r="K86" s="29">
        <f t="shared" si="49"/>
        <v>0</v>
      </c>
      <c r="L86" s="29"/>
      <c r="M86" s="38">
        <f>MAX(0,MIN(Inputs!$B$36,R85,N86+O86+P86+Inputs!$B$6-Q85))</f>
        <v>0</v>
      </c>
      <c r="N86" s="38">
        <f>Inputs!$B$27*(1+Inputs!$B$28)^($A86/12)*IF(Inputs!$B$70=1,$G86,1)*(1-Inputs!$C$70*$H86*(1-Inputs!$E$54*Inputs!$B$70))*(1+$I86)*IF(Inputs!$B$29=0,1,(MAX(Q85,0)/Inputs!$B$6)^Inputs!$B$29)</f>
        <v>21476.141289503117</v>
      </c>
      <c r="O86" s="38">
        <f>Inputs!$B$32*Q85/Inputs!$B$6</f>
        <v>0</v>
      </c>
      <c r="P86" s="38">
        <f>Inputs!$B$33</f>
        <v>2500</v>
      </c>
      <c r="Q86" s="38">
        <f t="shared" si="50"/>
        <v>0</v>
      </c>
      <c r="R86" s="38">
        <f t="shared" si="51"/>
        <v>0</v>
      </c>
      <c r="S86" s="38">
        <f>Inputs!$B$19*(1-Inputs!$C$70*$H86)+Inputs!$B$21+Inputs!$B$70*$J86</f>
        <v>595000</v>
      </c>
      <c r="T86" s="38">
        <f t="shared" si="52"/>
        <v>-595000</v>
      </c>
      <c r="U86" s="38">
        <f t="shared" si="53"/>
        <v>1</v>
      </c>
      <c r="V86" s="38">
        <f>MAX(0,MIN(Inputs!$C$36,AA85,W86+X86+Y86+Inputs!$C$6-Z85))</f>
        <v>0</v>
      </c>
      <c r="W86" s="38">
        <f>Inputs!$C$27*(1+Inputs!$C$28)^($A86/12)*IF(Inputs!$B$70=1,$G86,1)*(1-Inputs!$C$70*$H86*(1-Inputs!$E$54*Inputs!$B$70))*(1+$I86)*IF(Inputs!$C$29=0,1,(MAX(Z85,0)/Inputs!$C$6)^Inputs!$C$29)</f>
        <v>4876.8715125652598</v>
      </c>
      <c r="X86" s="38">
        <f>Inputs!$C$32*Z85/Inputs!$C$6</f>
        <v>138.95688717860577</v>
      </c>
      <c r="Y86" s="38">
        <f>Inputs!$C$33</f>
        <v>2000</v>
      </c>
      <c r="Z86" s="38">
        <f t="shared" si="54"/>
        <v>9453.1360066094148</v>
      </c>
      <c r="AA86" s="38">
        <f t="shared" si="55"/>
        <v>0</v>
      </c>
      <c r="AB86" s="38">
        <f>Inputs!$C$19*(1-Inputs!$C$70*$H86)+Inputs!$C$21+Inputs!$B$70*$J86</f>
        <v>495000</v>
      </c>
      <c r="AC86" s="38">
        <f t="shared" si="56"/>
        <v>-485546.86399339058</v>
      </c>
      <c r="AD86" s="38">
        <f t="shared" si="57"/>
        <v>1</v>
      </c>
      <c r="AE86" s="38">
        <f>MAX(0,MIN(Inputs!$D$36,AJ85,AF86+AG86+AH86+Inputs!$D$6-AI85))</f>
        <v>0</v>
      </c>
      <c r="AF86" s="38">
        <f>Inputs!$D$27*(1+Inputs!$D$28)^($A86/12)*IF(Inputs!$B$70=1,$G86,1)*(1-Inputs!$C$70*$H86*(1-Inputs!$E$54*Inputs!$B$70))*(1+$I86)*IF(Inputs!$D$29=0,1,(MAX(AI85,0)/Inputs!$D$6)^Inputs!$D$29)</f>
        <v>6304.3732265353046</v>
      </c>
      <c r="AG86" s="38">
        <f>Inputs!$D$32*AI85/Inputs!$D$6</f>
        <v>3144.7780649846923</v>
      </c>
      <c r="AH86" s="38">
        <f>Inputs!$D$33</f>
        <v>1500</v>
      </c>
      <c r="AI86" s="38">
        <f t="shared" si="58"/>
        <v>647956.72899098694</v>
      </c>
      <c r="AJ86" s="38">
        <f t="shared" si="59"/>
        <v>0</v>
      </c>
      <c r="AK86" s="38">
        <f>Inputs!$D$19*(1-Inputs!$C$70*$H86)+Inputs!$D$21+Inputs!$B$70*$J86</f>
        <v>404800</v>
      </c>
      <c r="AL86" s="38">
        <f t="shared" si="60"/>
        <v>243156.72899098694</v>
      </c>
      <c r="AM86" s="38">
        <f t="shared" si="61"/>
        <v>0</v>
      </c>
      <c r="AN86" s="38">
        <f>MAX(0,MIN(Inputs!$B$36,AS85,AO86+AP86+AQ86+Inputs!$B$6-AR85))</f>
        <v>0</v>
      </c>
      <c r="AO86" s="38">
        <f>Inputs!$B$27*(1+Inputs!$B$28)^($A86/12)*IF(Inputs!$B$71=1,$G86,1)*(1-Inputs!$C$71*$H86*(1-Inputs!$E$54*Inputs!$B$71))*(1+$I86)*IF(Inputs!$B$29=0,1,(MAX(AR85,0)/Inputs!$B$6)^Inputs!$B$29)</f>
        <v>18089.62755134231</v>
      </c>
      <c r="AP86" s="38">
        <f>Inputs!$B$32*AR85/Inputs!$B$6</f>
        <v>0</v>
      </c>
      <c r="AQ86" s="38">
        <f>Inputs!$B$33</f>
        <v>2500</v>
      </c>
      <c r="AR86" s="38">
        <f t="shared" si="62"/>
        <v>0</v>
      </c>
      <c r="AS86" s="38">
        <f t="shared" si="63"/>
        <v>0</v>
      </c>
      <c r="AT86" s="38">
        <f>Inputs!$B$19*(1-Inputs!$C$71*$H86)+Inputs!$B$21+Inputs!$B$71*$J86</f>
        <v>601000</v>
      </c>
      <c r="AU86" s="38">
        <f t="shared" si="64"/>
        <v>-601000</v>
      </c>
      <c r="AV86" s="38">
        <f t="shared" si="65"/>
        <v>1</v>
      </c>
      <c r="AW86" s="38">
        <f>MAX(0,MIN(Inputs!$C$36,BB85,AX86+AY86+AZ86+Inputs!$C$6-BA85))</f>
        <v>0</v>
      </c>
      <c r="AX86" s="38">
        <f>Inputs!$C$27*(1+Inputs!$C$28)^($A86/12)*IF(Inputs!$B$71=1,$G86,1)*(1-Inputs!$C$71*$H86*(1-Inputs!$E$54*Inputs!$B$71))*(1+$I86)*IF(Inputs!$C$29=0,1,(MAX(BA85,0)/Inputs!$C$6)^Inputs!$C$29)</f>
        <v>6029.285235470983</v>
      </c>
      <c r="AY86" s="38">
        <f>Inputs!$C$32*BA85/Inputs!$C$6</f>
        <v>644.88852815472285</v>
      </c>
      <c r="AZ86" s="38">
        <f>Inputs!$C$33</f>
        <v>2000</v>
      </c>
      <c r="BA86" s="38">
        <f t="shared" si="66"/>
        <v>67757.059202859964</v>
      </c>
      <c r="BB86" s="38">
        <f t="shared" si="67"/>
        <v>0</v>
      </c>
      <c r="BC86" s="38">
        <f>Inputs!$C$19*(1-Inputs!$C$71*$H86)+Inputs!$C$21+Inputs!$B$71*$J86</f>
        <v>501000</v>
      </c>
      <c r="BD86" s="38">
        <f t="shared" si="68"/>
        <v>-433242.94079714001</v>
      </c>
      <c r="BE86" s="38">
        <f t="shared" si="69"/>
        <v>1</v>
      </c>
      <c r="BF86" s="38">
        <f>MAX(0,MIN(Inputs!$D$36,BK85,BG86+BH86+BI86+Inputs!$D$6-BJ85))</f>
        <v>0</v>
      </c>
      <c r="BG86" s="38">
        <f>Inputs!$D$27*(1+Inputs!$D$28)^($A86/12)*IF(Inputs!$B$71=1,$G86,1)*(1-Inputs!$C$71*$H86*(1-Inputs!$E$54*Inputs!$B$71))*(1+$I86)*IF(Inputs!$D$29=0,1,(MAX(BJ85,0)/Inputs!$D$6)^Inputs!$D$29)</f>
        <v>5613.7459066967231</v>
      </c>
      <c r="BH86" s="38">
        <f>Inputs!$D$32*BJ85/Inputs!$D$6</f>
        <v>3514.5111614512639</v>
      </c>
      <c r="BI86" s="38">
        <f>Inputs!$D$33</f>
        <v>1500</v>
      </c>
      <c r="BJ86" s="38">
        <f t="shared" si="70"/>
        <v>725745.51009306917</v>
      </c>
      <c r="BK86" s="38">
        <f t="shared" si="71"/>
        <v>0</v>
      </c>
      <c r="BL86" s="38">
        <f>Inputs!$D$19*(1-Inputs!$C$71*$H86)+Inputs!$D$21+Inputs!$B$71*$J86</f>
        <v>410800</v>
      </c>
      <c r="BM86" s="38">
        <f t="shared" si="72"/>
        <v>314945.51009306917</v>
      </c>
      <c r="BN86" s="38">
        <f t="shared" si="73"/>
        <v>0</v>
      </c>
      <c r="BO86" s="38">
        <f>MAX(0,MIN(Inputs!$B$36,BT85,BP86+BQ86+BR86+Inputs!$B$6-BS85))</f>
        <v>0</v>
      </c>
      <c r="BP86" s="38">
        <f>Inputs!$B$27*(1+Inputs!$B$28)^($A86/12)*IF(Inputs!$B$72=1,$G86,1)*(1-Inputs!$C$72*$H86*(1-Inputs!$E$54*Inputs!$B$72))*(1+$I86)*IF(Inputs!$B$29=0,1,(MAX(BS85,0)/Inputs!$B$6)^Inputs!$B$29)</f>
        <v>19328.527160552803</v>
      </c>
      <c r="BQ86" s="38">
        <f>Inputs!$B$32*BS85/Inputs!$B$6</f>
        <v>0</v>
      </c>
      <c r="BR86" s="38">
        <f>Inputs!$B$33</f>
        <v>2500</v>
      </c>
      <c r="BS86" s="38">
        <f t="shared" si="74"/>
        <v>0</v>
      </c>
      <c r="BT86" s="38">
        <f t="shared" si="75"/>
        <v>0</v>
      </c>
      <c r="BU86" s="38">
        <f>Inputs!$B$19*(1-Inputs!$C$72*$H86)+Inputs!$B$21+Inputs!$B$72*$J86</f>
        <v>577500</v>
      </c>
      <c r="BV86" s="38">
        <f t="shared" si="76"/>
        <v>-577500</v>
      </c>
      <c r="BW86" s="38">
        <f t="shared" si="77"/>
        <v>1</v>
      </c>
      <c r="BX86" s="38">
        <f>MAX(0,MIN(Inputs!$C$36,CC85,BY86+BZ86+CA86+Inputs!$C$6-CB85))</f>
        <v>0</v>
      </c>
      <c r="BY86" s="38">
        <f>Inputs!$C$27*(1+Inputs!$C$28)^($A86/12)*IF(Inputs!$B$72=1,$G86,1)*(1-Inputs!$C$72*$H86*(1-Inputs!$E$54*Inputs!$B$72))*(1+$I86)*IF(Inputs!$C$29=0,1,(MAX(CB85,0)/Inputs!$C$6)^Inputs!$C$29)</f>
        <v>5718.5064583030444</v>
      </c>
      <c r="BZ86" s="38">
        <f>Inputs!$C$32*CB85/Inputs!$C$6</f>
        <v>400.38264835813777</v>
      </c>
      <c r="CA86" s="38">
        <f>Inputs!$C$33</f>
        <v>2000</v>
      </c>
      <c r="CB86" s="38">
        <f t="shared" si="78"/>
        <v>39333.869217266263</v>
      </c>
      <c r="CC86" s="38">
        <f t="shared" si="79"/>
        <v>0</v>
      </c>
      <c r="CD86" s="38">
        <f>Inputs!$C$19*(1-Inputs!$C$72*$H86)+Inputs!$C$21+Inputs!$B$72*$J86</f>
        <v>480000</v>
      </c>
      <c r="CE86" s="38">
        <f t="shared" si="80"/>
        <v>-440666.13078273373</v>
      </c>
      <c r="CF86" s="38">
        <f t="shared" si="81"/>
        <v>1</v>
      </c>
      <c r="CG86" s="38">
        <f>MAX(0,MIN(Inputs!$D$36,CL85,CH86+CI86+CJ86+Inputs!$D$6-CK85))</f>
        <v>0</v>
      </c>
      <c r="CH86" s="38">
        <f>Inputs!$D$27*(1+Inputs!$D$28)^($A86/12)*IF(Inputs!$B$72=1,$G86,1)*(1-Inputs!$C$72*$H86*(1-Inputs!$E$54*Inputs!$B$72))*(1+$I86)*IF(Inputs!$D$29=0,1,(MAX(CK85,0)/Inputs!$D$6)^Inputs!$D$29)</f>
        <v>5846.4874370117795</v>
      </c>
      <c r="CI86" s="38">
        <f>Inputs!$D$32*CK85/Inputs!$D$6</f>
        <v>3338.9598153305265</v>
      </c>
      <c r="CJ86" s="38">
        <f>Inputs!$D$33</f>
        <v>1500</v>
      </c>
      <c r="CK86" s="38">
        <f t="shared" si="82"/>
        <v>688906.13310262514</v>
      </c>
      <c r="CL86" s="38">
        <f t="shared" si="83"/>
        <v>0</v>
      </c>
      <c r="CM86" s="38">
        <f>Inputs!$D$19*(1-Inputs!$C$72*$H86)+Inputs!$D$21+Inputs!$B$72*$J86</f>
        <v>392150</v>
      </c>
      <c r="CN86" s="38">
        <f t="shared" si="84"/>
        <v>296756.13310262514</v>
      </c>
      <c r="CO86" s="38">
        <f t="shared" si="85"/>
        <v>0</v>
      </c>
      <c r="CP86" s="38">
        <f>MAX(0,MIN(Inputs!$B$36,CU85,CQ86+CR86+CS86+Inputs!$B$6-CT85))</f>
        <v>0</v>
      </c>
      <c r="CQ86" s="38">
        <f>Inputs!$B$27*(1+Inputs!$B$28)^($A86/12)*IF(Inputs!$B$73=1,$G86,1)*(1-Inputs!$C$73*$H86*(1-Inputs!$E$54*Inputs!$B$73))*(1+$I86)*IF(Inputs!$B$29=0,1,(MAX(CT85,0)/Inputs!$B$6)^Inputs!$B$29)</f>
        <v>17185.146173775196</v>
      </c>
      <c r="CR86" s="38">
        <f>Inputs!$B$32*CT85/Inputs!$B$6</f>
        <v>0</v>
      </c>
      <c r="CS86" s="38">
        <f>Inputs!$B$33</f>
        <v>2500</v>
      </c>
      <c r="CT86" s="38">
        <f t="shared" si="86"/>
        <v>0</v>
      </c>
      <c r="CU86" s="38">
        <f t="shared" si="87"/>
        <v>0</v>
      </c>
      <c r="CV86" s="38">
        <f>Inputs!$B$19*(1-Inputs!$C$73*$H86)+Inputs!$B$21+Inputs!$B$73*$J86</f>
        <v>583500</v>
      </c>
      <c r="CW86" s="38">
        <f t="shared" si="88"/>
        <v>-583500</v>
      </c>
      <c r="CX86" s="38">
        <f t="shared" si="89"/>
        <v>1</v>
      </c>
      <c r="CY86" s="38">
        <f>MAX(0,MIN(Inputs!$C$36,DD85,CZ86+DA86+DB86+Inputs!$C$6-DC85))</f>
        <v>0</v>
      </c>
      <c r="CZ86" s="38">
        <f>Inputs!$C$27*(1+Inputs!$C$28)^($A86/12)*IF(Inputs!$B$73=1,$G86,1)*(1-Inputs!$C$73*$H86*(1-Inputs!$E$54*Inputs!$B$73))*(1+$I86)*IF(Inputs!$C$29=0,1,(MAX(DC85,0)/Inputs!$C$6)^Inputs!$C$29)</f>
        <v>6007.0242732961024</v>
      </c>
      <c r="DA86" s="38">
        <f>Inputs!$C$32*DC85/Inputs!$C$6</f>
        <v>780.12547003095153</v>
      </c>
      <c r="DB86" s="38">
        <f>Inputs!$C$33</f>
        <v>2000</v>
      </c>
      <c r="DC86" s="38">
        <f t="shared" si="90"/>
        <v>83672.16522330424</v>
      </c>
      <c r="DD86" s="38">
        <f t="shared" si="91"/>
        <v>0</v>
      </c>
      <c r="DE86" s="38">
        <f>Inputs!$C$19*(1-Inputs!$C$73*$H86)+Inputs!$C$21+Inputs!$B$73*$J86</f>
        <v>486000</v>
      </c>
      <c r="DF86" s="38">
        <f t="shared" si="92"/>
        <v>-402327.83477669576</v>
      </c>
      <c r="DG86" s="38">
        <f t="shared" si="93"/>
        <v>1</v>
      </c>
      <c r="DH86" s="38">
        <f>MAX(0,MIN(Inputs!$D$36,DM85,DI86+DJ86+DK86+Inputs!$D$6-DL85))</f>
        <v>0</v>
      </c>
      <c r="DI86" s="38">
        <f>Inputs!$D$27*(1+Inputs!$D$28)^($A86/12)*IF(Inputs!$B$73=1,$G86,1)*(1-Inputs!$C$73*$H86*(1-Inputs!$E$54*Inputs!$B$73))*(1+$I86)*IF(Inputs!$D$29=0,1,(MAX(DL85,0)/Inputs!$D$6)^Inputs!$D$29)</f>
        <v>5398.6104200137961</v>
      </c>
      <c r="DJ86" s="38">
        <f>Inputs!$D$32*DL85/Inputs!$D$6</f>
        <v>3601.4400571916804</v>
      </c>
      <c r="DK86" s="38">
        <f>Inputs!$D$33</f>
        <v>1500</v>
      </c>
      <c r="DL86" s="38">
        <f t="shared" si="94"/>
        <v>744087.39007724181</v>
      </c>
      <c r="DM86" s="38">
        <f t="shared" si="95"/>
        <v>0</v>
      </c>
      <c r="DN86" s="38">
        <f>Inputs!$D$19*(1-Inputs!$C$73*$H86)+Inputs!$D$21+Inputs!$B$73*$J86</f>
        <v>398150</v>
      </c>
      <c r="DO86" s="38">
        <f t="shared" si="96"/>
        <v>345937.39007724181</v>
      </c>
      <c r="DP86" s="38">
        <f t="shared" si="97"/>
        <v>0</v>
      </c>
    </row>
    <row r="87" spans="1:120" x14ac:dyDescent="0.35">
      <c r="A87" s="29">
        <v>82</v>
      </c>
      <c r="B87" s="34">
        <f>EDATE(Inputs!$B$67,$A87)</f>
        <v>48761</v>
      </c>
      <c r="C87" s="35">
        <f>IF(Inputs!$E$47&lt;=0,Inputs!$E$46,Inputs!$E$44+(Inputs!$E$46-Inputs!$E$44)*MIN($A87/Inputs!$E$47,1))</f>
        <v>0.7</v>
      </c>
      <c r="D87" s="35">
        <f>MIN(Inputs!$E$57,Inputs!$E$55*(1+Inputs!$E$56)^($A87/12))*Inputs!$E$58*(1+Inputs!$E$59)^($A87/12)/Inputs!$E$45</f>
        <v>1.5</v>
      </c>
      <c r="E87" s="35">
        <f>MAX(Inputs!$E$44,MIN(C87,D87))</f>
        <v>0.7</v>
      </c>
      <c r="F87" s="35">
        <f>IF(Inputs!$E$50&lt;=0,Inputs!$E$49,Inputs!$E$48+(Inputs!$E$49-Inputs!$E$48)*MIN($A87/Inputs!$E$50,1))</f>
        <v>0.12</v>
      </c>
      <c r="G87" s="36">
        <f>(Inputs!$E$41*(1-E87*Inputs!$E$51)+Inputs!$E$42*(1-F87*Inputs!$E$51))/(Inputs!$E$41*(1-Inputs!$E$44*Inputs!$E$51)+Inputs!$E$42*(1-Inputs!$E$48*Inputs!$E$51))</f>
        <v>0.8423127463863338</v>
      </c>
      <c r="H87" s="35">
        <f>IF(Inputs!$E$53&lt;=0,Inputs!$E$52,Inputs!$E$52*MIN($A87/Inputs!$E$53,1))</f>
        <v>0.1</v>
      </c>
      <c r="I87" s="35">
        <f>IF(Inputs!$E$64&lt;=0,Inputs!$E$63,Inputs!$E$62+(Inputs!$E$63-Inputs!$E$62)*MIN($A87/Inputs!$E$64,1))</f>
        <v>0.03</v>
      </c>
      <c r="J87" s="37">
        <f>(E87-Inputs!$E$44)*Inputs!$E$45/Inputs!$E$60*Inputs!$E$61</f>
        <v>5999.9999999999991</v>
      </c>
      <c r="K87" s="29">
        <f t="shared" si="49"/>
        <v>0</v>
      </c>
      <c r="L87" s="29"/>
      <c r="M87" s="38">
        <f>MAX(0,MIN(Inputs!$B$36,R86,N87+O87+P87+Inputs!$B$6-Q86))</f>
        <v>0</v>
      </c>
      <c r="N87" s="38">
        <f>Inputs!$B$27*(1+Inputs!$B$28)^($A87/12)*IF(Inputs!$B$70=1,$G87,1)*(1-Inputs!$C$70*$H87*(1-Inputs!$E$54*Inputs!$B$70))*(1+$I87)*IF(Inputs!$B$29=0,1,(MAX(Q86,0)/Inputs!$B$6)^Inputs!$B$29)</f>
        <v>21563.637747511671</v>
      </c>
      <c r="O87" s="38">
        <f>Inputs!$B$32*Q86/Inputs!$B$6</f>
        <v>0</v>
      </c>
      <c r="P87" s="38">
        <f>Inputs!$B$33</f>
        <v>2500</v>
      </c>
      <c r="Q87" s="38">
        <f t="shared" si="50"/>
        <v>0</v>
      </c>
      <c r="R87" s="38">
        <f t="shared" si="51"/>
        <v>0</v>
      </c>
      <c r="S87" s="38">
        <f>Inputs!$B$19*(1-Inputs!$C$70*$H87)+Inputs!$B$21+Inputs!$B$70*$J87</f>
        <v>595000</v>
      </c>
      <c r="T87" s="38">
        <f t="shared" si="52"/>
        <v>-595000</v>
      </c>
      <c r="U87" s="38">
        <f t="shared" si="53"/>
        <v>1</v>
      </c>
      <c r="V87" s="38">
        <f>MAX(0,MIN(Inputs!$C$36,AA86,W87+X87+Y87+Inputs!$C$6-Z86))</f>
        <v>0</v>
      </c>
      <c r="W87" s="38">
        <f>Inputs!$C$27*(1+Inputs!$C$28)^($A87/12)*IF(Inputs!$B$70=1,$G87,1)*(1-Inputs!$C$70*$H87*(1-Inputs!$E$54*Inputs!$B$70))*(1+$I87)*IF(Inputs!$C$29=0,1,(MAX(Z86,0)/Inputs!$C$6)^Inputs!$C$29)</f>
        <v>4244.9122551480741</v>
      </c>
      <c r="X87" s="38">
        <f>Inputs!$C$32*Z86/Inputs!$C$6</f>
        <v>79.760835055766918</v>
      </c>
      <c r="Y87" s="38">
        <f>Inputs!$C$33</f>
        <v>2000</v>
      </c>
      <c r="Z87" s="38">
        <f t="shared" si="54"/>
        <v>3128.4629164055741</v>
      </c>
      <c r="AA87" s="38">
        <f t="shared" si="55"/>
        <v>0</v>
      </c>
      <c r="AB87" s="38">
        <f>Inputs!$C$19*(1-Inputs!$C$70*$H87)+Inputs!$C$21+Inputs!$B$70*$J87</f>
        <v>495000</v>
      </c>
      <c r="AC87" s="38">
        <f t="shared" si="56"/>
        <v>-491871.53708359442</v>
      </c>
      <c r="AD87" s="38">
        <f t="shared" si="57"/>
        <v>1</v>
      </c>
      <c r="AE87" s="38">
        <f>MAX(0,MIN(Inputs!$D$36,AJ86,AF87+AG87+AH87+Inputs!$D$6-AI86))</f>
        <v>0</v>
      </c>
      <c r="AF87" s="38">
        <f>Inputs!$D$27*(1+Inputs!$D$28)^($A87/12)*IF(Inputs!$B$70=1,$G87,1)*(1-Inputs!$C$70*$H87*(1-Inputs!$E$54*Inputs!$B$70))*(1+$I87)*IF(Inputs!$D$29=0,1,(MAX(AI86,0)/Inputs!$D$6)^Inputs!$D$29)</f>
        <v>6225.1075675028869</v>
      </c>
      <c r="AG87" s="38">
        <f>Inputs!$D$32*AI86/Inputs!$D$6</f>
        <v>3092.5207520024373</v>
      </c>
      <c r="AH87" s="38">
        <f>Inputs!$D$33</f>
        <v>1500</v>
      </c>
      <c r="AI87" s="38">
        <f t="shared" si="58"/>
        <v>637139.10067148157</v>
      </c>
      <c r="AJ87" s="38">
        <f t="shared" si="59"/>
        <v>0</v>
      </c>
      <c r="AK87" s="38">
        <f>Inputs!$D$19*(1-Inputs!$C$70*$H87)+Inputs!$D$21+Inputs!$B$70*$J87</f>
        <v>404800</v>
      </c>
      <c r="AL87" s="38">
        <f t="shared" si="60"/>
        <v>232339.10067148157</v>
      </c>
      <c r="AM87" s="38">
        <f t="shared" si="61"/>
        <v>0</v>
      </c>
      <c r="AN87" s="38">
        <f>MAX(0,MIN(Inputs!$B$36,AS86,AO87+AP87+AQ87+Inputs!$B$6-AR86))</f>
        <v>0</v>
      </c>
      <c r="AO87" s="38">
        <f>Inputs!$B$27*(1+Inputs!$B$28)^($A87/12)*IF(Inputs!$B$71=1,$G87,1)*(1-Inputs!$C$71*$H87*(1-Inputs!$E$54*Inputs!$B$71))*(1+$I87)*IF(Inputs!$B$29=0,1,(MAX(AR86,0)/Inputs!$B$6)^Inputs!$B$29)</f>
        <v>18163.326933186574</v>
      </c>
      <c r="AP87" s="38">
        <f>Inputs!$B$32*AR86/Inputs!$B$6</f>
        <v>0</v>
      </c>
      <c r="AQ87" s="38">
        <f>Inputs!$B$33</f>
        <v>2500</v>
      </c>
      <c r="AR87" s="38">
        <f t="shared" si="62"/>
        <v>0</v>
      </c>
      <c r="AS87" s="38">
        <f t="shared" si="63"/>
        <v>0</v>
      </c>
      <c r="AT87" s="38">
        <f>Inputs!$B$19*(1-Inputs!$C$71*$H87)+Inputs!$B$21+Inputs!$B$71*$J87</f>
        <v>601000</v>
      </c>
      <c r="AU87" s="38">
        <f t="shared" si="64"/>
        <v>-601000</v>
      </c>
      <c r="AV87" s="38">
        <f t="shared" si="65"/>
        <v>1</v>
      </c>
      <c r="AW87" s="38">
        <f>MAX(0,MIN(Inputs!$C$36,BB86,AX87+AY87+AZ87+Inputs!$C$6-BA86))</f>
        <v>0</v>
      </c>
      <c r="AX87" s="38">
        <f>Inputs!$C$27*(1+Inputs!$C$28)^($A87/12)*IF(Inputs!$B$71=1,$G87,1)*(1-Inputs!$C$71*$H87*(1-Inputs!$E$54*Inputs!$B$71))*(1+$I87)*IF(Inputs!$C$29=0,1,(MAX(BA86,0)/Inputs!$C$6)^Inputs!$C$29)</f>
        <v>5850.4160360807846</v>
      </c>
      <c r="AY87" s="38">
        <f>Inputs!$C$32*BA86/Inputs!$C$6</f>
        <v>571.70018702413086</v>
      </c>
      <c r="AZ87" s="38">
        <f>Inputs!$C$33</f>
        <v>2000</v>
      </c>
      <c r="BA87" s="38">
        <f t="shared" si="66"/>
        <v>59334.942979755047</v>
      </c>
      <c r="BB87" s="38">
        <f t="shared" si="67"/>
        <v>0</v>
      </c>
      <c r="BC87" s="38">
        <f>Inputs!$C$19*(1-Inputs!$C$71*$H87)+Inputs!$C$21+Inputs!$B$71*$J87</f>
        <v>501000</v>
      </c>
      <c r="BD87" s="38">
        <f t="shared" si="68"/>
        <v>-441665.05702024495</v>
      </c>
      <c r="BE87" s="38">
        <f t="shared" si="69"/>
        <v>1</v>
      </c>
      <c r="BF87" s="38">
        <f>MAX(0,MIN(Inputs!$D$36,BK86,BG87+BH87+BI87+Inputs!$D$6-BJ86))</f>
        <v>0</v>
      </c>
      <c r="BG87" s="38">
        <f>Inputs!$D$27*(1+Inputs!$D$28)^($A87/12)*IF(Inputs!$B$71=1,$G87,1)*(1-Inputs!$C$71*$H87*(1-Inputs!$E$54*Inputs!$B$71))*(1+$I87)*IF(Inputs!$D$29=0,1,(MAX(BJ86,0)/Inputs!$D$6)^Inputs!$D$29)</f>
        <v>5549.3154088797182</v>
      </c>
      <c r="BH87" s="38">
        <f>Inputs!$D$32*BJ86/Inputs!$D$6</f>
        <v>3463.7853890805577</v>
      </c>
      <c r="BI87" s="38">
        <f>Inputs!$D$33</f>
        <v>1500</v>
      </c>
      <c r="BJ87" s="38">
        <f t="shared" si="70"/>
        <v>715232.40929510887</v>
      </c>
      <c r="BK87" s="38">
        <f t="shared" si="71"/>
        <v>0</v>
      </c>
      <c r="BL87" s="38">
        <f>Inputs!$D$19*(1-Inputs!$C$71*$H87)+Inputs!$D$21+Inputs!$B$71*$J87</f>
        <v>410800</v>
      </c>
      <c r="BM87" s="38">
        <f t="shared" si="72"/>
        <v>304432.40929510887</v>
      </c>
      <c r="BN87" s="38">
        <f t="shared" si="73"/>
        <v>0</v>
      </c>
      <c r="BO87" s="38">
        <f>MAX(0,MIN(Inputs!$B$36,BT86,BP87+BQ87+BR87+Inputs!$B$6-BS86))</f>
        <v>0</v>
      </c>
      <c r="BP87" s="38">
        <f>Inputs!$B$27*(1+Inputs!$B$28)^($A87/12)*IF(Inputs!$B$72=1,$G87,1)*(1-Inputs!$C$72*$H87*(1-Inputs!$E$54*Inputs!$B$72))*(1+$I87)*IF(Inputs!$B$29=0,1,(MAX(BS86,0)/Inputs!$B$6)^Inputs!$B$29)</f>
        <v>19407.273972760508</v>
      </c>
      <c r="BQ87" s="38">
        <f>Inputs!$B$32*BS86/Inputs!$B$6</f>
        <v>0</v>
      </c>
      <c r="BR87" s="38">
        <f>Inputs!$B$33</f>
        <v>2500</v>
      </c>
      <c r="BS87" s="38">
        <f t="shared" si="74"/>
        <v>0</v>
      </c>
      <c r="BT87" s="38">
        <f t="shared" si="75"/>
        <v>0</v>
      </c>
      <c r="BU87" s="38">
        <f>Inputs!$B$19*(1-Inputs!$C$72*$H87)+Inputs!$B$21+Inputs!$B$72*$J87</f>
        <v>577500</v>
      </c>
      <c r="BV87" s="38">
        <f t="shared" si="76"/>
        <v>-577500</v>
      </c>
      <c r="BW87" s="38">
        <f t="shared" si="77"/>
        <v>1</v>
      </c>
      <c r="BX87" s="38">
        <f>MAX(0,MIN(Inputs!$C$36,CC86,BY87+BZ87+CA87+Inputs!$C$6-CB86))</f>
        <v>0</v>
      </c>
      <c r="BY87" s="38">
        <f>Inputs!$C$27*(1+Inputs!$C$28)^($A87/12)*IF(Inputs!$B$72=1,$G87,1)*(1-Inputs!$C$72*$H87*(1-Inputs!$E$54*Inputs!$B$72))*(1+$I87)*IF(Inputs!$C$29=0,1,(MAX(CB86,0)/Inputs!$C$6)^Inputs!$C$29)</f>
        <v>5456.4341424728982</v>
      </c>
      <c r="BZ87" s="38">
        <f>Inputs!$C$32*CB86/Inputs!$C$6</f>
        <v>331.87952152068408</v>
      </c>
      <c r="CA87" s="38">
        <f>Inputs!$C$33</f>
        <v>2000</v>
      </c>
      <c r="CB87" s="38">
        <f t="shared" si="78"/>
        <v>31545.555553272679</v>
      </c>
      <c r="CC87" s="38">
        <f t="shared" si="79"/>
        <v>0</v>
      </c>
      <c r="CD87" s="38">
        <f>Inputs!$C$19*(1-Inputs!$C$72*$H87)+Inputs!$C$21+Inputs!$B$72*$J87</f>
        <v>480000</v>
      </c>
      <c r="CE87" s="38">
        <f t="shared" si="80"/>
        <v>-448454.44444672734</v>
      </c>
      <c r="CF87" s="38">
        <f t="shared" si="81"/>
        <v>1</v>
      </c>
      <c r="CG87" s="38">
        <f>MAX(0,MIN(Inputs!$D$36,CL86,CH87+CI87+CJ87+Inputs!$D$6-CK86))</f>
        <v>0</v>
      </c>
      <c r="CH87" s="38">
        <f>Inputs!$D$27*(1+Inputs!$D$28)^($A87/12)*IF(Inputs!$B$72=1,$G87,1)*(1-Inputs!$C$72*$H87*(1-Inputs!$E$54*Inputs!$B$72))*(1+$I87)*IF(Inputs!$D$29=0,1,(MAX(CK86,0)/Inputs!$D$6)^Inputs!$D$29)</f>
        <v>5776.9205285586577</v>
      </c>
      <c r="CI87" s="38">
        <f>Inputs!$D$32*CK86/Inputs!$D$6</f>
        <v>3287.9610898079836</v>
      </c>
      <c r="CJ87" s="38">
        <f>Inputs!$D$33</f>
        <v>1500</v>
      </c>
      <c r="CK87" s="38">
        <f t="shared" si="82"/>
        <v>678341.25148425845</v>
      </c>
      <c r="CL87" s="38">
        <f t="shared" si="83"/>
        <v>0</v>
      </c>
      <c r="CM87" s="38">
        <f>Inputs!$D$19*(1-Inputs!$C$72*$H87)+Inputs!$D$21+Inputs!$B$72*$J87</f>
        <v>392150</v>
      </c>
      <c r="CN87" s="38">
        <f t="shared" si="84"/>
        <v>286191.25148425845</v>
      </c>
      <c r="CO87" s="38">
        <f t="shared" si="85"/>
        <v>0</v>
      </c>
      <c r="CP87" s="38">
        <f>MAX(0,MIN(Inputs!$B$36,CU86,CQ87+CR87+CS87+Inputs!$B$6-CT86))</f>
        <v>0</v>
      </c>
      <c r="CQ87" s="38">
        <f>Inputs!$B$27*(1+Inputs!$B$28)^($A87/12)*IF(Inputs!$B$73=1,$G87,1)*(1-Inputs!$C$73*$H87*(1-Inputs!$E$54*Inputs!$B$73))*(1+$I87)*IF(Inputs!$B$29=0,1,(MAX(CT86,0)/Inputs!$B$6)^Inputs!$B$29)</f>
        <v>17255.160586527243</v>
      </c>
      <c r="CR87" s="38">
        <f>Inputs!$B$32*CT86/Inputs!$B$6</f>
        <v>0</v>
      </c>
      <c r="CS87" s="38">
        <f>Inputs!$B$33</f>
        <v>2500</v>
      </c>
      <c r="CT87" s="38">
        <f t="shared" si="86"/>
        <v>0</v>
      </c>
      <c r="CU87" s="38">
        <f t="shared" si="87"/>
        <v>0</v>
      </c>
      <c r="CV87" s="38">
        <f>Inputs!$B$19*(1-Inputs!$C$73*$H87)+Inputs!$B$21+Inputs!$B$73*$J87</f>
        <v>583500</v>
      </c>
      <c r="CW87" s="38">
        <f t="shared" si="88"/>
        <v>-583500</v>
      </c>
      <c r="CX87" s="38">
        <f t="shared" si="89"/>
        <v>1</v>
      </c>
      <c r="CY87" s="38">
        <f>MAX(0,MIN(Inputs!$C$36,DD86,CZ87+DA87+DB87+Inputs!$C$6-DC86))</f>
        <v>0</v>
      </c>
      <c r="CZ87" s="38">
        <f>Inputs!$C$27*(1+Inputs!$C$28)^($A87/12)*IF(Inputs!$B$73=1,$G87,1)*(1-Inputs!$C$73*$H87*(1-Inputs!$E$54*Inputs!$B$73))*(1+$I87)*IF(Inputs!$C$29=0,1,(MAX(DC86,0)/Inputs!$C$6)^Inputs!$C$29)</f>
        <v>5858.9119443900581</v>
      </c>
      <c r="DA87" s="38">
        <f>Inputs!$C$32*DC86/Inputs!$C$6</f>
        <v>705.98389407162949</v>
      </c>
      <c r="DB87" s="38">
        <f>Inputs!$C$33</f>
        <v>2000</v>
      </c>
      <c r="DC87" s="38">
        <f t="shared" si="90"/>
        <v>75107.269384842555</v>
      </c>
      <c r="DD87" s="38">
        <f t="shared" si="91"/>
        <v>0</v>
      </c>
      <c r="DE87" s="38">
        <f>Inputs!$C$19*(1-Inputs!$C$73*$H87)+Inputs!$C$21+Inputs!$B$73*$J87</f>
        <v>486000</v>
      </c>
      <c r="DF87" s="38">
        <f t="shared" si="92"/>
        <v>-410892.73061515746</v>
      </c>
      <c r="DG87" s="38">
        <f t="shared" si="93"/>
        <v>1</v>
      </c>
      <c r="DH87" s="38">
        <f>MAX(0,MIN(Inputs!$D$36,DM86,DI87+DJ87+DK87+Inputs!$D$6-DL86))</f>
        <v>0</v>
      </c>
      <c r="DI87" s="38">
        <f>Inputs!$D$27*(1+Inputs!$D$28)^($A87/12)*IF(Inputs!$B$73=1,$G87,1)*(1-Inputs!$C$73*$H87*(1-Inputs!$E$54*Inputs!$B$73))*(1+$I87)*IF(Inputs!$D$29=0,1,(MAX(DL86,0)/Inputs!$D$6)^Inputs!$D$29)</f>
        <v>5338.0521030410137</v>
      </c>
      <c r="DJ87" s="38">
        <f>Inputs!$D$32*DL86/Inputs!$D$6</f>
        <v>3551.3261799141087</v>
      </c>
      <c r="DK87" s="38">
        <f>Inputs!$D$33</f>
        <v>1500</v>
      </c>
      <c r="DL87" s="38">
        <f t="shared" si="94"/>
        <v>733698.01179428678</v>
      </c>
      <c r="DM87" s="38">
        <f t="shared" si="95"/>
        <v>0</v>
      </c>
      <c r="DN87" s="38">
        <f>Inputs!$D$19*(1-Inputs!$C$73*$H87)+Inputs!$D$21+Inputs!$B$73*$J87</f>
        <v>398150</v>
      </c>
      <c r="DO87" s="38">
        <f t="shared" si="96"/>
        <v>335548.01179428678</v>
      </c>
      <c r="DP87" s="38">
        <f t="shared" si="97"/>
        <v>0</v>
      </c>
    </row>
    <row r="88" spans="1:120" x14ac:dyDescent="0.35">
      <c r="A88" s="29">
        <v>83</v>
      </c>
      <c r="B88" s="34">
        <f>EDATE(Inputs!$B$67,$A88)</f>
        <v>48792</v>
      </c>
      <c r="C88" s="35">
        <f>IF(Inputs!$E$47&lt;=0,Inputs!$E$46,Inputs!$E$44+(Inputs!$E$46-Inputs!$E$44)*MIN($A88/Inputs!$E$47,1))</f>
        <v>0.7</v>
      </c>
      <c r="D88" s="35">
        <f>MIN(Inputs!$E$57,Inputs!$E$55*(1+Inputs!$E$56)^($A88/12))*Inputs!$E$58*(1+Inputs!$E$59)^($A88/12)/Inputs!$E$45</f>
        <v>1.5</v>
      </c>
      <c r="E88" s="35">
        <f>MAX(Inputs!$E$44,MIN(C88,D88))</f>
        <v>0.7</v>
      </c>
      <c r="F88" s="35">
        <f>IF(Inputs!$E$50&lt;=0,Inputs!$E$49,Inputs!$E$48+(Inputs!$E$49-Inputs!$E$48)*MIN($A88/Inputs!$E$50,1))</f>
        <v>0.12</v>
      </c>
      <c r="G88" s="36">
        <f>(Inputs!$E$41*(1-E88*Inputs!$E$51)+Inputs!$E$42*(1-F88*Inputs!$E$51))/(Inputs!$E$41*(1-Inputs!$E$44*Inputs!$E$51)+Inputs!$E$42*(1-Inputs!$E$48*Inputs!$E$51))</f>
        <v>0.8423127463863338</v>
      </c>
      <c r="H88" s="35">
        <f>IF(Inputs!$E$53&lt;=0,Inputs!$E$52,Inputs!$E$52*MIN($A88/Inputs!$E$53,1))</f>
        <v>0.1</v>
      </c>
      <c r="I88" s="35">
        <f>IF(Inputs!$E$64&lt;=0,Inputs!$E$63,Inputs!$E$62+(Inputs!$E$63-Inputs!$E$62)*MIN($A88/Inputs!$E$64,1))</f>
        <v>0.03</v>
      </c>
      <c r="J88" s="37">
        <f>(E88-Inputs!$E$44)*Inputs!$E$45/Inputs!$E$60*Inputs!$E$61</f>
        <v>5999.9999999999991</v>
      </c>
      <c r="K88" s="29">
        <f t="shared" si="49"/>
        <v>0</v>
      </c>
      <c r="L88" s="29"/>
      <c r="M88" s="38">
        <f>MAX(0,MIN(Inputs!$B$36,R87,N88+O88+P88+Inputs!$B$6-Q87))</f>
        <v>0</v>
      </c>
      <c r="N88" s="38">
        <f>Inputs!$B$27*(1+Inputs!$B$28)^($A88/12)*IF(Inputs!$B$70=1,$G88,1)*(1-Inputs!$C$70*$H88*(1-Inputs!$E$54*Inputs!$B$70))*(1+$I88)*IF(Inputs!$B$29=0,1,(MAX(Q87,0)/Inputs!$B$6)^Inputs!$B$29)</f>
        <v>21651.490676920788</v>
      </c>
      <c r="O88" s="38">
        <f>Inputs!$B$32*Q87/Inputs!$B$6</f>
        <v>0</v>
      </c>
      <c r="P88" s="38">
        <f>Inputs!$B$33</f>
        <v>2500</v>
      </c>
      <c r="Q88" s="38">
        <f t="shared" si="50"/>
        <v>0</v>
      </c>
      <c r="R88" s="38">
        <f t="shared" si="51"/>
        <v>0</v>
      </c>
      <c r="S88" s="38">
        <f>Inputs!$B$19*(1-Inputs!$C$70*$H88)+Inputs!$B$21+Inputs!$B$70*$J88</f>
        <v>595000</v>
      </c>
      <c r="T88" s="38">
        <f t="shared" si="52"/>
        <v>-595000</v>
      </c>
      <c r="U88" s="38">
        <f t="shared" si="53"/>
        <v>1</v>
      </c>
      <c r="V88" s="38">
        <f>MAX(0,MIN(Inputs!$C$36,AA87,W88+X88+Y88+Inputs!$C$6-Z87))</f>
        <v>0</v>
      </c>
      <c r="W88" s="38">
        <f>Inputs!$C$27*(1+Inputs!$C$28)^($A88/12)*IF(Inputs!$B$70=1,$G88,1)*(1-Inputs!$C$70*$H88*(1-Inputs!$E$54*Inputs!$B$70))*(1+$I88)*IF(Inputs!$C$29=0,1,(MAX(Z87,0)/Inputs!$C$6)^Inputs!$C$29)</f>
        <v>3219.6413306674663</v>
      </c>
      <c r="X88" s="38">
        <f>Inputs!$C$32*Z87/Inputs!$C$6</f>
        <v>26.396405857172027</v>
      </c>
      <c r="Y88" s="38">
        <f>Inputs!$C$33</f>
        <v>2000</v>
      </c>
      <c r="Z88" s="38">
        <f t="shared" si="54"/>
        <v>0</v>
      </c>
      <c r="AA88" s="38">
        <f t="shared" si="55"/>
        <v>0</v>
      </c>
      <c r="AB88" s="38">
        <f>Inputs!$C$19*(1-Inputs!$C$70*$H88)+Inputs!$C$21+Inputs!$B$70*$J88</f>
        <v>495000</v>
      </c>
      <c r="AC88" s="38">
        <f t="shared" si="56"/>
        <v>-495000</v>
      </c>
      <c r="AD88" s="38">
        <f t="shared" si="57"/>
        <v>1</v>
      </c>
      <c r="AE88" s="38">
        <f>MAX(0,MIN(Inputs!$D$36,AJ87,AF88+AG88+AH88+Inputs!$D$6-AI87))</f>
        <v>0</v>
      </c>
      <c r="AF88" s="38">
        <f>Inputs!$D$27*(1+Inputs!$D$28)^($A88/12)*IF(Inputs!$B$70=1,$G88,1)*(1-Inputs!$C$70*$H88*(1-Inputs!$E$54*Inputs!$B$70))*(1+$I88)*IF(Inputs!$D$29=0,1,(MAX(AI87,0)/Inputs!$D$6)^Inputs!$D$29)</f>
        <v>6146.5953202153387</v>
      </c>
      <c r="AG88" s="38">
        <f>Inputs!$D$32*AI87/Inputs!$D$6</f>
        <v>3040.8911622957071</v>
      </c>
      <c r="AH88" s="38">
        <f>Inputs!$D$33</f>
        <v>1500</v>
      </c>
      <c r="AI88" s="38">
        <f t="shared" si="58"/>
        <v>626451.61418897053</v>
      </c>
      <c r="AJ88" s="38">
        <f t="shared" si="59"/>
        <v>0</v>
      </c>
      <c r="AK88" s="38">
        <f>Inputs!$D$19*(1-Inputs!$C$70*$H88)+Inputs!$D$21+Inputs!$B$70*$J88</f>
        <v>404800</v>
      </c>
      <c r="AL88" s="38">
        <f t="shared" si="60"/>
        <v>221651.61418897053</v>
      </c>
      <c r="AM88" s="38">
        <f t="shared" si="61"/>
        <v>0</v>
      </c>
      <c r="AN88" s="38">
        <f>MAX(0,MIN(Inputs!$B$36,AS87,AO88+AP88+AQ88+Inputs!$B$6-AR87))</f>
        <v>0</v>
      </c>
      <c r="AO88" s="38">
        <f>Inputs!$B$27*(1+Inputs!$B$28)^($A88/12)*IF(Inputs!$B$71=1,$G88,1)*(1-Inputs!$C$71*$H88*(1-Inputs!$E$54*Inputs!$B$71))*(1+$I88)*IF(Inputs!$B$29=0,1,(MAX(AR87,0)/Inputs!$B$6)^Inputs!$B$29)</f>
        <v>18237.326575435251</v>
      </c>
      <c r="AP88" s="38">
        <f>Inputs!$B$32*AR87/Inputs!$B$6</f>
        <v>0</v>
      </c>
      <c r="AQ88" s="38">
        <f>Inputs!$B$33</f>
        <v>2500</v>
      </c>
      <c r="AR88" s="38">
        <f t="shared" si="62"/>
        <v>0</v>
      </c>
      <c r="AS88" s="38">
        <f t="shared" si="63"/>
        <v>0</v>
      </c>
      <c r="AT88" s="38">
        <f>Inputs!$B$19*(1-Inputs!$C$71*$H88)+Inputs!$B$21+Inputs!$B$71*$J88</f>
        <v>601000</v>
      </c>
      <c r="AU88" s="38">
        <f t="shared" si="64"/>
        <v>-601000</v>
      </c>
      <c r="AV88" s="38">
        <f t="shared" si="65"/>
        <v>1</v>
      </c>
      <c r="AW88" s="38">
        <f>MAX(0,MIN(Inputs!$C$36,BB87,AX88+AY88+AZ88+Inputs!$C$6-BA87))</f>
        <v>0</v>
      </c>
      <c r="AX88" s="38">
        <f>Inputs!$C$27*(1+Inputs!$C$28)^($A88/12)*IF(Inputs!$B$71=1,$G88,1)*(1-Inputs!$C$71*$H88*(1-Inputs!$E$54*Inputs!$B$71))*(1+$I88)*IF(Inputs!$C$29=0,1,(MAX(BA87,0)/Inputs!$C$6)^Inputs!$C$29)</f>
        <v>5659.4697904253517</v>
      </c>
      <c r="AY88" s="38">
        <f>Inputs!$C$32*BA87/Inputs!$C$6</f>
        <v>500.63858139168315</v>
      </c>
      <c r="AZ88" s="38">
        <f>Inputs!$C$33</f>
        <v>2000</v>
      </c>
      <c r="BA88" s="38">
        <f t="shared" si="66"/>
        <v>51174.834607938014</v>
      </c>
      <c r="BB88" s="38">
        <f t="shared" si="67"/>
        <v>0</v>
      </c>
      <c r="BC88" s="38">
        <f>Inputs!$C$19*(1-Inputs!$C$71*$H88)+Inputs!$C$21+Inputs!$B$71*$J88</f>
        <v>501000</v>
      </c>
      <c r="BD88" s="38">
        <f t="shared" si="68"/>
        <v>-449825.16539206199</v>
      </c>
      <c r="BE88" s="38">
        <f t="shared" si="69"/>
        <v>1</v>
      </c>
      <c r="BF88" s="38">
        <f>MAX(0,MIN(Inputs!$D$36,BK87,BG88+BH88+BI88+Inputs!$D$6-BJ87))</f>
        <v>0</v>
      </c>
      <c r="BG88" s="38">
        <f>Inputs!$D$27*(1+Inputs!$D$28)^($A88/12)*IF(Inputs!$B$71=1,$G88,1)*(1-Inputs!$C$71*$H88*(1-Inputs!$E$54*Inputs!$B$71))*(1+$I88)*IF(Inputs!$D$29=0,1,(MAX(BJ87,0)/Inputs!$D$6)^Inputs!$D$29)</f>
        <v>5485.4777436734666</v>
      </c>
      <c r="BH88" s="38">
        <f>Inputs!$D$32*BJ87/Inputs!$D$6</f>
        <v>3413.6092261812014</v>
      </c>
      <c r="BI88" s="38">
        <f>Inputs!$D$33</f>
        <v>1500</v>
      </c>
      <c r="BJ88" s="38">
        <f t="shared" si="70"/>
        <v>704833.32232525421</v>
      </c>
      <c r="BK88" s="38">
        <f t="shared" si="71"/>
        <v>0</v>
      </c>
      <c r="BL88" s="38">
        <f>Inputs!$D$19*(1-Inputs!$C$71*$H88)+Inputs!$D$21+Inputs!$B$71*$J88</f>
        <v>410800</v>
      </c>
      <c r="BM88" s="38">
        <f t="shared" si="72"/>
        <v>294033.32232525421</v>
      </c>
      <c r="BN88" s="38">
        <f t="shared" si="73"/>
        <v>0</v>
      </c>
      <c r="BO88" s="38">
        <f>MAX(0,MIN(Inputs!$B$36,BT87,BP88+BQ88+BR88+Inputs!$B$6-BS87))</f>
        <v>0</v>
      </c>
      <c r="BP88" s="38">
        <f>Inputs!$B$27*(1+Inputs!$B$28)^($A88/12)*IF(Inputs!$B$72=1,$G88,1)*(1-Inputs!$C$72*$H88*(1-Inputs!$E$54*Inputs!$B$72))*(1+$I88)*IF(Inputs!$B$29=0,1,(MAX(BS87,0)/Inputs!$B$6)^Inputs!$B$29)</f>
        <v>19486.341609228708</v>
      </c>
      <c r="BQ88" s="38">
        <f>Inputs!$B$32*BS87/Inputs!$B$6</f>
        <v>0</v>
      </c>
      <c r="BR88" s="38">
        <f>Inputs!$B$33</f>
        <v>2500</v>
      </c>
      <c r="BS88" s="38">
        <f t="shared" si="74"/>
        <v>0</v>
      </c>
      <c r="BT88" s="38">
        <f t="shared" si="75"/>
        <v>0</v>
      </c>
      <c r="BU88" s="38">
        <f>Inputs!$B$19*(1-Inputs!$C$72*$H88)+Inputs!$B$21+Inputs!$B$72*$J88</f>
        <v>577500</v>
      </c>
      <c r="BV88" s="38">
        <f t="shared" si="76"/>
        <v>-577500</v>
      </c>
      <c r="BW88" s="38">
        <f t="shared" si="77"/>
        <v>1</v>
      </c>
      <c r="BX88" s="38">
        <f>MAX(0,MIN(Inputs!$C$36,CC87,BY88+BZ88+CA88+Inputs!$C$6-CB87))</f>
        <v>0</v>
      </c>
      <c r="BY88" s="38">
        <f>Inputs!$C$27*(1+Inputs!$C$28)^($A88/12)*IF(Inputs!$B$72=1,$G88,1)*(1-Inputs!$C$72*$H88*(1-Inputs!$E$54*Inputs!$B$72))*(1+$I88)*IF(Inputs!$C$29=0,1,(MAX(CB87,0)/Inputs!$C$6)^Inputs!$C$29)</f>
        <v>5163.5905279248636</v>
      </c>
      <c r="BZ88" s="38">
        <f>Inputs!$C$32*CB87/Inputs!$C$6</f>
        <v>266.16562498073819</v>
      </c>
      <c r="CA88" s="38">
        <f>Inputs!$C$33</f>
        <v>2000</v>
      </c>
      <c r="CB88" s="38">
        <f t="shared" si="78"/>
        <v>24115.799400367079</v>
      </c>
      <c r="CC88" s="38">
        <f t="shared" si="79"/>
        <v>0</v>
      </c>
      <c r="CD88" s="38">
        <f>Inputs!$C$19*(1-Inputs!$C$72*$H88)+Inputs!$C$21+Inputs!$B$72*$J88</f>
        <v>480000</v>
      </c>
      <c r="CE88" s="38">
        <f t="shared" si="80"/>
        <v>-455884.20059963292</v>
      </c>
      <c r="CF88" s="38">
        <f t="shared" si="81"/>
        <v>1</v>
      </c>
      <c r="CG88" s="38">
        <f>MAX(0,MIN(Inputs!$D$36,CL87,CH88+CI88+CJ88+Inputs!$D$6-CK87))</f>
        <v>0</v>
      </c>
      <c r="CH88" s="38">
        <f>Inputs!$D$27*(1+Inputs!$D$28)^($A88/12)*IF(Inputs!$B$72=1,$G88,1)*(1-Inputs!$C$72*$H88*(1-Inputs!$E$54*Inputs!$B$72))*(1+$I88)*IF(Inputs!$D$29=0,1,(MAX(CK87,0)/Inputs!$D$6)^Inputs!$D$29)</f>
        <v>5708.0019850045401</v>
      </c>
      <c r="CI88" s="38">
        <f>Inputs!$D$32*CK87/Inputs!$D$6</f>
        <v>3237.5377911748697</v>
      </c>
      <c r="CJ88" s="38">
        <f>Inputs!$D$33</f>
        <v>1500</v>
      </c>
      <c r="CK88" s="38">
        <f t="shared" si="82"/>
        <v>667895.71170807909</v>
      </c>
      <c r="CL88" s="38">
        <f t="shared" si="83"/>
        <v>0</v>
      </c>
      <c r="CM88" s="38">
        <f>Inputs!$D$19*(1-Inputs!$C$72*$H88)+Inputs!$D$21+Inputs!$B$72*$J88</f>
        <v>392150</v>
      </c>
      <c r="CN88" s="38">
        <f t="shared" si="84"/>
        <v>275745.71170807909</v>
      </c>
      <c r="CO88" s="38">
        <f t="shared" si="85"/>
        <v>0</v>
      </c>
      <c r="CP88" s="38">
        <f>MAX(0,MIN(Inputs!$B$36,CU87,CQ88+CR88+CS88+Inputs!$B$6-CT87))</f>
        <v>0</v>
      </c>
      <c r="CQ88" s="38">
        <f>Inputs!$B$27*(1+Inputs!$B$28)^($A88/12)*IF(Inputs!$B$73=1,$G88,1)*(1-Inputs!$C$73*$H88*(1-Inputs!$E$54*Inputs!$B$73))*(1+$I88)*IF(Inputs!$B$29=0,1,(MAX(CT87,0)/Inputs!$B$6)^Inputs!$B$29)</f>
        <v>17325.460246663486</v>
      </c>
      <c r="CR88" s="38">
        <f>Inputs!$B$32*CT87/Inputs!$B$6</f>
        <v>0</v>
      </c>
      <c r="CS88" s="38">
        <f>Inputs!$B$33</f>
        <v>2500</v>
      </c>
      <c r="CT88" s="38">
        <f t="shared" si="86"/>
        <v>0</v>
      </c>
      <c r="CU88" s="38">
        <f t="shared" si="87"/>
        <v>0</v>
      </c>
      <c r="CV88" s="38">
        <f>Inputs!$B$19*(1-Inputs!$C$73*$H88)+Inputs!$B$21+Inputs!$B$73*$J88</f>
        <v>583500</v>
      </c>
      <c r="CW88" s="38">
        <f t="shared" si="88"/>
        <v>-583500</v>
      </c>
      <c r="CX88" s="38">
        <f t="shared" si="89"/>
        <v>1</v>
      </c>
      <c r="CY88" s="38">
        <f>MAX(0,MIN(Inputs!$C$36,DD87,CZ88+DA88+DB88+Inputs!$C$6-DC87))</f>
        <v>0</v>
      </c>
      <c r="CZ88" s="38">
        <f>Inputs!$C$27*(1+Inputs!$C$28)^($A88/12)*IF(Inputs!$B$73=1,$G88,1)*(1-Inputs!$C$73*$H88*(1-Inputs!$E$54*Inputs!$B$73))*(1+$I88)*IF(Inputs!$C$29=0,1,(MAX(DC87,0)/Inputs!$C$6)^Inputs!$C$29)</f>
        <v>5702.8534614083665</v>
      </c>
      <c r="DA88" s="38">
        <f>Inputs!$C$32*DC87/Inputs!$C$6</f>
        <v>633.71758543460896</v>
      </c>
      <c r="DB88" s="38">
        <f>Inputs!$C$33</f>
        <v>2000</v>
      </c>
      <c r="DC88" s="38">
        <f t="shared" si="90"/>
        <v>66770.69833799958</v>
      </c>
      <c r="DD88" s="38">
        <f t="shared" si="91"/>
        <v>0</v>
      </c>
      <c r="DE88" s="38">
        <f>Inputs!$C$19*(1-Inputs!$C$73*$H88)+Inputs!$C$21+Inputs!$B$73*$J88</f>
        <v>486000</v>
      </c>
      <c r="DF88" s="38">
        <f t="shared" si="92"/>
        <v>-419229.30166200042</v>
      </c>
      <c r="DG88" s="38">
        <f t="shared" si="93"/>
        <v>1</v>
      </c>
      <c r="DH88" s="38">
        <f>MAX(0,MIN(Inputs!$D$36,DM87,DI88+DJ88+DK88+Inputs!$D$6-DL87))</f>
        <v>0</v>
      </c>
      <c r="DI88" s="38">
        <f>Inputs!$D$27*(1+Inputs!$D$28)^($A88/12)*IF(Inputs!$B$73=1,$G88,1)*(1-Inputs!$C$73*$H88*(1-Inputs!$E$54*Inputs!$B$73))*(1+$I88)*IF(Inputs!$D$29=0,1,(MAX(DL87,0)/Inputs!$D$6)^Inputs!$D$29)</f>
        <v>5278.0456365122636</v>
      </c>
      <c r="DJ88" s="38">
        <f>Inputs!$D$32*DL87/Inputs!$D$6</f>
        <v>3501.7405108363687</v>
      </c>
      <c r="DK88" s="38">
        <f>Inputs!$D$33</f>
        <v>1500</v>
      </c>
      <c r="DL88" s="38">
        <f t="shared" si="94"/>
        <v>723418.2256469382</v>
      </c>
      <c r="DM88" s="38">
        <f t="shared" si="95"/>
        <v>0</v>
      </c>
      <c r="DN88" s="38">
        <f>Inputs!$D$19*(1-Inputs!$C$73*$H88)+Inputs!$D$21+Inputs!$B$73*$J88</f>
        <v>398150</v>
      </c>
      <c r="DO88" s="38">
        <f t="shared" si="96"/>
        <v>325268.2256469382</v>
      </c>
      <c r="DP88" s="38">
        <f t="shared" si="97"/>
        <v>0</v>
      </c>
    </row>
    <row r="89" spans="1:120" x14ac:dyDescent="0.35">
      <c r="A89" s="29">
        <v>84</v>
      </c>
      <c r="B89" s="34">
        <f>EDATE(Inputs!$B$67,$A89)</f>
        <v>48823</v>
      </c>
      <c r="C89" s="35">
        <f>IF(Inputs!$E$47&lt;=0,Inputs!$E$46,Inputs!$E$44+(Inputs!$E$46-Inputs!$E$44)*MIN($A89/Inputs!$E$47,1))</f>
        <v>0.7</v>
      </c>
      <c r="D89" s="35">
        <f>MIN(Inputs!$E$57,Inputs!$E$55*(1+Inputs!$E$56)^($A89/12))*Inputs!$E$58*(1+Inputs!$E$59)^($A89/12)/Inputs!$E$45</f>
        <v>1.5</v>
      </c>
      <c r="E89" s="35">
        <f>MAX(Inputs!$E$44,MIN(C89,D89))</f>
        <v>0.7</v>
      </c>
      <c r="F89" s="35">
        <f>IF(Inputs!$E$50&lt;=0,Inputs!$E$49,Inputs!$E$48+(Inputs!$E$49-Inputs!$E$48)*MIN($A89/Inputs!$E$50,1))</f>
        <v>0.12</v>
      </c>
      <c r="G89" s="36">
        <f>(Inputs!$E$41*(1-E89*Inputs!$E$51)+Inputs!$E$42*(1-F89*Inputs!$E$51))/(Inputs!$E$41*(1-Inputs!$E$44*Inputs!$E$51)+Inputs!$E$42*(1-Inputs!$E$48*Inputs!$E$51))</f>
        <v>0.8423127463863338</v>
      </c>
      <c r="H89" s="35">
        <f>IF(Inputs!$E$53&lt;=0,Inputs!$E$52,Inputs!$E$52*MIN($A89/Inputs!$E$53,1))</f>
        <v>0.1</v>
      </c>
      <c r="I89" s="35">
        <f>IF(Inputs!$E$64&lt;=0,Inputs!$E$63,Inputs!$E$62+(Inputs!$E$63-Inputs!$E$62)*MIN($A89/Inputs!$E$64,1))</f>
        <v>0.03</v>
      </c>
      <c r="J89" s="37">
        <f>(E89-Inputs!$E$44)*Inputs!$E$45/Inputs!$E$60*Inputs!$E$61</f>
        <v>5999.9999999999991</v>
      </c>
      <c r="K89" s="29">
        <f t="shared" si="49"/>
        <v>0</v>
      </c>
      <c r="L89" s="29"/>
      <c r="M89" s="38">
        <f>MAX(0,MIN(Inputs!$B$36,R88,N89+O89+P89+Inputs!$B$6-Q88))</f>
        <v>0</v>
      </c>
      <c r="N89" s="38">
        <f>Inputs!$B$27*(1+Inputs!$B$28)^($A89/12)*IF(Inputs!$B$70=1,$G89,1)*(1-Inputs!$C$70*$H89*(1-Inputs!$E$54*Inputs!$B$70))*(1+$I89)*IF(Inputs!$B$29=0,1,(MAX(Q88,0)/Inputs!$B$6)^Inputs!$B$29)</f>
        <v>21739.701530039067</v>
      </c>
      <c r="O89" s="38">
        <f>Inputs!$B$32*Q88/Inputs!$B$6</f>
        <v>0</v>
      </c>
      <c r="P89" s="38">
        <f>Inputs!$B$33</f>
        <v>2500</v>
      </c>
      <c r="Q89" s="38">
        <f t="shared" si="50"/>
        <v>0</v>
      </c>
      <c r="R89" s="38">
        <f t="shared" si="51"/>
        <v>0</v>
      </c>
      <c r="S89" s="38">
        <f>Inputs!$B$19*(1-Inputs!$C$70*$H89)+Inputs!$B$21+Inputs!$B$70*$J89</f>
        <v>595000</v>
      </c>
      <c r="T89" s="38">
        <f t="shared" si="52"/>
        <v>-595000</v>
      </c>
      <c r="U89" s="38">
        <f t="shared" si="53"/>
        <v>1</v>
      </c>
      <c r="V89" s="38">
        <f>MAX(0,MIN(Inputs!$C$36,AA88,W89+X89+Y89+Inputs!$C$6-Z88))</f>
        <v>0</v>
      </c>
      <c r="W89" s="38">
        <f>Inputs!$C$27*(1+Inputs!$C$28)^($A89/12)*IF(Inputs!$B$70=1,$G89,1)*(1-Inputs!$C$70*$H89*(1-Inputs!$E$54*Inputs!$B$70))*(1+$I89)*IF(Inputs!$C$29=0,1,(MAX(Z88,0)/Inputs!$C$6)^Inputs!$C$29)</f>
        <v>0</v>
      </c>
      <c r="X89" s="38">
        <f>Inputs!$C$32*Z88/Inputs!$C$6</f>
        <v>0</v>
      </c>
      <c r="Y89" s="38">
        <f>Inputs!$C$33</f>
        <v>2000</v>
      </c>
      <c r="Z89" s="38">
        <f t="shared" si="54"/>
        <v>0</v>
      </c>
      <c r="AA89" s="38">
        <f t="shared" si="55"/>
        <v>0</v>
      </c>
      <c r="AB89" s="38">
        <f>Inputs!$C$19*(1-Inputs!$C$70*$H89)+Inputs!$C$21+Inputs!$B$70*$J89</f>
        <v>495000</v>
      </c>
      <c r="AC89" s="38">
        <f t="shared" si="56"/>
        <v>-495000</v>
      </c>
      <c r="AD89" s="38">
        <f t="shared" si="57"/>
        <v>1</v>
      </c>
      <c r="AE89" s="38">
        <f>MAX(0,MIN(Inputs!$D$36,AJ88,AF89+AG89+AH89+Inputs!$D$6-AI88))</f>
        <v>0</v>
      </c>
      <c r="AF89" s="38">
        <f>Inputs!$D$27*(1+Inputs!$D$28)^($A89/12)*IF(Inputs!$B$70=1,$G89,1)*(1-Inputs!$C$70*$H89*(1-Inputs!$E$54*Inputs!$B$70))*(1+$I89)*IF(Inputs!$D$29=0,1,(MAX(AI88,0)/Inputs!$D$6)^Inputs!$D$29)</f>
        <v>6068.8288786987505</v>
      </c>
      <c r="AG89" s="38">
        <f>Inputs!$D$32*AI88/Inputs!$D$6</f>
        <v>2989.8827040837227</v>
      </c>
      <c r="AH89" s="38">
        <f>Inputs!$D$33</f>
        <v>1500</v>
      </c>
      <c r="AI89" s="38">
        <f t="shared" si="58"/>
        <v>615892.90260618809</v>
      </c>
      <c r="AJ89" s="38">
        <f t="shared" si="59"/>
        <v>0</v>
      </c>
      <c r="AK89" s="38">
        <f>Inputs!$D$19*(1-Inputs!$C$70*$H89)+Inputs!$D$21+Inputs!$B$70*$J89</f>
        <v>404800</v>
      </c>
      <c r="AL89" s="38">
        <f t="shared" si="60"/>
        <v>211092.90260618809</v>
      </c>
      <c r="AM89" s="38">
        <f t="shared" si="61"/>
        <v>0</v>
      </c>
      <c r="AN89" s="38">
        <f>MAX(0,MIN(Inputs!$B$36,AS88,AO89+AP89+AQ89+Inputs!$B$6-AR88))</f>
        <v>0</v>
      </c>
      <c r="AO89" s="38">
        <f>Inputs!$B$27*(1+Inputs!$B$28)^($A89/12)*IF(Inputs!$B$71=1,$G89,1)*(1-Inputs!$C$71*$H89*(1-Inputs!$E$54*Inputs!$B$71))*(1+$I89)*IF(Inputs!$B$29=0,1,(MAX(AR88,0)/Inputs!$B$6)^Inputs!$B$29)</f>
        <v>18311.627701386387</v>
      </c>
      <c r="AP89" s="38">
        <f>Inputs!$B$32*AR88/Inputs!$B$6</f>
        <v>0</v>
      </c>
      <c r="AQ89" s="38">
        <f>Inputs!$B$33</f>
        <v>2500</v>
      </c>
      <c r="AR89" s="38">
        <f t="shared" si="62"/>
        <v>0</v>
      </c>
      <c r="AS89" s="38">
        <f t="shared" si="63"/>
        <v>0</v>
      </c>
      <c r="AT89" s="38">
        <f>Inputs!$B$19*(1-Inputs!$C$71*$H89)+Inputs!$B$21+Inputs!$B$71*$J89</f>
        <v>601000</v>
      </c>
      <c r="AU89" s="38">
        <f t="shared" si="64"/>
        <v>-601000</v>
      </c>
      <c r="AV89" s="38">
        <f t="shared" si="65"/>
        <v>1</v>
      </c>
      <c r="AW89" s="38">
        <f>MAX(0,MIN(Inputs!$C$36,BB88,AX89+AY89+AZ89+Inputs!$C$6-BA88))</f>
        <v>0</v>
      </c>
      <c r="AX89" s="38">
        <f>Inputs!$C$27*(1+Inputs!$C$28)^($A89/12)*IF(Inputs!$B$71=1,$G89,1)*(1-Inputs!$C$71*$H89*(1-Inputs!$E$54*Inputs!$B$71))*(1+$I89)*IF(Inputs!$C$29=0,1,(MAX(BA88,0)/Inputs!$C$6)^Inputs!$C$29)</f>
        <v>5453.9634811253945</v>
      </c>
      <c r="AY89" s="38">
        <f>Inputs!$C$32*BA88/Inputs!$C$6</f>
        <v>431.78766700447693</v>
      </c>
      <c r="AZ89" s="38">
        <f>Inputs!$C$33</f>
        <v>2000</v>
      </c>
      <c r="BA89" s="38">
        <f t="shared" si="66"/>
        <v>43289.083459808142</v>
      </c>
      <c r="BB89" s="38">
        <f t="shared" si="67"/>
        <v>0</v>
      </c>
      <c r="BC89" s="38">
        <f>Inputs!$C$19*(1-Inputs!$C$71*$H89)+Inputs!$C$21+Inputs!$B$71*$J89</f>
        <v>501000</v>
      </c>
      <c r="BD89" s="38">
        <f t="shared" si="68"/>
        <v>-457710.91654019186</v>
      </c>
      <c r="BE89" s="38">
        <f t="shared" si="69"/>
        <v>1</v>
      </c>
      <c r="BF89" s="38">
        <f>MAX(0,MIN(Inputs!$D$36,BK88,BG89+BH89+BI89+Inputs!$D$6-BJ88))</f>
        <v>0</v>
      </c>
      <c r="BG89" s="38">
        <f>Inputs!$D$27*(1+Inputs!$D$28)^($A89/12)*IF(Inputs!$B$71=1,$G89,1)*(1-Inputs!$C$71*$H89*(1-Inputs!$E$54*Inputs!$B$71))*(1+$I89)*IF(Inputs!$D$29=0,1,(MAX(BJ88,0)/Inputs!$D$6)^Inputs!$D$29)</f>
        <v>5422.2272141171434</v>
      </c>
      <c r="BH89" s="38">
        <f>Inputs!$D$32*BJ88/Inputs!$D$6</f>
        <v>3363.9772201887131</v>
      </c>
      <c r="BI89" s="38">
        <f>Inputs!$D$33</f>
        <v>1500</v>
      </c>
      <c r="BJ89" s="38">
        <f t="shared" si="70"/>
        <v>694547.11789094831</v>
      </c>
      <c r="BK89" s="38">
        <f t="shared" si="71"/>
        <v>0</v>
      </c>
      <c r="BL89" s="38">
        <f>Inputs!$D$19*(1-Inputs!$C$71*$H89)+Inputs!$D$21+Inputs!$B$71*$J89</f>
        <v>410800</v>
      </c>
      <c r="BM89" s="38">
        <f t="shared" si="72"/>
        <v>283747.11789094831</v>
      </c>
      <c r="BN89" s="38">
        <f t="shared" si="73"/>
        <v>0</v>
      </c>
      <c r="BO89" s="38">
        <f>MAX(0,MIN(Inputs!$B$36,BT88,BP89+BQ89+BR89+Inputs!$B$6-BS88))</f>
        <v>0</v>
      </c>
      <c r="BP89" s="38">
        <f>Inputs!$B$27*(1+Inputs!$B$28)^($A89/12)*IF(Inputs!$B$72=1,$G89,1)*(1-Inputs!$C$72*$H89*(1-Inputs!$E$54*Inputs!$B$72))*(1+$I89)*IF(Inputs!$B$29=0,1,(MAX(BS88,0)/Inputs!$B$6)^Inputs!$B$29)</f>
        <v>19565.731377035157</v>
      </c>
      <c r="BQ89" s="38">
        <f>Inputs!$B$32*BS88/Inputs!$B$6</f>
        <v>0</v>
      </c>
      <c r="BR89" s="38">
        <f>Inputs!$B$33</f>
        <v>2500</v>
      </c>
      <c r="BS89" s="38">
        <f t="shared" si="74"/>
        <v>0</v>
      </c>
      <c r="BT89" s="38">
        <f t="shared" si="75"/>
        <v>0</v>
      </c>
      <c r="BU89" s="38">
        <f>Inputs!$B$19*(1-Inputs!$C$72*$H89)+Inputs!$B$21+Inputs!$B$72*$J89</f>
        <v>577500</v>
      </c>
      <c r="BV89" s="38">
        <f t="shared" si="76"/>
        <v>-577500</v>
      </c>
      <c r="BW89" s="38">
        <f t="shared" si="77"/>
        <v>1</v>
      </c>
      <c r="BX89" s="38">
        <f>MAX(0,MIN(Inputs!$C$36,CC88,BY89+BZ89+CA89+Inputs!$C$6-CB88))</f>
        <v>0</v>
      </c>
      <c r="BY89" s="38">
        <f>Inputs!$C$27*(1+Inputs!$C$28)^($A89/12)*IF(Inputs!$B$72=1,$G89,1)*(1-Inputs!$C$72*$H89*(1-Inputs!$E$54*Inputs!$B$72))*(1+$I89)*IF(Inputs!$C$29=0,1,(MAX(CB88,0)/Inputs!$C$6)^Inputs!$C$29)</f>
        <v>4828.2824286835894</v>
      </c>
      <c r="BZ89" s="38">
        <f>Inputs!$C$32*CB88/Inputs!$C$6</f>
        <v>203.47705744059718</v>
      </c>
      <c r="CA89" s="38">
        <f>Inputs!$C$33</f>
        <v>2000</v>
      </c>
      <c r="CB89" s="38">
        <f t="shared" si="78"/>
        <v>17084.039914242894</v>
      </c>
      <c r="CC89" s="38">
        <f t="shared" si="79"/>
        <v>0</v>
      </c>
      <c r="CD89" s="38">
        <f>Inputs!$C$19*(1-Inputs!$C$72*$H89)+Inputs!$C$21+Inputs!$B$72*$J89</f>
        <v>480000</v>
      </c>
      <c r="CE89" s="38">
        <f t="shared" si="80"/>
        <v>-462915.96008575708</v>
      </c>
      <c r="CF89" s="38">
        <f t="shared" si="81"/>
        <v>1</v>
      </c>
      <c r="CG89" s="38">
        <f>MAX(0,MIN(Inputs!$D$36,CL88,CH89+CI89+CJ89+Inputs!$D$6-CK88))</f>
        <v>0</v>
      </c>
      <c r="CH89" s="38">
        <f>Inputs!$D$27*(1+Inputs!$D$28)^($A89/12)*IF(Inputs!$B$72=1,$G89,1)*(1-Inputs!$C$72*$H89*(1-Inputs!$E$54*Inputs!$B$72))*(1+$I89)*IF(Inputs!$D$29=0,1,(MAX(CK88,0)/Inputs!$D$6)^Inputs!$D$29)</f>
        <v>5639.7254525788312</v>
      </c>
      <c r="CI89" s="38">
        <f>Inputs!$D$32*CK88/Inputs!$D$6</f>
        <v>3187.684078606741</v>
      </c>
      <c r="CJ89" s="38">
        <f>Inputs!$D$33</f>
        <v>1500</v>
      </c>
      <c r="CK89" s="38">
        <f t="shared" si="82"/>
        <v>657568.30217689346</v>
      </c>
      <c r="CL89" s="38">
        <f t="shared" si="83"/>
        <v>0</v>
      </c>
      <c r="CM89" s="38">
        <f>Inputs!$D$19*(1-Inputs!$C$72*$H89)+Inputs!$D$21+Inputs!$B$72*$J89</f>
        <v>392150</v>
      </c>
      <c r="CN89" s="38">
        <f t="shared" si="84"/>
        <v>265418.30217689346</v>
      </c>
      <c r="CO89" s="38">
        <f t="shared" si="85"/>
        <v>0</v>
      </c>
      <c r="CP89" s="38">
        <f>MAX(0,MIN(Inputs!$B$36,CU88,CQ89+CR89+CS89+Inputs!$B$6-CT88))</f>
        <v>0</v>
      </c>
      <c r="CQ89" s="38">
        <f>Inputs!$B$27*(1+Inputs!$B$28)^($A89/12)*IF(Inputs!$B$73=1,$G89,1)*(1-Inputs!$C$73*$H89*(1-Inputs!$E$54*Inputs!$B$73))*(1+$I89)*IF(Inputs!$B$29=0,1,(MAX(CT88,0)/Inputs!$B$6)^Inputs!$B$29)</f>
        <v>17396.046316317068</v>
      </c>
      <c r="CR89" s="38">
        <f>Inputs!$B$32*CT88/Inputs!$B$6</f>
        <v>0</v>
      </c>
      <c r="CS89" s="38">
        <f>Inputs!$B$33</f>
        <v>2500</v>
      </c>
      <c r="CT89" s="38">
        <f t="shared" si="86"/>
        <v>0</v>
      </c>
      <c r="CU89" s="38">
        <f t="shared" si="87"/>
        <v>0</v>
      </c>
      <c r="CV89" s="38">
        <f>Inputs!$B$19*(1-Inputs!$C$73*$H89)+Inputs!$B$21+Inputs!$B$73*$J89</f>
        <v>583500</v>
      </c>
      <c r="CW89" s="38">
        <f t="shared" si="88"/>
        <v>-583500</v>
      </c>
      <c r="CX89" s="38">
        <f t="shared" si="89"/>
        <v>1</v>
      </c>
      <c r="CY89" s="38">
        <f>MAX(0,MIN(Inputs!$C$36,DD88,CZ89+DA89+DB89+Inputs!$C$6-DC88))</f>
        <v>0</v>
      </c>
      <c r="CZ89" s="38">
        <f>Inputs!$C$27*(1+Inputs!$C$28)^($A89/12)*IF(Inputs!$B$73=1,$G89,1)*(1-Inputs!$C$73*$H89*(1-Inputs!$E$54*Inputs!$B$73))*(1+$I89)*IF(Inputs!$C$29=0,1,(MAX(DC88,0)/Inputs!$C$6)^Inputs!$C$29)</f>
        <v>5537.5568599037506</v>
      </c>
      <c r="DA89" s="38">
        <f>Inputs!$C$32*DC88/Inputs!$C$6</f>
        <v>563.37776722687136</v>
      </c>
      <c r="DB89" s="38">
        <f>Inputs!$C$33</f>
        <v>2000</v>
      </c>
      <c r="DC89" s="38">
        <f t="shared" si="90"/>
        <v>58669.76371086896</v>
      </c>
      <c r="DD89" s="38">
        <f t="shared" si="91"/>
        <v>0</v>
      </c>
      <c r="DE89" s="38">
        <f>Inputs!$C$19*(1-Inputs!$C$73*$H89)+Inputs!$C$21+Inputs!$B$73*$J89</f>
        <v>486000</v>
      </c>
      <c r="DF89" s="38">
        <f t="shared" si="92"/>
        <v>-427330.23628913105</v>
      </c>
      <c r="DG89" s="38">
        <f t="shared" si="93"/>
        <v>1</v>
      </c>
      <c r="DH89" s="38">
        <f>MAX(0,MIN(Inputs!$D$36,DM88,DI89+DJ89+DK89+Inputs!$D$6-DL88))</f>
        <v>0</v>
      </c>
      <c r="DI89" s="38">
        <f>Inputs!$D$27*(1+Inputs!$D$28)^($A89/12)*IF(Inputs!$B$73=1,$G89,1)*(1-Inputs!$C$73*$H89*(1-Inputs!$E$54*Inputs!$B$73))*(1+$I89)*IF(Inputs!$D$29=0,1,(MAX(DL88,0)/Inputs!$D$6)^Inputs!$D$29)</f>
        <v>5218.5857823705346</v>
      </c>
      <c r="DJ89" s="38">
        <f>Inputs!$D$32*DL88/Inputs!$D$6</f>
        <v>3452.6778951331139</v>
      </c>
      <c r="DK89" s="38">
        <f>Inputs!$D$33</f>
        <v>1500</v>
      </c>
      <c r="DL89" s="38">
        <f t="shared" si="94"/>
        <v>713246.96196943452</v>
      </c>
      <c r="DM89" s="38">
        <f t="shared" si="95"/>
        <v>0</v>
      </c>
      <c r="DN89" s="38">
        <f>Inputs!$D$19*(1-Inputs!$C$73*$H89)+Inputs!$D$21+Inputs!$B$73*$J89</f>
        <v>398150</v>
      </c>
      <c r="DO89" s="38">
        <f t="shared" si="96"/>
        <v>315096.96196943452</v>
      </c>
      <c r="DP89" s="38">
        <f t="shared" si="97"/>
        <v>0</v>
      </c>
    </row>
    <row r="90" spans="1:120" x14ac:dyDescent="0.35">
      <c r="A90" s="29">
        <v>85</v>
      </c>
      <c r="B90" s="34">
        <f>EDATE(Inputs!$B$67,$A90)</f>
        <v>48853</v>
      </c>
      <c r="C90" s="35">
        <f>IF(Inputs!$E$47&lt;=0,Inputs!$E$46,Inputs!$E$44+(Inputs!$E$46-Inputs!$E$44)*MIN($A90/Inputs!$E$47,1))</f>
        <v>0.7</v>
      </c>
      <c r="D90" s="35">
        <f>MIN(Inputs!$E$57,Inputs!$E$55*(1+Inputs!$E$56)^($A90/12))*Inputs!$E$58*(1+Inputs!$E$59)^($A90/12)/Inputs!$E$45</f>
        <v>1.5</v>
      </c>
      <c r="E90" s="35">
        <f>MAX(Inputs!$E$44,MIN(C90,D90))</f>
        <v>0.7</v>
      </c>
      <c r="F90" s="35">
        <f>IF(Inputs!$E$50&lt;=0,Inputs!$E$49,Inputs!$E$48+(Inputs!$E$49-Inputs!$E$48)*MIN($A90/Inputs!$E$50,1))</f>
        <v>0.12</v>
      </c>
      <c r="G90" s="36">
        <f>(Inputs!$E$41*(1-E90*Inputs!$E$51)+Inputs!$E$42*(1-F90*Inputs!$E$51))/(Inputs!$E$41*(1-Inputs!$E$44*Inputs!$E$51)+Inputs!$E$42*(1-Inputs!$E$48*Inputs!$E$51))</f>
        <v>0.8423127463863338</v>
      </c>
      <c r="H90" s="35">
        <f>IF(Inputs!$E$53&lt;=0,Inputs!$E$52,Inputs!$E$52*MIN($A90/Inputs!$E$53,1))</f>
        <v>0.1</v>
      </c>
      <c r="I90" s="35">
        <f>IF(Inputs!$E$64&lt;=0,Inputs!$E$63,Inputs!$E$62+(Inputs!$E$63-Inputs!$E$62)*MIN($A90/Inputs!$E$64,1))</f>
        <v>0.03</v>
      </c>
      <c r="J90" s="37">
        <f>(E90-Inputs!$E$44)*Inputs!$E$45/Inputs!$E$60*Inputs!$E$61</f>
        <v>5999.9999999999991</v>
      </c>
      <c r="K90" s="29">
        <f t="shared" si="49"/>
        <v>0</v>
      </c>
      <c r="L90" s="29"/>
      <c r="M90" s="38">
        <f>MAX(0,MIN(Inputs!$B$36,R89,N90+O90+P90+Inputs!$B$6-Q89))</f>
        <v>0</v>
      </c>
      <c r="N90" s="38">
        <f>Inputs!$B$27*(1+Inputs!$B$28)^($A90/12)*IF(Inputs!$B$70=1,$G90,1)*(1-Inputs!$C$70*$H90*(1-Inputs!$E$54*Inputs!$B$70))*(1+$I90)*IF(Inputs!$B$29=0,1,(MAX(Q89,0)/Inputs!$B$6)^Inputs!$B$29)</f>
        <v>21828.271765092017</v>
      </c>
      <c r="O90" s="38">
        <f>Inputs!$B$32*Q89/Inputs!$B$6</f>
        <v>0</v>
      </c>
      <c r="P90" s="38">
        <f>Inputs!$B$33</f>
        <v>2500</v>
      </c>
      <c r="Q90" s="38">
        <f t="shared" si="50"/>
        <v>0</v>
      </c>
      <c r="R90" s="38">
        <f t="shared" si="51"/>
        <v>0</v>
      </c>
      <c r="S90" s="38">
        <f>Inputs!$B$19*(1-Inputs!$C$70*$H90)+Inputs!$B$21+Inputs!$B$70*$J90</f>
        <v>595000</v>
      </c>
      <c r="T90" s="38">
        <f t="shared" si="52"/>
        <v>-595000</v>
      </c>
      <c r="U90" s="38">
        <f t="shared" si="53"/>
        <v>1</v>
      </c>
      <c r="V90" s="38">
        <f>MAX(0,MIN(Inputs!$C$36,AA89,W90+X90+Y90+Inputs!$C$6-Z89))</f>
        <v>0</v>
      </c>
      <c r="W90" s="38">
        <f>Inputs!$C$27*(1+Inputs!$C$28)^($A90/12)*IF(Inputs!$B$70=1,$G90,1)*(1-Inputs!$C$70*$H90*(1-Inputs!$E$54*Inputs!$B$70))*(1+$I90)*IF(Inputs!$C$29=0,1,(MAX(Z89,0)/Inputs!$C$6)^Inputs!$C$29)</f>
        <v>0</v>
      </c>
      <c r="X90" s="38">
        <f>Inputs!$C$32*Z89/Inputs!$C$6</f>
        <v>0</v>
      </c>
      <c r="Y90" s="38">
        <f>Inputs!$C$33</f>
        <v>2000</v>
      </c>
      <c r="Z90" s="38">
        <f t="shared" si="54"/>
        <v>0</v>
      </c>
      <c r="AA90" s="38">
        <f t="shared" si="55"/>
        <v>0</v>
      </c>
      <c r="AB90" s="38">
        <f>Inputs!$C$19*(1-Inputs!$C$70*$H90)+Inputs!$C$21+Inputs!$B$70*$J90</f>
        <v>495000</v>
      </c>
      <c r="AC90" s="38">
        <f t="shared" si="56"/>
        <v>-495000</v>
      </c>
      <c r="AD90" s="38">
        <f t="shared" si="57"/>
        <v>1</v>
      </c>
      <c r="AE90" s="38">
        <f>MAX(0,MIN(Inputs!$D$36,AJ89,AF90+AG90+AH90+Inputs!$D$6-AI89))</f>
        <v>0</v>
      </c>
      <c r="AF90" s="38">
        <f>Inputs!$D$27*(1+Inputs!$D$28)^($A90/12)*IF(Inputs!$B$70=1,$G90,1)*(1-Inputs!$C$70*$H90*(1-Inputs!$E$54*Inputs!$B$70))*(1+$I90)*IF(Inputs!$D$29=0,1,(MAX(AI89,0)/Inputs!$D$6)^Inputs!$D$29)</f>
        <v>5991.8006966860339</v>
      </c>
      <c r="AG90" s="38">
        <f>Inputs!$D$32*AI89/Inputs!$D$6</f>
        <v>2939.488853347716</v>
      </c>
      <c r="AH90" s="38">
        <f>Inputs!$D$33</f>
        <v>1500</v>
      </c>
      <c r="AI90" s="38">
        <f t="shared" si="58"/>
        <v>605461.61305615434</v>
      </c>
      <c r="AJ90" s="38">
        <f t="shared" si="59"/>
        <v>0</v>
      </c>
      <c r="AK90" s="38">
        <f>Inputs!$D$19*(1-Inputs!$C$70*$H90)+Inputs!$D$21+Inputs!$B$70*$J90</f>
        <v>404800</v>
      </c>
      <c r="AL90" s="38">
        <f t="shared" si="60"/>
        <v>200661.61305615434</v>
      </c>
      <c r="AM90" s="38">
        <f t="shared" si="61"/>
        <v>0</v>
      </c>
      <c r="AN90" s="38">
        <f>MAX(0,MIN(Inputs!$B$36,AS89,AO90+AP90+AQ90+Inputs!$B$6-AR89))</f>
        <v>0</v>
      </c>
      <c r="AO90" s="38">
        <f>Inputs!$B$27*(1+Inputs!$B$28)^($A90/12)*IF(Inputs!$B$71=1,$G90,1)*(1-Inputs!$C$71*$H90*(1-Inputs!$E$54*Inputs!$B$71))*(1+$I90)*IF(Inputs!$B$29=0,1,(MAX(AR89,0)/Inputs!$B$6)^Inputs!$B$29)</f>
        <v>18386.231539321921</v>
      </c>
      <c r="AP90" s="38">
        <f>Inputs!$B$32*AR89/Inputs!$B$6</f>
        <v>0</v>
      </c>
      <c r="AQ90" s="38">
        <f>Inputs!$B$33</f>
        <v>2500</v>
      </c>
      <c r="AR90" s="38">
        <f t="shared" si="62"/>
        <v>0</v>
      </c>
      <c r="AS90" s="38">
        <f t="shared" si="63"/>
        <v>0</v>
      </c>
      <c r="AT90" s="38">
        <f>Inputs!$B$19*(1-Inputs!$C$71*$H90)+Inputs!$B$21+Inputs!$B$71*$J90</f>
        <v>601000</v>
      </c>
      <c r="AU90" s="38">
        <f t="shared" si="64"/>
        <v>-601000</v>
      </c>
      <c r="AV90" s="38">
        <f t="shared" si="65"/>
        <v>1</v>
      </c>
      <c r="AW90" s="38">
        <f>MAX(0,MIN(Inputs!$C$36,BB89,AX90+AY90+AZ90+Inputs!$C$6-BA89))</f>
        <v>0</v>
      </c>
      <c r="AX90" s="38">
        <f>Inputs!$C$27*(1+Inputs!$C$28)^($A90/12)*IF(Inputs!$B$71=1,$G90,1)*(1-Inputs!$C$71*$H90*(1-Inputs!$E$54*Inputs!$B$71))*(1+$I90)*IF(Inputs!$C$29=0,1,(MAX(BA89,0)/Inputs!$C$6)^Inputs!$C$29)</f>
        <v>5230.4940381365059</v>
      </c>
      <c r="AY90" s="38">
        <f>Inputs!$C$32*BA89/Inputs!$C$6</f>
        <v>365.25164169213116</v>
      </c>
      <c r="AZ90" s="38">
        <f>Inputs!$C$33</f>
        <v>2000</v>
      </c>
      <c r="BA90" s="38">
        <f t="shared" si="66"/>
        <v>35693.337779979505</v>
      </c>
      <c r="BB90" s="38">
        <f t="shared" si="67"/>
        <v>0</v>
      </c>
      <c r="BC90" s="38">
        <f>Inputs!$C$19*(1-Inputs!$C$71*$H90)+Inputs!$C$21+Inputs!$B$71*$J90</f>
        <v>501000</v>
      </c>
      <c r="BD90" s="38">
        <f t="shared" si="68"/>
        <v>-465306.66222002049</v>
      </c>
      <c r="BE90" s="38">
        <f t="shared" si="69"/>
        <v>1</v>
      </c>
      <c r="BF90" s="38">
        <f>MAX(0,MIN(Inputs!$D$36,BK89,BG90+BH90+BI90+Inputs!$D$6-BJ89))</f>
        <v>0</v>
      </c>
      <c r="BG90" s="38">
        <f>Inputs!$D$27*(1+Inputs!$D$28)^($A90/12)*IF(Inputs!$B$71=1,$G90,1)*(1-Inputs!$C$71*$H90*(1-Inputs!$E$54*Inputs!$B$71))*(1+$I90)*IF(Inputs!$D$29=0,1,(MAX(BJ89,0)/Inputs!$D$6)^Inputs!$D$29)</f>
        <v>5359.5581702462014</v>
      </c>
      <c r="BH90" s="38">
        <f>Inputs!$D$32*BJ89/Inputs!$D$6</f>
        <v>3314.8839717522533</v>
      </c>
      <c r="BI90" s="38">
        <f>Inputs!$D$33</f>
        <v>1500</v>
      </c>
      <c r="BJ90" s="38">
        <f t="shared" si="70"/>
        <v>684372.67574894987</v>
      </c>
      <c r="BK90" s="38">
        <f t="shared" si="71"/>
        <v>0</v>
      </c>
      <c r="BL90" s="38">
        <f>Inputs!$D$19*(1-Inputs!$C$71*$H90)+Inputs!$D$21+Inputs!$B$71*$J90</f>
        <v>410800</v>
      </c>
      <c r="BM90" s="38">
        <f t="shared" si="72"/>
        <v>273572.67574894987</v>
      </c>
      <c r="BN90" s="38">
        <f t="shared" si="73"/>
        <v>0</v>
      </c>
      <c r="BO90" s="38">
        <f>MAX(0,MIN(Inputs!$B$36,BT89,BP90+BQ90+BR90+Inputs!$B$6-BS89))</f>
        <v>0</v>
      </c>
      <c r="BP90" s="38">
        <f>Inputs!$B$27*(1+Inputs!$B$28)^($A90/12)*IF(Inputs!$B$72=1,$G90,1)*(1-Inputs!$C$72*$H90*(1-Inputs!$E$54*Inputs!$B$72))*(1+$I90)*IF(Inputs!$B$29=0,1,(MAX(BS89,0)/Inputs!$B$6)^Inputs!$B$29)</f>
        <v>19645.444588582814</v>
      </c>
      <c r="BQ90" s="38">
        <f>Inputs!$B$32*BS89/Inputs!$B$6</f>
        <v>0</v>
      </c>
      <c r="BR90" s="38">
        <f>Inputs!$B$33</f>
        <v>2500</v>
      </c>
      <c r="BS90" s="38">
        <f t="shared" si="74"/>
        <v>0</v>
      </c>
      <c r="BT90" s="38">
        <f t="shared" si="75"/>
        <v>0</v>
      </c>
      <c r="BU90" s="38">
        <f>Inputs!$B$19*(1-Inputs!$C$72*$H90)+Inputs!$B$21+Inputs!$B$72*$J90</f>
        <v>577500</v>
      </c>
      <c r="BV90" s="38">
        <f t="shared" si="76"/>
        <v>-577500</v>
      </c>
      <c r="BW90" s="38">
        <f t="shared" si="77"/>
        <v>1</v>
      </c>
      <c r="BX90" s="38">
        <f>MAX(0,MIN(Inputs!$C$36,CC89,BY90+BZ90+CA90+Inputs!$C$6-CB89))</f>
        <v>0</v>
      </c>
      <c r="BY90" s="38">
        <f>Inputs!$C$27*(1+Inputs!$C$28)^($A90/12)*IF(Inputs!$B$72=1,$G90,1)*(1-Inputs!$C$72*$H90*(1-Inputs!$E$54*Inputs!$B$72))*(1+$I90)*IF(Inputs!$C$29=0,1,(MAX(CB89,0)/Inputs!$C$6)^Inputs!$C$29)</f>
        <v>4429.6039192257549</v>
      </c>
      <c r="BZ90" s="38">
        <f>Inputs!$C$32*CB89/Inputs!$C$6</f>
        <v>144.14658677642441</v>
      </c>
      <c r="CA90" s="38">
        <f>Inputs!$C$33</f>
        <v>2000</v>
      </c>
      <c r="CB90" s="38">
        <f t="shared" si="78"/>
        <v>10510.289408240715</v>
      </c>
      <c r="CC90" s="38">
        <f t="shared" si="79"/>
        <v>0</v>
      </c>
      <c r="CD90" s="38">
        <f>Inputs!$C$19*(1-Inputs!$C$72*$H90)+Inputs!$C$21+Inputs!$B$72*$J90</f>
        <v>480000</v>
      </c>
      <c r="CE90" s="38">
        <f t="shared" si="80"/>
        <v>-469489.7105917593</v>
      </c>
      <c r="CF90" s="38">
        <f t="shared" si="81"/>
        <v>1</v>
      </c>
      <c r="CG90" s="38">
        <f>MAX(0,MIN(Inputs!$D$36,CL89,CH90+CI90+CJ90+Inputs!$D$6-CK89))</f>
        <v>0</v>
      </c>
      <c r="CH90" s="38">
        <f>Inputs!$D$27*(1+Inputs!$D$28)^($A90/12)*IF(Inputs!$B$72=1,$G90,1)*(1-Inputs!$C$72*$H90*(1-Inputs!$E$54*Inputs!$B$72))*(1+$I90)*IF(Inputs!$D$29=0,1,(MAX(CK89,0)/Inputs!$D$6)^Inputs!$D$29)</f>
        <v>5572.084629067358</v>
      </c>
      <c r="CI90" s="38">
        <f>Inputs!$D$32*CK89/Inputs!$D$6</f>
        <v>3138.3941694806276</v>
      </c>
      <c r="CJ90" s="38">
        <f>Inputs!$D$33</f>
        <v>1500</v>
      </c>
      <c r="CK90" s="38">
        <f t="shared" si="82"/>
        <v>647357.82337834546</v>
      </c>
      <c r="CL90" s="38">
        <f t="shared" si="83"/>
        <v>0</v>
      </c>
      <c r="CM90" s="38">
        <f>Inputs!$D$19*(1-Inputs!$C$72*$H90)+Inputs!$D$21+Inputs!$B$72*$J90</f>
        <v>392150</v>
      </c>
      <c r="CN90" s="38">
        <f t="shared" si="84"/>
        <v>255207.82337834546</v>
      </c>
      <c r="CO90" s="38">
        <f t="shared" si="85"/>
        <v>0</v>
      </c>
      <c r="CP90" s="38">
        <f>MAX(0,MIN(Inputs!$B$36,CU89,CQ90+CR90+CS90+Inputs!$B$6-CT89))</f>
        <v>0</v>
      </c>
      <c r="CQ90" s="38">
        <f>Inputs!$B$27*(1+Inputs!$B$28)^($A90/12)*IF(Inputs!$B$73=1,$G90,1)*(1-Inputs!$C$73*$H90*(1-Inputs!$E$54*Inputs!$B$73))*(1+$I90)*IF(Inputs!$B$29=0,1,(MAX(CT89,0)/Inputs!$B$6)^Inputs!$B$29)</f>
        <v>17466.919962355823</v>
      </c>
      <c r="CR90" s="38">
        <f>Inputs!$B$32*CT89/Inputs!$B$6</f>
        <v>0</v>
      </c>
      <c r="CS90" s="38">
        <f>Inputs!$B$33</f>
        <v>2500</v>
      </c>
      <c r="CT90" s="38">
        <f t="shared" si="86"/>
        <v>0</v>
      </c>
      <c r="CU90" s="38">
        <f t="shared" si="87"/>
        <v>0</v>
      </c>
      <c r="CV90" s="38">
        <f>Inputs!$B$19*(1-Inputs!$C$73*$H90)+Inputs!$B$21+Inputs!$B$73*$J90</f>
        <v>583500</v>
      </c>
      <c r="CW90" s="38">
        <f t="shared" si="88"/>
        <v>-583500</v>
      </c>
      <c r="CX90" s="38">
        <f t="shared" si="89"/>
        <v>1</v>
      </c>
      <c r="CY90" s="38">
        <f>MAX(0,MIN(Inputs!$C$36,DD89,CZ90+DA90+DB90+Inputs!$C$6-DC89))</f>
        <v>0</v>
      </c>
      <c r="CZ90" s="38">
        <f>Inputs!$C$27*(1+Inputs!$C$28)^($A90/12)*IF(Inputs!$B$73=1,$G90,1)*(1-Inputs!$C$73*$H90*(1-Inputs!$E$54*Inputs!$B$73))*(1+$I90)*IF(Inputs!$C$29=0,1,(MAX(DC89,0)/Inputs!$C$6)^Inputs!$C$29)</f>
        <v>5361.364122556748</v>
      </c>
      <c r="DA90" s="38">
        <f>Inputs!$C$32*DC89/Inputs!$C$6</f>
        <v>495.02613131045678</v>
      </c>
      <c r="DB90" s="38">
        <f>Inputs!$C$33</f>
        <v>2000</v>
      </c>
      <c r="DC90" s="38">
        <f t="shared" si="90"/>
        <v>50813.373457001755</v>
      </c>
      <c r="DD90" s="38">
        <f t="shared" si="91"/>
        <v>0</v>
      </c>
      <c r="DE90" s="38">
        <f>Inputs!$C$19*(1-Inputs!$C$73*$H90)+Inputs!$C$21+Inputs!$B$73*$J90</f>
        <v>486000</v>
      </c>
      <c r="DF90" s="38">
        <f t="shared" si="92"/>
        <v>-435186.62654299824</v>
      </c>
      <c r="DG90" s="38">
        <f t="shared" si="93"/>
        <v>1</v>
      </c>
      <c r="DH90" s="38">
        <f>MAX(0,MIN(Inputs!$D$36,DM89,DI90+DJ90+DK90+Inputs!$D$6-DL89))</f>
        <v>0</v>
      </c>
      <c r="DI90" s="38">
        <f>Inputs!$D$27*(1+Inputs!$D$28)^($A90/12)*IF(Inputs!$B$73=1,$G90,1)*(1-Inputs!$C$73*$H90*(1-Inputs!$E$54*Inputs!$B$73))*(1+$I90)*IF(Inputs!$D$29=0,1,(MAX(DL89,0)/Inputs!$D$6)^Inputs!$D$29)</f>
        <v>5159.6673460309657</v>
      </c>
      <c r="DJ90" s="38">
        <f>Inputs!$D$32*DL89/Inputs!$D$6</f>
        <v>3404.133227581392</v>
      </c>
      <c r="DK90" s="38">
        <f>Inputs!$D$33</f>
        <v>1500</v>
      </c>
      <c r="DL90" s="38">
        <f t="shared" si="94"/>
        <v>703183.16139582219</v>
      </c>
      <c r="DM90" s="38">
        <f t="shared" si="95"/>
        <v>0</v>
      </c>
      <c r="DN90" s="38">
        <f>Inputs!$D$19*(1-Inputs!$C$73*$H90)+Inputs!$D$21+Inputs!$B$73*$J90</f>
        <v>398150</v>
      </c>
      <c r="DO90" s="38">
        <f t="shared" si="96"/>
        <v>305033.16139582219</v>
      </c>
      <c r="DP90" s="38">
        <f t="shared" si="97"/>
        <v>0</v>
      </c>
    </row>
    <row r="91" spans="1:120" x14ac:dyDescent="0.35">
      <c r="A91" s="29">
        <v>86</v>
      </c>
      <c r="B91" s="34">
        <f>EDATE(Inputs!$B$67,$A91)</f>
        <v>48884</v>
      </c>
      <c r="C91" s="35">
        <f>IF(Inputs!$E$47&lt;=0,Inputs!$E$46,Inputs!$E$44+(Inputs!$E$46-Inputs!$E$44)*MIN($A91/Inputs!$E$47,1))</f>
        <v>0.7</v>
      </c>
      <c r="D91" s="35">
        <f>MIN(Inputs!$E$57,Inputs!$E$55*(1+Inputs!$E$56)^($A91/12))*Inputs!$E$58*(1+Inputs!$E$59)^($A91/12)/Inputs!$E$45</f>
        <v>1.5</v>
      </c>
      <c r="E91" s="35">
        <f>MAX(Inputs!$E$44,MIN(C91,D91))</f>
        <v>0.7</v>
      </c>
      <c r="F91" s="35">
        <f>IF(Inputs!$E$50&lt;=0,Inputs!$E$49,Inputs!$E$48+(Inputs!$E$49-Inputs!$E$48)*MIN($A91/Inputs!$E$50,1))</f>
        <v>0.12</v>
      </c>
      <c r="G91" s="36">
        <f>(Inputs!$E$41*(1-E91*Inputs!$E$51)+Inputs!$E$42*(1-F91*Inputs!$E$51))/(Inputs!$E$41*(1-Inputs!$E$44*Inputs!$E$51)+Inputs!$E$42*(1-Inputs!$E$48*Inputs!$E$51))</f>
        <v>0.8423127463863338</v>
      </c>
      <c r="H91" s="35">
        <f>IF(Inputs!$E$53&lt;=0,Inputs!$E$52,Inputs!$E$52*MIN($A91/Inputs!$E$53,1))</f>
        <v>0.1</v>
      </c>
      <c r="I91" s="35">
        <f>IF(Inputs!$E$64&lt;=0,Inputs!$E$63,Inputs!$E$62+(Inputs!$E$63-Inputs!$E$62)*MIN($A91/Inputs!$E$64,1))</f>
        <v>0.03</v>
      </c>
      <c r="J91" s="37">
        <f>(E91-Inputs!$E$44)*Inputs!$E$45/Inputs!$E$60*Inputs!$E$61</f>
        <v>5999.9999999999991</v>
      </c>
      <c r="K91" s="29">
        <f t="shared" si="49"/>
        <v>0</v>
      </c>
      <c r="L91" s="29"/>
      <c r="M91" s="38">
        <f>MAX(0,MIN(Inputs!$B$36,R90,N91+O91+P91+Inputs!$B$6-Q90))</f>
        <v>0</v>
      </c>
      <c r="N91" s="38">
        <f>Inputs!$B$27*(1+Inputs!$B$28)^($A91/12)*IF(Inputs!$B$70=1,$G91,1)*(1-Inputs!$C$70*$H91*(1-Inputs!$E$54*Inputs!$B$70))*(1+$I91)*IF(Inputs!$B$29=0,1,(MAX(Q90,0)/Inputs!$B$6)^Inputs!$B$29)</f>
        <v>21917.20284624612</v>
      </c>
      <c r="O91" s="38">
        <f>Inputs!$B$32*Q90/Inputs!$B$6</f>
        <v>0</v>
      </c>
      <c r="P91" s="38">
        <f>Inputs!$B$33</f>
        <v>2500</v>
      </c>
      <c r="Q91" s="38">
        <f t="shared" si="50"/>
        <v>0</v>
      </c>
      <c r="R91" s="38">
        <f t="shared" si="51"/>
        <v>0</v>
      </c>
      <c r="S91" s="38">
        <f>Inputs!$B$19*(1-Inputs!$C$70*$H91)+Inputs!$B$21+Inputs!$B$70*$J91</f>
        <v>595000</v>
      </c>
      <c r="T91" s="38">
        <f t="shared" si="52"/>
        <v>-595000</v>
      </c>
      <c r="U91" s="38">
        <f t="shared" si="53"/>
        <v>1</v>
      </c>
      <c r="V91" s="38">
        <f>MAX(0,MIN(Inputs!$C$36,AA90,W91+X91+Y91+Inputs!$C$6-Z90))</f>
        <v>0</v>
      </c>
      <c r="W91" s="38">
        <f>Inputs!$C$27*(1+Inputs!$C$28)^($A91/12)*IF(Inputs!$B$70=1,$G91,1)*(1-Inputs!$C$70*$H91*(1-Inputs!$E$54*Inputs!$B$70))*(1+$I91)*IF(Inputs!$C$29=0,1,(MAX(Z90,0)/Inputs!$C$6)^Inputs!$C$29)</f>
        <v>0</v>
      </c>
      <c r="X91" s="38">
        <f>Inputs!$C$32*Z90/Inputs!$C$6</f>
        <v>0</v>
      </c>
      <c r="Y91" s="38">
        <f>Inputs!$C$33</f>
        <v>2000</v>
      </c>
      <c r="Z91" s="38">
        <f t="shared" si="54"/>
        <v>0</v>
      </c>
      <c r="AA91" s="38">
        <f t="shared" si="55"/>
        <v>0</v>
      </c>
      <c r="AB91" s="38">
        <f>Inputs!$C$19*(1-Inputs!$C$70*$H91)+Inputs!$C$21+Inputs!$B$70*$J91</f>
        <v>495000</v>
      </c>
      <c r="AC91" s="38">
        <f t="shared" si="56"/>
        <v>-495000</v>
      </c>
      <c r="AD91" s="38">
        <f t="shared" si="57"/>
        <v>1</v>
      </c>
      <c r="AE91" s="38">
        <f>MAX(0,MIN(Inputs!$D$36,AJ90,AF91+AG91+AH91+Inputs!$D$6-AI90))</f>
        <v>0</v>
      </c>
      <c r="AF91" s="38">
        <f>Inputs!$D$27*(1+Inputs!$D$28)^($A91/12)*IF(Inputs!$B$70=1,$G91,1)*(1-Inputs!$C$70*$H91*(1-Inputs!$E$54*Inputs!$B$70))*(1+$I91)*IF(Inputs!$D$29=0,1,(MAX(AI90,0)/Inputs!$D$6)^Inputs!$D$29)</f>
        <v>5915.5032867651435</v>
      </c>
      <c r="AG91" s="38">
        <f>Inputs!$D$32*AI90/Inputs!$D$6</f>
        <v>2889.7031532225551</v>
      </c>
      <c r="AH91" s="38">
        <f>Inputs!$D$33</f>
        <v>1500</v>
      </c>
      <c r="AI91" s="38">
        <f t="shared" si="58"/>
        <v>595156.40661616658</v>
      </c>
      <c r="AJ91" s="38">
        <f t="shared" si="59"/>
        <v>0</v>
      </c>
      <c r="AK91" s="38">
        <f>Inputs!$D$19*(1-Inputs!$C$70*$H91)+Inputs!$D$21+Inputs!$B$70*$J91</f>
        <v>404800</v>
      </c>
      <c r="AL91" s="38">
        <f t="shared" si="60"/>
        <v>190356.40661616658</v>
      </c>
      <c r="AM91" s="38">
        <f t="shared" si="61"/>
        <v>0</v>
      </c>
      <c r="AN91" s="38">
        <f>MAX(0,MIN(Inputs!$B$36,AS90,AO91+AP91+AQ91+Inputs!$B$6-AR90))</f>
        <v>0</v>
      </c>
      <c r="AO91" s="38">
        <f>Inputs!$B$27*(1+Inputs!$B$28)^($A91/12)*IF(Inputs!$B$71=1,$G91,1)*(1-Inputs!$C$71*$H91*(1-Inputs!$E$54*Inputs!$B$71))*(1+$I91)*IF(Inputs!$B$29=0,1,(MAX(AR90,0)/Inputs!$B$6)^Inputs!$B$29)</f>
        <v>18461.139322527943</v>
      </c>
      <c r="AP91" s="38">
        <f>Inputs!$B$32*AR90/Inputs!$B$6</f>
        <v>0</v>
      </c>
      <c r="AQ91" s="38">
        <f>Inputs!$B$33</f>
        <v>2500</v>
      </c>
      <c r="AR91" s="38">
        <f t="shared" si="62"/>
        <v>0</v>
      </c>
      <c r="AS91" s="38">
        <f t="shared" si="63"/>
        <v>0</v>
      </c>
      <c r="AT91" s="38">
        <f>Inputs!$B$19*(1-Inputs!$C$71*$H91)+Inputs!$B$21+Inputs!$B$71*$J91</f>
        <v>601000</v>
      </c>
      <c r="AU91" s="38">
        <f t="shared" si="64"/>
        <v>-601000</v>
      </c>
      <c r="AV91" s="38">
        <f t="shared" si="65"/>
        <v>1</v>
      </c>
      <c r="AW91" s="38">
        <f>MAX(0,MIN(Inputs!$C$36,BB90,AX91+AY91+AZ91+Inputs!$C$6-BA90))</f>
        <v>0</v>
      </c>
      <c r="AX91" s="38">
        <f>Inputs!$C$27*(1+Inputs!$C$28)^($A91/12)*IF(Inputs!$B$71=1,$G91,1)*(1-Inputs!$C$71*$H91*(1-Inputs!$E$54*Inputs!$B$71))*(1+$I91)*IF(Inputs!$C$29=0,1,(MAX(BA90,0)/Inputs!$C$6)^Inputs!$C$29)</f>
        <v>4984.1936114641849</v>
      </c>
      <c r="AY91" s="38">
        <f>Inputs!$C$32*BA90/Inputs!$C$6</f>
        <v>301.16253751857704</v>
      </c>
      <c r="AZ91" s="38">
        <f>Inputs!$C$33</f>
        <v>2000</v>
      </c>
      <c r="BA91" s="38">
        <f t="shared" si="66"/>
        <v>28407.981630996743</v>
      </c>
      <c r="BB91" s="38">
        <f t="shared" si="67"/>
        <v>0</v>
      </c>
      <c r="BC91" s="38">
        <f>Inputs!$C$19*(1-Inputs!$C$71*$H91)+Inputs!$C$21+Inputs!$B$71*$J91</f>
        <v>501000</v>
      </c>
      <c r="BD91" s="38">
        <f t="shared" si="68"/>
        <v>-472592.01836900326</v>
      </c>
      <c r="BE91" s="38">
        <f t="shared" si="69"/>
        <v>1</v>
      </c>
      <c r="BF91" s="38">
        <f>MAX(0,MIN(Inputs!$D$36,BK90,BG91+BH91+BI91+Inputs!$D$6-BJ90))</f>
        <v>0</v>
      </c>
      <c r="BG91" s="38">
        <f>Inputs!$D$27*(1+Inputs!$D$28)^($A91/12)*IF(Inputs!$B$71=1,$G91,1)*(1-Inputs!$C$71*$H91*(1-Inputs!$E$54*Inputs!$B$71))*(1+$I91)*IF(Inputs!$D$29=0,1,(MAX(BJ90,0)/Inputs!$D$6)^Inputs!$D$29)</f>
        <v>5297.4650085596986</v>
      </c>
      <c r="BH91" s="38">
        <f>Inputs!$D$32*BJ90/Inputs!$D$6</f>
        <v>3266.3241342563515</v>
      </c>
      <c r="BI91" s="38">
        <f>Inputs!$D$33</f>
        <v>1500</v>
      </c>
      <c r="BJ91" s="38">
        <f t="shared" si="70"/>
        <v>674308.88660613378</v>
      </c>
      <c r="BK91" s="38">
        <f t="shared" si="71"/>
        <v>0</v>
      </c>
      <c r="BL91" s="38">
        <f>Inputs!$D$19*(1-Inputs!$C$71*$H91)+Inputs!$D$21+Inputs!$B$71*$J91</f>
        <v>410800</v>
      </c>
      <c r="BM91" s="38">
        <f t="shared" si="72"/>
        <v>263508.88660613378</v>
      </c>
      <c r="BN91" s="38">
        <f t="shared" si="73"/>
        <v>0</v>
      </c>
      <c r="BO91" s="38">
        <f>MAX(0,MIN(Inputs!$B$36,BT90,BP91+BQ91+BR91+Inputs!$B$6-BS90))</f>
        <v>0</v>
      </c>
      <c r="BP91" s="38">
        <f>Inputs!$B$27*(1+Inputs!$B$28)^($A91/12)*IF(Inputs!$B$72=1,$G91,1)*(1-Inputs!$C$72*$H91*(1-Inputs!$E$54*Inputs!$B$72))*(1+$I91)*IF(Inputs!$B$29=0,1,(MAX(BS90,0)/Inputs!$B$6)^Inputs!$B$29)</f>
        <v>19725.482561621509</v>
      </c>
      <c r="BQ91" s="38">
        <f>Inputs!$B$32*BS90/Inputs!$B$6</f>
        <v>0</v>
      </c>
      <c r="BR91" s="38">
        <f>Inputs!$B$33</f>
        <v>2500</v>
      </c>
      <c r="BS91" s="38">
        <f t="shared" si="74"/>
        <v>0</v>
      </c>
      <c r="BT91" s="38">
        <f t="shared" si="75"/>
        <v>0</v>
      </c>
      <c r="BU91" s="38">
        <f>Inputs!$B$19*(1-Inputs!$C$72*$H91)+Inputs!$B$21+Inputs!$B$72*$J91</f>
        <v>577500</v>
      </c>
      <c r="BV91" s="38">
        <f t="shared" si="76"/>
        <v>-577500</v>
      </c>
      <c r="BW91" s="38">
        <f t="shared" si="77"/>
        <v>1</v>
      </c>
      <c r="BX91" s="38">
        <f>MAX(0,MIN(Inputs!$C$36,CC90,BY91+BZ91+CA91+Inputs!$C$6-CB90))</f>
        <v>0</v>
      </c>
      <c r="BY91" s="38">
        <f>Inputs!$C$27*(1+Inputs!$C$28)^($A91/12)*IF(Inputs!$B$72=1,$G91,1)*(1-Inputs!$C$72*$H91*(1-Inputs!$E$54*Inputs!$B$72))*(1+$I91)*IF(Inputs!$C$29=0,1,(MAX(CB90,0)/Inputs!$C$6)^Inputs!$C$29)</f>
        <v>3923.0235851120124</v>
      </c>
      <c r="BZ91" s="38">
        <f>Inputs!$C$32*CB90/Inputs!$C$6</f>
        <v>88.680566882031016</v>
      </c>
      <c r="CA91" s="38">
        <f>Inputs!$C$33</f>
        <v>2000</v>
      </c>
      <c r="CB91" s="38">
        <f t="shared" si="78"/>
        <v>4498.5852562466716</v>
      </c>
      <c r="CC91" s="38">
        <f t="shared" si="79"/>
        <v>0</v>
      </c>
      <c r="CD91" s="38">
        <f>Inputs!$C$19*(1-Inputs!$C$72*$H91)+Inputs!$C$21+Inputs!$B$72*$J91</f>
        <v>480000</v>
      </c>
      <c r="CE91" s="38">
        <f t="shared" si="80"/>
        <v>-475501.41474375332</v>
      </c>
      <c r="CF91" s="38">
        <f t="shared" si="81"/>
        <v>1</v>
      </c>
      <c r="CG91" s="38">
        <f>MAX(0,MIN(Inputs!$D$36,CL90,CH91+CI91+CJ91+Inputs!$D$6-CK90))</f>
        <v>0</v>
      </c>
      <c r="CH91" s="38">
        <f>Inputs!$D$27*(1+Inputs!$D$28)^($A91/12)*IF(Inputs!$B$72=1,$G91,1)*(1-Inputs!$C$72*$H91*(1-Inputs!$E$54*Inputs!$B$72))*(1+$I91)*IF(Inputs!$D$29=0,1,(MAX(CK90,0)/Inputs!$D$6)^Inputs!$D$29)</f>
        <v>5505.0732631781148</v>
      </c>
      <c r="CI91" s="38">
        <f>Inputs!$D$32*CK90/Inputs!$D$6</f>
        <v>3089.6623388511944</v>
      </c>
      <c r="CJ91" s="38">
        <f>Inputs!$D$33</f>
        <v>1500</v>
      </c>
      <c r="CK91" s="38">
        <f t="shared" si="82"/>
        <v>637263.0877763161</v>
      </c>
      <c r="CL91" s="38">
        <f t="shared" si="83"/>
        <v>0</v>
      </c>
      <c r="CM91" s="38">
        <f>Inputs!$D$19*(1-Inputs!$C$72*$H91)+Inputs!$D$21+Inputs!$B$72*$J91</f>
        <v>392150</v>
      </c>
      <c r="CN91" s="38">
        <f t="shared" si="84"/>
        <v>245113.0877763161</v>
      </c>
      <c r="CO91" s="38">
        <f t="shared" si="85"/>
        <v>0</v>
      </c>
      <c r="CP91" s="38">
        <f>MAX(0,MIN(Inputs!$B$36,CU90,CQ91+CR91+CS91+Inputs!$B$6-CT90))</f>
        <v>0</v>
      </c>
      <c r="CQ91" s="38">
        <f>Inputs!$B$27*(1+Inputs!$B$28)^($A91/12)*IF(Inputs!$B$73=1,$G91,1)*(1-Inputs!$C$73*$H91*(1-Inputs!$E$54*Inputs!$B$73))*(1+$I91)*IF(Inputs!$B$29=0,1,(MAX(CT90,0)/Inputs!$B$6)^Inputs!$B$29)</f>
        <v>17538.082356401545</v>
      </c>
      <c r="CR91" s="38">
        <f>Inputs!$B$32*CT90/Inputs!$B$6</f>
        <v>0</v>
      </c>
      <c r="CS91" s="38">
        <f>Inputs!$B$33</f>
        <v>2500</v>
      </c>
      <c r="CT91" s="38">
        <f t="shared" si="86"/>
        <v>0</v>
      </c>
      <c r="CU91" s="38">
        <f t="shared" si="87"/>
        <v>0</v>
      </c>
      <c r="CV91" s="38">
        <f>Inputs!$B$19*(1-Inputs!$C$73*$H91)+Inputs!$B$21+Inputs!$B$73*$J91</f>
        <v>583500</v>
      </c>
      <c r="CW91" s="38">
        <f t="shared" si="88"/>
        <v>-583500</v>
      </c>
      <c r="CX91" s="38">
        <f t="shared" si="89"/>
        <v>1</v>
      </c>
      <c r="CY91" s="38">
        <f>MAX(0,MIN(Inputs!$C$36,DD90,CZ91+DA91+DB91+Inputs!$C$6-DC90))</f>
        <v>0</v>
      </c>
      <c r="CZ91" s="38">
        <f>Inputs!$C$27*(1+Inputs!$C$28)^($A91/12)*IF(Inputs!$B$73=1,$G91,1)*(1-Inputs!$C$73*$H91*(1-Inputs!$E$54*Inputs!$B$73))*(1+$I91)*IF(Inputs!$C$29=0,1,(MAX(DC90,0)/Inputs!$C$6)^Inputs!$C$29)</f>
        <v>5172.0918174490898</v>
      </c>
      <c r="DA91" s="38">
        <f>Inputs!$C$32*DC90/Inputs!$C$6</f>
        <v>428.73783854345226</v>
      </c>
      <c r="DB91" s="38">
        <f>Inputs!$C$33</f>
        <v>2000</v>
      </c>
      <c r="DC91" s="38">
        <f t="shared" si="90"/>
        <v>43212.543801009218</v>
      </c>
      <c r="DD91" s="38">
        <f t="shared" si="91"/>
        <v>0</v>
      </c>
      <c r="DE91" s="38">
        <f>Inputs!$C$19*(1-Inputs!$C$73*$H91)+Inputs!$C$21+Inputs!$B$73*$J91</f>
        <v>486000</v>
      </c>
      <c r="DF91" s="38">
        <f t="shared" si="92"/>
        <v>-442787.45619899081</v>
      </c>
      <c r="DG91" s="38">
        <f t="shared" si="93"/>
        <v>1</v>
      </c>
      <c r="DH91" s="38">
        <f>MAX(0,MIN(Inputs!$D$36,DM90,DI91+DJ91+DK91+Inputs!$D$6-DL90))</f>
        <v>0</v>
      </c>
      <c r="DI91" s="38">
        <f>Inputs!$D$27*(1+Inputs!$D$28)^($A91/12)*IF(Inputs!$B$73=1,$G91,1)*(1-Inputs!$C$73*$H91*(1-Inputs!$E$54*Inputs!$B$73))*(1+$I91)*IF(Inputs!$D$29=0,1,(MAX(DL90,0)/Inputs!$D$6)^Inputs!$D$29)</f>
        <v>5101.285175907723</v>
      </c>
      <c r="DJ91" s="38">
        <f>Inputs!$D$32*DL90/Inputs!$D$6</f>
        <v>3356.1014521164238</v>
      </c>
      <c r="DK91" s="38">
        <f>Inputs!$D$33</f>
        <v>1500</v>
      </c>
      <c r="DL91" s="38">
        <f t="shared" si="94"/>
        <v>693225.77476779802</v>
      </c>
      <c r="DM91" s="38">
        <f t="shared" si="95"/>
        <v>0</v>
      </c>
      <c r="DN91" s="38">
        <f>Inputs!$D$19*(1-Inputs!$C$73*$H91)+Inputs!$D$21+Inputs!$B$73*$J91</f>
        <v>398150</v>
      </c>
      <c r="DO91" s="38">
        <f t="shared" si="96"/>
        <v>295075.77476779802</v>
      </c>
      <c r="DP91" s="38">
        <f t="shared" si="97"/>
        <v>0</v>
      </c>
    </row>
    <row r="92" spans="1:120" x14ac:dyDescent="0.35">
      <c r="A92" s="29">
        <v>87</v>
      </c>
      <c r="B92" s="34">
        <f>EDATE(Inputs!$B$67,$A92)</f>
        <v>48914</v>
      </c>
      <c r="C92" s="35">
        <f>IF(Inputs!$E$47&lt;=0,Inputs!$E$46,Inputs!$E$44+(Inputs!$E$46-Inputs!$E$44)*MIN($A92/Inputs!$E$47,1))</f>
        <v>0.7</v>
      </c>
      <c r="D92" s="35">
        <f>MIN(Inputs!$E$57,Inputs!$E$55*(1+Inputs!$E$56)^($A92/12))*Inputs!$E$58*(1+Inputs!$E$59)^($A92/12)/Inputs!$E$45</f>
        <v>1.5</v>
      </c>
      <c r="E92" s="35">
        <f>MAX(Inputs!$E$44,MIN(C92,D92))</f>
        <v>0.7</v>
      </c>
      <c r="F92" s="35">
        <f>IF(Inputs!$E$50&lt;=0,Inputs!$E$49,Inputs!$E$48+(Inputs!$E$49-Inputs!$E$48)*MIN($A92/Inputs!$E$50,1))</f>
        <v>0.12</v>
      </c>
      <c r="G92" s="36">
        <f>(Inputs!$E$41*(1-E92*Inputs!$E$51)+Inputs!$E$42*(1-F92*Inputs!$E$51))/(Inputs!$E$41*(1-Inputs!$E$44*Inputs!$E$51)+Inputs!$E$42*(1-Inputs!$E$48*Inputs!$E$51))</f>
        <v>0.8423127463863338</v>
      </c>
      <c r="H92" s="35">
        <f>IF(Inputs!$E$53&lt;=0,Inputs!$E$52,Inputs!$E$52*MIN($A92/Inputs!$E$53,1))</f>
        <v>0.1</v>
      </c>
      <c r="I92" s="35">
        <f>IF(Inputs!$E$64&lt;=0,Inputs!$E$63,Inputs!$E$62+(Inputs!$E$63-Inputs!$E$62)*MIN($A92/Inputs!$E$64,1))</f>
        <v>0.03</v>
      </c>
      <c r="J92" s="37">
        <f>(E92-Inputs!$E$44)*Inputs!$E$45/Inputs!$E$60*Inputs!$E$61</f>
        <v>5999.9999999999991</v>
      </c>
      <c r="K92" s="29">
        <f t="shared" si="49"/>
        <v>0</v>
      </c>
      <c r="L92" s="29"/>
      <c r="M92" s="38">
        <f>MAX(0,MIN(Inputs!$B$36,R91,N92+O92+P92+Inputs!$B$6-Q91))</f>
        <v>0</v>
      </c>
      <c r="N92" s="38">
        <f>Inputs!$B$27*(1+Inputs!$B$28)^($A92/12)*IF(Inputs!$B$70=1,$G92,1)*(1-Inputs!$C$70*$H92*(1-Inputs!$E$54*Inputs!$B$70))*(1+$I92)*IF(Inputs!$B$29=0,1,(MAX(Q91,0)/Inputs!$B$6)^Inputs!$B$29)</f>
        <v>22006.496243633053</v>
      </c>
      <c r="O92" s="38">
        <f>Inputs!$B$32*Q91/Inputs!$B$6</f>
        <v>0</v>
      </c>
      <c r="P92" s="38">
        <f>Inputs!$B$33</f>
        <v>2500</v>
      </c>
      <c r="Q92" s="38">
        <f t="shared" si="50"/>
        <v>0</v>
      </c>
      <c r="R92" s="38">
        <f t="shared" si="51"/>
        <v>0</v>
      </c>
      <c r="S92" s="38">
        <f>Inputs!$B$19*(1-Inputs!$C$70*$H92)+Inputs!$B$21+Inputs!$B$70*$J92</f>
        <v>595000</v>
      </c>
      <c r="T92" s="38">
        <f t="shared" si="52"/>
        <v>-595000</v>
      </c>
      <c r="U92" s="38">
        <f t="shared" si="53"/>
        <v>1</v>
      </c>
      <c r="V92" s="38">
        <f>MAX(0,MIN(Inputs!$C$36,AA91,W92+X92+Y92+Inputs!$C$6-Z91))</f>
        <v>0</v>
      </c>
      <c r="W92" s="38">
        <f>Inputs!$C$27*(1+Inputs!$C$28)^($A92/12)*IF(Inputs!$B$70=1,$G92,1)*(1-Inputs!$C$70*$H92*(1-Inputs!$E$54*Inputs!$B$70))*(1+$I92)*IF(Inputs!$C$29=0,1,(MAX(Z91,0)/Inputs!$C$6)^Inputs!$C$29)</f>
        <v>0</v>
      </c>
      <c r="X92" s="38">
        <f>Inputs!$C$32*Z91/Inputs!$C$6</f>
        <v>0</v>
      </c>
      <c r="Y92" s="38">
        <f>Inputs!$C$33</f>
        <v>2000</v>
      </c>
      <c r="Z92" s="38">
        <f t="shared" si="54"/>
        <v>0</v>
      </c>
      <c r="AA92" s="38">
        <f t="shared" si="55"/>
        <v>0</v>
      </c>
      <c r="AB92" s="38">
        <f>Inputs!$C$19*(1-Inputs!$C$70*$H92)+Inputs!$C$21+Inputs!$B$70*$J92</f>
        <v>495000</v>
      </c>
      <c r="AC92" s="38">
        <f t="shared" si="56"/>
        <v>-495000</v>
      </c>
      <c r="AD92" s="38">
        <f t="shared" si="57"/>
        <v>1</v>
      </c>
      <c r="AE92" s="38">
        <f>MAX(0,MIN(Inputs!$D$36,AJ91,AF92+AG92+AH92+Inputs!$D$6-AI91))</f>
        <v>0</v>
      </c>
      <c r="AF92" s="38">
        <f>Inputs!$D$27*(1+Inputs!$D$28)^($A92/12)*IF(Inputs!$B$70=1,$G92,1)*(1-Inputs!$C$70*$H92*(1-Inputs!$E$54*Inputs!$B$70))*(1+$I92)*IF(Inputs!$D$29=0,1,(MAX(AI91,0)/Inputs!$D$6)^Inputs!$D$29)</f>
        <v>5839.9292195222333</v>
      </c>
      <c r="AG92" s="38">
        <f>Inputs!$D$32*AI91/Inputs!$D$6</f>
        <v>2840.5192133953406</v>
      </c>
      <c r="AH92" s="38">
        <f>Inputs!$D$33</f>
        <v>1500</v>
      </c>
      <c r="AI92" s="38">
        <f t="shared" si="58"/>
        <v>584975.95818324899</v>
      </c>
      <c r="AJ92" s="38">
        <f t="shared" si="59"/>
        <v>0</v>
      </c>
      <c r="AK92" s="38">
        <f>Inputs!$D$19*(1-Inputs!$C$70*$H92)+Inputs!$D$21+Inputs!$B$70*$J92</f>
        <v>404800</v>
      </c>
      <c r="AL92" s="38">
        <f t="shared" si="60"/>
        <v>180175.95818324899</v>
      </c>
      <c r="AM92" s="38">
        <f t="shared" si="61"/>
        <v>0</v>
      </c>
      <c r="AN92" s="38">
        <f>MAX(0,MIN(Inputs!$B$36,AS91,AO92+AP92+AQ92+Inputs!$B$6-AR91))</f>
        <v>0</v>
      </c>
      <c r="AO92" s="38">
        <f>Inputs!$B$27*(1+Inputs!$B$28)^($A92/12)*IF(Inputs!$B$71=1,$G92,1)*(1-Inputs!$C$71*$H92*(1-Inputs!$E$54*Inputs!$B$71))*(1+$I92)*IF(Inputs!$B$29=0,1,(MAX(AR91,0)/Inputs!$B$6)^Inputs!$B$29)</f>
        <v>18536.352289315095</v>
      </c>
      <c r="AP92" s="38">
        <f>Inputs!$B$32*AR91/Inputs!$B$6</f>
        <v>0</v>
      </c>
      <c r="AQ92" s="38">
        <f>Inputs!$B$33</f>
        <v>2500</v>
      </c>
      <c r="AR92" s="38">
        <f t="shared" si="62"/>
        <v>0</v>
      </c>
      <c r="AS92" s="38">
        <f t="shared" si="63"/>
        <v>0</v>
      </c>
      <c r="AT92" s="38">
        <f>Inputs!$B$19*(1-Inputs!$C$71*$H92)+Inputs!$B$21+Inputs!$B$71*$J92</f>
        <v>601000</v>
      </c>
      <c r="AU92" s="38">
        <f t="shared" si="64"/>
        <v>-601000</v>
      </c>
      <c r="AV92" s="38">
        <f t="shared" si="65"/>
        <v>1</v>
      </c>
      <c r="AW92" s="38">
        <f>MAX(0,MIN(Inputs!$C$36,BB91,AX92+AY92+AZ92+Inputs!$C$6-BA91))</f>
        <v>0</v>
      </c>
      <c r="AX92" s="38">
        <f>Inputs!$C$27*(1+Inputs!$C$28)^($A92/12)*IF(Inputs!$B$71=1,$G92,1)*(1-Inputs!$C$71*$H92*(1-Inputs!$E$54*Inputs!$B$71))*(1+$I92)*IF(Inputs!$C$29=0,1,(MAX(BA91,0)/Inputs!$C$6)^Inputs!$C$29)</f>
        <v>4707.6938089368641</v>
      </c>
      <c r="AY92" s="38">
        <f>Inputs!$C$32*BA91/Inputs!$C$6</f>
        <v>239.692345011535</v>
      </c>
      <c r="AZ92" s="38">
        <f>Inputs!$C$33</f>
        <v>2000</v>
      </c>
      <c r="BA92" s="38">
        <f t="shared" si="66"/>
        <v>21460.595477048344</v>
      </c>
      <c r="BB92" s="38">
        <f t="shared" si="67"/>
        <v>0</v>
      </c>
      <c r="BC92" s="38">
        <f>Inputs!$C$19*(1-Inputs!$C$71*$H92)+Inputs!$C$21+Inputs!$B$71*$J92</f>
        <v>501000</v>
      </c>
      <c r="BD92" s="38">
        <f t="shared" si="68"/>
        <v>-479539.40452295163</v>
      </c>
      <c r="BE92" s="38">
        <f t="shared" si="69"/>
        <v>1</v>
      </c>
      <c r="BF92" s="38">
        <f>MAX(0,MIN(Inputs!$D$36,BK91,BG92+BH92+BI92+Inputs!$D$6-BJ91))</f>
        <v>0</v>
      </c>
      <c r="BG92" s="38">
        <f>Inputs!$D$27*(1+Inputs!$D$28)^($A92/12)*IF(Inputs!$B$71=1,$G92,1)*(1-Inputs!$C$71*$H92*(1-Inputs!$E$54*Inputs!$B$71))*(1+$I92)*IF(Inputs!$D$29=0,1,(MAX(BJ91,0)/Inputs!$D$6)^Inputs!$D$29)</f>
        <v>5235.9421714884074</v>
      </c>
      <c r="BH92" s="38">
        <f>Inputs!$D$32*BJ91/Inputs!$D$6</f>
        <v>3218.2924133474567</v>
      </c>
      <c r="BI92" s="38">
        <f>Inputs!$D$33</f>
        <v>1500</v>
      </c>
      <c r="BJ92" s="38">
        <f t="shared" si="70"/>
        <v>664354.65202129795</v>
      </c>
      <c r="BK92" s="38">
        <f t="shared" si="71"/>
        <v>0</v>
      </c>
      <c r="BL92" s="38">
        <f>Inputs!$D$19*(1-Inputs!$C$71*$H92)+Inputs!$D$21+Inputs!$B$71*$J92</f>
        <v>410800</v>
      </c>
      <c r="BM92" s="38">
        <f t="shared" si="72"/>
        <v>253554.65202129795</v>
      </c>
      <c r="BN92" s="38">
        <f t="shared" si="73"/>
        <v>0</v>
      </c>
      <c r="BO92" s="38">
        <f>MAX(0,MIN(Inputs!$B$36,BT91,BP92+BQ92+BR92+Inputs!$B$6-BS91))</f>
        <v>0</v>
      </c>
      <c r="BP92" s="38">
        <f>Inputs!$B$27*(1+Inputs!$B$28)^($A92/12)*IF(Inputs!$B$72=1,$G92,1)*(1-Inputs!$C$72*$H92*(1-Inputs!$E$54*Inputs!$B$72))*(1+$I92)*IF(Inputs!$B$29=0,1,(MAX(BS91,0)/Inputs!$B$6)^Inputs!$B$29)</f>
        <v>19805.846619269749</v>
      </c>
      <c r="BQ92" s="38">
        <f>Inputs!$B$32*BS91/Inputs!$B$6</f>
        <v>0</v>
      </c>
      <c r="BR92" s="38">
        <f>Inputs!$B$33</f>
        <v>2500</v>
      </c>
      <c r="BS92" s="38">
        <f t="shared" si="74"/>
        <v>0</v>
      </c>
      <c r="BT92" s="38">
        <f t="shared" si="75"/>
        <v>0</v>
      </c>
      <c r="BU92" s="38">
        <f>Inputs!$B$19*(1-Inputs!$C$72*$H92)+Inputs!$B$21+Inputs!$B$72*$J92</f>
        <v>577500</v>
      </c>
      <c r="BV92" s="38">
        <f t="shared" si="76"/>
        <v>-577500</v>
      </c>
      <c r="BW92" s="38">
        <f t="shared" si="77"/>
        <v>1</v>
      </c>
      <c r="BX92" s="38">
        <f>MAX(0,MIN(Inputs!$C$36,CC91,BY92+BZ92+CA92+Inputs!$C$6-CB91))</f>
        <v>0</v>
      </c>
      <c r="BY92" s="38">
        <f>Inputs!$C$27*(1+Inputs!$C$28)^($A92/12)*IF(Inputs!$B$72=1,$G92,1)*(1-Inputs!$C$72*$H92*(1-Inputs!$E$54*Inputs!$B$72))*(1+$I92)*IF(Inputs!$C$29=0,1,(MAX(CB91,0)/Inputs!$C$6)^Inputs!$C$29)</f>
        <v>3173.1181213604714</v>
      </c>
      <c r="BZ92" s="38">
        <f>Inputs!$C$32*CB91/Inputs!$C$6</f>
        <v>37.956813099581289</v>
      </c>
      <c r="CA92" s="38">
        <f>Inputs!$C$33</f>
        <v>2000</v>
      </c>
      <c r="CB92" s="38">
        <f t="shared" si="78"/>
        <v>0</v>
      </c>
      <c r="CC92" s="38">
        <f t="shared" si="79"/>
        <v>0</v>
      </c>
      <c r="CD92" s="38">
        <f>Inputs!$C$19*(1-Inputs!$C$72*$H92)+Inputs!$C$21+Inputs!$B$72*$J92</f>
        <v>480000</v>
      </c>
      <c r="CE92" s="38">
        <f t="shared" si="80"/>
        <v>-480000</v>
      </c>
      <c r="CF92" s="38">
        <f t="shared" si="81"/>
        <v>1</v>
      </c>
      <c r="CG92" s="38">
        <f>MAX(0,MIN(Inputs!$D$36,CL91,CH92+CI92+CJ92+Inputs!$D$6-CK91))</f>
        <v>0</v>
      </c>
      <c r="CH92" s="38">
        <f>Inputs!$D$27*(1+Inputs!$D$28)^($A92/12)*IF(Inputs!$B$72=1,$G92,1)*(1-Inputs!$C$72*$H92*(1-Inputs!$E$54*Inputs!$B$72))*(1+$I92)*IF(Inputs!$D$29=0,1,(MAX(CK91,0)/Inputs!$D$6)^Inputs!$D$29)</f>
        <v>5438.6851539062573</v>
      </c>
      <c r="CI92" s="38">
        <f>Inputs!$D$32*CK91/Inputs!$D$6</f>
        <v>3041.4829189324178</v>
      </c>
      <c r="CJ92" s="38">
        <f>Inputs!$D$33</f>
        <v>1500</v>
      </c>
      <c r="CK92" s="38">
        <f t="shared" si="82"/>
        <v>627282.91970347741</v>
      </c>
      <c r="CL92" s="38">
        <f t="shared" si="83"/>
        <v>0</v>
      </c>
      <c r="CM92" s="38">
        <f>Inputs!$D$19*(1-Inputs!$C$72*$H92)+Inputs!$D$21+Inputs!$B$72*$J92</f>
        <v>392150</v>
      </c>
      <c r="CN92" s="38">
        <f t="shared" si="84"/>
        <v>235132.91970347741</v>
      </c>
      <c r="CO92" s="38">
        <f t="shared" si="85"/>
        <v>0</v>
      </c>
      <c r="CP92" s="38">
        <f>MAX(0,MIN(Inputs!$B$36,CU91,CQ92+CR92+CS92+Inputs!$B$6-CT91))</f>
        <v>0</v>
      </c>
      <c r="CQ92" s="38">
        <f>Inputs!$B$27*(1+Inputs!$B$28)^($A92/12)*IF(Inputs!$B$73=1,$G92,1)*(1-Inputs!$C$73*$H92*(1-Inputs!$E$54*Inputs!$B$73))*(1+$I92)*IF(Inputs!$B$29=0,1,(MAX(CT91,0)/Inputs!$B$6)^Inputs!$B$29)</f>
        <v>17609.534674849336</v>
      </c>
      <c r="CR92" s="38">
        <f>Inputs!$B$32*CT91/Inputs!$B$6</f>
        <v>0</v>
      </c>
      <c r="CS92" s="38">
        <f>Inputs!$B$33</f>
        <v>2500</v>
      </c>
      <c r="CT92" s="38">
        <f t="shared" si="86"/>
        <v>0</v>
      </c>
      <c r="CU92" s="38">
        <f t="shared" si="87"/>
        <v>0</v>
      </c>
      <c r="CV92" s="38">
        <f>Inputs!$B$19*(1-Inputs!$C$73*$H92)+Inputs!$B$21+Inputs!$B$73*$J92</f>
        <v>583500</v>
      </c>
      <c r="CW92" s="38">
        <f t="shared" si="88"/>
        <v>-583500</v>
      </c>
      <c r="CX92" s="38">
        <f t="shared" si="89"/>
        <v>1</v>
      </c>
      <c r="CY92" s="38">
        <f>MAX(0,MIN(Inputs!$C$36,DD91,CZ92+DA92+DB92+Inputs!$C$6-DC91))</f>
        <v>0</v>
      </c>
      <c r="CZ92" s="38">
        <f>Inputs!$C$27*(1+Inputs!$C$28)^($A92/12)*IF(Inputs!$B$73=1,$G92,1)*(1-Inputs!$C$73*$H92*(1-Inputs!$E$54*Inputs!$B$73))*(1+$I92)*IF(Inputs!$C$29=0,1,(MAX(DC91,0)/Inputs!$C$6)^Inputs!$C$29)</f>
        <v>4966.7714631351409</v>
      </c>
      <c r="DA92" s="38">
        <f>Inputs!$C$32*DC91/Inputs!$C$6</f>
        <v>364.60583832101526</v>
      </c>
      <c r="DB92" s="38">
        <f>Inputs!$C$33</f>
        <v>2000</v>
      </c>
      <c r="DC92" s="38">
        <f t="shared" si="90"/>
        <v>35881.166499553059</v>
      </c>
      <c r="DD92" s="38">
        <f t="shared" si="91"/>
        <v>0</v>
      </c>
      <c r="DE92" s="38">
        <f>Inputs!$C$19*(1-Inputs!$C$73*$H92)+Inputs!$C$21+Inputs!$B$73*$J92</f>
        <v>486000</v>
      </c>
      <c r="DF92" s="38">
        <f t="shared" si="92"/>
        <v>-450118.83350044693</v>
      </c>
      <c r="DG92" s="38">
        <f t="shared" si="93"/>
        <v>1</v>
      </c>
      <c r="DH92" s="38">
        <f>MAX(0,MIN(Inputs!$D$36,DM91,DI92+DJ92+DK92+Inputs!$D$6-DL91))</f>
        <v>0</v>
      </c>
      <c r="DI92" s="38">
        <f>Inputs!$D$27*(1+Inputs!$D$28)^($A92/12)*IF(Inputs!$B$73=1,$G92,1)*(1-Inputs!$C$73*$H92*(1-Inputs!$E$54*Inputs!$B$73))*(1+$I92)*IF(Inputs!$D$29=0,1,(MAX(DL91,0)/Inputs!$D$6)^Inputs!$D$29)</f>
        <v>5043.434162942126</v>
      </c>
      <c r="DJ92" s="38">
        <f>Inputs!$D$32*DL91/Inputs!$D$6</f>
        <v>3308.5775613917631</v>
      </c>
      <c r="DK92" s="38">
        <f>Inputs!$D$33</f>
        <v>1500</v>
      </c>
      <c r="DL92" s="38">
        <f t="shared" si="94"/>
        <v>683373.76304346416</v>
      </c>
      <c r="DM92" s="38">
        <f t="shared" si="95"/>
        <v>0</v>
      </c>
      <c r="DN92" s="38">
        <f>Inputs!$D$19*(1-Inputs!$C$73*$H92)+Inputs!$D$21+Inputs!$B$73*$J92</f>
        <v>398150</v>
      </c>
      <c r="DO92" s="38">
        <f t="shared" si="96"/>
        <v>285223.76304346416</v>
      </c>
      <c r="DP92" s="38">
        <f t="shared" si="97"/>
        <v>0</v>
      </c>
    </row>
    <row r="93" spans="1:120" x14ac:dyDescent="0.35">
      <c r="A93" s="29">
        <v>88</v>
      </c>
      <c r="B93" s="34">
        <f>EDATE(Inputs!$B$67,$A93)</f>
        <v>48945</v>
      </c>
      <c r="C93" s="35">
        <f>IF(Inputs!$E$47&lt;=0,Inputs!$E$46,Inputs!$E$44+(Inputs!$E$46-Inputs!$E$44)*MIN($A93/Inputs!$E$47,1))</f>
        <v>0.7</v>
      </c>
      <c r="D93" s="35">
        <f>MIN(Inputs!$E$57,Inputs!$E$55*(1+Inputs!$E$56)^($A93/12))*Inputs!$E$58*(1+Inputs!$E$59)^($A93/12)/Inputs!$E$45</f>
        <v>1.5</v>
      </c>
      <c r="E93" s="35">
        <f>MAX(Inputs!$E$44,MIN(C93,D93))</f>
        <v>0.7</v>
      </c>
      <c r="F93" s="35">
        <f>IF(Inputs!$E$50&lt;=0,Inputs!$E$49,Inputs!$E$48+(Inputs!$E$49-Inputs!$E$48)*MIN($A93/Inputs!$E$50,1))</f>
        <v>0.12</v>
      </c>
      <c r="G93" s="36">
        <f>(Inputs!$E$41*(1-E93*Inputs!$E$51)+Inputs!$E$42*(1-F93*Inputs!$E$51))/(Inputs!$E$41*(1-Inputs!$E$44*Inputs!$E$51)+Inputs!$E$42*(1-Inputs!$E$48*Inputs!$E$51))</f>
        <v>0.8423127463863338</v>
      </c>
      <c r="H93" s="35">
        <f>IF(Inputs!$E$53&lt;=0,Inputs!$E$52,Inputs!$E$52*MIN($A93/Inputs!$E$53,1))</f>
        <v>0.1</v>
      </c>
      <c r="I93" s="35">
        <f>IF(Inputs!$E$64&lt;=0,Inputs!$E$63,Inputs!$E$62+(Inputs!$E$63-Inputs!$E$62)*MIN($A93/Inputs!$E$64,1))</f>
        <v>0.03</v>
      </c>
      <c r="J93" s="37">
        <f>(E93-Inputs!$E$44)*Inputs!$E$45/Inputs!$E$60*Inputs!$E$61</f>
        <v>5999.9999999999991</v>
      </c>
      <c r="K93" s="29">
        <f t="shared" si="49"/>
        <v>0</v>
      </c>
      <c r="L93" s="29"/>
      <c r="M93" s="38">
        <f>MAX(0,MIN(Inputs!$B$36,R92,N93+O93+P93+Inputs!$B$6-Q92))</f>
        <v>0</v>
      </c>
      <c r="N93" s="38">
        <f>Inputs!$B$27*(1+Inputs!$B$28)^($A93/12)*IF(Inputs!$B$70=1,$G93,1)*(1-Inputs!$C$70*$H93*(1-Inputs!$E$54*Inputs!$B$70))*(1+$I93)*IF(Inputs!$B$29=0,1,(MAX(Q92,0)/Inputs!$B$6)^Inputs!$B$29)</f>
        <v>22096.153433374002</v>
      </c>
      <c r="O93" s="38">
        <f>Inputs!$B$32*Q92/Inputs!$B$6</f>
        <v>0</v>
      </c>
      <c r="P93" s="38">
        <f>Inputs!$B$33</f>
        <v>2500</v>
      </c>
      <c r="Q93" s="38">
        <f t="shared" si="50"/>
        <v>0</v>
      </c>
      <c r="R93" s="38">
        <f t="shared" si="51"/>
        <v>0</v>
      </c>
      <c r="S93" s="38">
        <f>Inputs!$B$19*(1-Inputs!$C$70*$H93)+Inputs!$B$21+Inputs!$B$70*$J93</f>
        <v>595000</v>
      </c>
      <c r="T93" s="38">
        <f t="shared" si="52"/>
        <v>-595000</v>
      </c>
      <c r="U93" s="38">
        <f t="shared" si="53"/>
        <v>1</v>
      </c>
      <c r="V93" s="38">
        <f>MAX(0,MIN(Inputs!$C$36,AA92,W93+X93+Y93+Inputs!$C$6-Z92))</f>
        <v>0</v>
      </c>
      <c r="W93" s="38">
        <f>Inputs!$C$27*(1+Inputs!$C$28)^($A93/12)*IF(Inputs!$B$70=1,$G93,1)*(1-Inputs!$C$70*$H93*(1-Inputs!$E$54*Inputs!$B$70))*(1+$I93)*IF(Inputs!$C$29=0,1,(MAX(Z92,0)/Inputs!$C$6)^Inputs!$C$29)</f>
        <v>0</v>
      </c>
      <c r="X93" s="38">
        <f>Inputs!$C$32*Z92/Inputs!$C$6</f>
        <v>0</v>
      </c>
      <c r="Y93" s="38">
        <f>Inputs!$C$33</f>
        <v>2000</v>
      </c>
      <c r="Z93" s="38">
        <f t="shared" si="54"/>
        <v>0</v>
      </c>
      <c r="AA93" s="38">
        <f t="shared" si="55"/>
        <v>0</v>
      </c>
      <c r="AB93" s="38">
        <f>Inputs!$C$19*(1-Inputs!$C$70*$H93)+Inputs!$C$21+Inputs!$B$70*$J93</f>
        <v>495000</v>
      </c>
      <c r="AC93" s="38">
        <f t="shared" si="56"/>
        <v>-495000</v>
      </c>
      <c r="AD93" s="38">
        <f t="shared" si="57"/>
        <v>1</v>
      </c>
      <c r="AE93" s="38">
        <f>MAX(0,MIN(Inputs!$D$36,AJ92,AF93+AG93+AH93+Inputs!$D$6-AI92))</f>
        <v>0</v>
      </c>
      <c r="AF93" s="38">
        <f>Inputs!$D$27*(1+Inputs!$D$28)^($A93/12)*IF(Inputs!$B$70=1,$G93,1)*(1-Inputs!$C$70*$H93*(1-Inputs!$E$54*Inputs!$B$70))*(1+$I93)*IF(Inputs!$D$29=0,1,(MAX(AI92,0)/Inputs!$D$6)^Inputs!$D$29)</f>
        <v>5765.0711226792373</v>
      </c>
      <c r="AG93" s="38">
        <f>Inputs!$D$32*AI92/Inputs!$D$6</f>
        <v>2791.9307095109607</v>
      </c>
      <c r="AH93" s="38">
        <f>Inputs!$D$33</f>
        <v>1500</v>
      </c>
      <c r="AI93" s="38">
        <f t="shared" si="58"/>
        <v>574918.95635105879</v>
      </c>
      <c r="AJ93" s="38">
        <f t="shared" si="59"/>
        <v>0</v>
      </c>
      <c r="AK93" s="38">
        <f>Inputs!$D$19*(1-Inputs!$C$70*$H93)+Inputs!$D$21+Inputs!$B$70*$J93</f>
        <v>404800</v>
      </c>
      <c r="AL93" s="38">
        <f t="shared" si="60"/>
        <v>170118.95635105879</v>
      </c>
      <c r="AM93" s="38">
        <f t="shared" si="61"/>
        <v>0</v>
      </c>
      <c r="AN93" s="38">
        <f>MAX(0,MIN(Inputs!$B$36,AS92,AO93+AP93+AQ93+Inputs!$B$6-AR92))</f>
        <v>0</v>
      </c>
      <c r="AO93" s="38">
        <f>Inputs!$B$27*(1+Inputs!$B$28)^($A93/12)*IF(Inputs!$B$71=1,$G93,1)*(1-Inputs!$C$71*$H93*(1-Inputs!$E$54*Inputs!$B$71))*(1+$I93)*IF(Inputs!$B$29=0,1,(MAX(AR92,0)/Inputs!$B$6)^Inputs!$B$29)</f>
        <v>18611.871683039073</v>
      </c>
      <c r="AP93" s="38">
        <f>Inputs!$B$32*AR92/Inputs!$B$6</f>
        <v>0</v>
      </c>
      <c r="AQ93" s="38">
        <f>Inputs!$B$33</f>
        <v>2500</v>
      </c>
      <c r="AR93" s="38">
        <f t="shared" si="62"/>
        <v>0</v>
      </c>
      <c r="AS93" s="38">
        <f t="shared" si="63"/>
        <v>0</v>
      </c>
      <c r="AT93" s="38">
        <f>Inputs!$B$19*(1-Inputs!$C$71*$H93)+Inputs!$B$21+Inputs!$B$71*$J93</f>
        <v>601000</v>
      </c>
      <c r="AU93" s="38">
        <f t="shared" si="64"/>
        <v>-601000</v>
      </c>
      <c r="AV93" s="38">
        <f t="shared" si="65"/>
        <v>1</v>
      </c>
      <c r="AW93" s="38">
        <f>MAX(0,MIN(Inputs!$C$36,BB92,AX93+AY93+AZ93+Inputs!$C$6-BA92))</f>
        <v>0</v>
      </c>
      <c r="AX93" s="38">
        <f>Inputs!$C$27*(1+Inputs!$C$28)^($A93/12)*IF(Inputs!$B$71=1,$G93,1)*(1-Inputs!$C$71*$H93*(1-Inputs!$E$54*Inputs!$B$71))*(1+$I93)*IF(Inputs!$C$29=0,1,(MAX(BA92,0)/Inputs!$C$6)^Inputs!$C$29)</f>
        <v>4388.9290051985772</v>
      </c>
      <c r="AY93" s="38">
        <f>Inputs!$C$32*BA92/Inputs!$C$6</f>
        <v>181.07377433759535</v>
      </c>
      <c r="AZ93" s="38">
        <f>Inputs!$C$33</f>
        <v>2000</v>
      </c>
      <c r="BA93" s="38">
        <f t="shared" si="66"/>
        <v>14890.592697512173</v>
      </c>
      <c r="BB93" s="38">
        <f t="shared" si="67"/>
        <v>0</v>
      </c>
      <c r="BC93" s="38">
        <f>Inputs!$C$19*(1-Inputs!$C$71*$H93)+Inputs!$C$21+Inputs!$B$71*$J93</f>
        <v>501000</v>
      </c>
      <c r="BD93" s="38">
        <f t="shared" si="68"/>
        <v>-486109.40730248782</v>
      </c>
      <c r="BE93" s="38">
        <f t="shared" si="69"/>
        <v>1</v>
      </c>
      <c r="BF93" s="38">
        <f>MAX(0,MIN(Inputs!$D$36,BK92,BG93+BH93+BI93+Inputs!$D$6-BJ92))</f>
        <v>0</v>
      </c>
      <c r="BG93" s="38">
        <f>Inputs!$D$27*(1+Inputs!$D$28)^($A93/12)*IF(Inputs!$B$71=1,$G93,1)*(1-Inputs!$C$71*$H93*(1-Inputs!$E$54*Inputs!$B$71))*(1+$I93)*IF(Inputs!$D$29=0,1,(MAX(BJ92,0)/Inputs!$D$6)^Inputs!$D$29)</f>
        <v>5174.9841468635314</v>
      </c>
      <c r="BH93" s="38">
        <f>Inputs!$D$32*BJ92/Inputs!$D$6</f>
        <v>3170.7835664652857</v>
      </c>
      <c r="BI93" s="38">
        <f>Inputs!$D$33</f>
        <v>1500</v>
      </c>
      <c r="BJ93" s="38">
        <f t="shared" si="70"/>
        <v>654508.88430796913</v>
      </c>
      <c r="BK93" s="38">
        <f t="shared" si="71"/>
        <v>0</v>
      </c>
      <c r="BL93" s="38">
        <f>Inputs!$D$19*(1-Inputs!$C$71*$H93)+Inputs!$D$21+Inputs!$B$71*$J93</f>
        <v>410800</v>
      </c>
      <c r="BM93" s="38">
        <f t="shared" si="72"/>
        <v>243708.88430796913</v>
      </c>
      <c r="BN93" s="38">
        <f t="shared" si="73"/>
        <v>0</v>
      </c>
      <c r="BO93" s="38">
        <f>MAX(0,MIN(Inputs!$B$36,BT92,BP93+BQ93+BR93+Inputs!$B$6-BS92))</f>
        <v>0</v>
      </c>
      <c r="BP93" s="38">
        <f>Inputs!$B$27*(1+Inputs!$B$28)^($A93/12)*IF(Inputs!$B$72=1,$G93,1)*(1-Inputs!$C$72*$H93*(1-Inputs!$E$54*Inputs!$B$72))*(1+$I93)*IF(Inputs!$B$29=0,1,(MAX(BS92,0)/Inputs!$B$6)^Inputs!$B$29)</f>
        <v>19886.538090036604</v>
      </c>
      <c r="BQ93" s="38">
        <f>Inputs!$B$32*BS92/Inputs!$B$6</f>
        <v>0</v>
      </c>
      <c r="BR93" s="38">
        <f>Inputs!$B$33</f>
        <v>2500</v>
      </c>
      <c r="BS93" s="38">
        <f t="shared" si="74"/>
        <v>0</v>
      </c>
      <c r="BT93" s="38">
        <f t="shared" si="75"/>
        <v>0</v>
      </c>
      <c r="BU93" s="38">
        <f>Inputs!$B$19*(1-Inputs!$C$72*$H93)+Inputs!$B$21+Inputs!$B$72*$J93</f>
        <v>577500</v>
      </c>
      <c r="BV93" s="38">
        <f t="shared" si="76"/>
        <v>-577500</v>
      </c>
      <c r="BW93" s="38">
        <f t="shared" si="77"/>
        <v>1</v>
      </c>
      <c r="BX93" s="38">
        <f>MAX(0,MIN(Inputs!$C$36,CC92,BY93+BZ93+CA93+Inputs!$C$6-CB92))</f>
        <v>0</v>
      </c>
      <c r="BY93" s="38">
        <f>Inputs!$C$27*(1+Inputs!$C$28)^($A93/12)*IF(Inputs!$B$72=1,$G93,1)*(1-Inputs!$C$72*$H93*(1-Inputs!$E$54*Inputs!$B$72))*(1+$I93)*IF(Inputs!$C$29=0,1,(MAX(CB92,0)/Inputs!$C$6)^Inputs!$C$29)</f>
        <v>0</v>
      </c>
      <c r="BZ93" s="38">
        <f>Inputs!$C$32*CB92/Inputs!$C$6</f>
        <v>0</v>
      </c>
      <c r="CA93" s="38">
        <f>Inputs!$C$33</f>
        <v>2000</v>
      </c>
      <c r="CB93" s="38">
        <f t="shared" si="78"/>
        <v>0</v>
      </c>
      <c r="CC93" s="38">
        <f t="shared" si="79"/>
        <v>0</v>
      </c>
      <c r="CD93" s="38">
        <f>Inputs!$C$19*(1-Inputs!$C$72*$H93)+Inputs!$C$21+Inputs!$B$72*$J93</f>
        <v>480000</v>
      </c>
      <c r="CE93" s="38">
        <f t="shared" si="80"/>
        <v>-480000</v>
      </c>
      <c r="CF93" s="38">
        <f t="shared" si="81"/>
        <v>1</v>
      </c>
      <c r="CG93" s="38">
        <f>MAX(0,MIN(Inputs!$D$36,CL92,CH93+CI93+CJ93+Inputs!$D$6-CK92))</f>
        <v>0</v>
      </c>
      <c r="CH93" s="38">
        <f>Inputs!$D$27*(1+Inputs!$D$28)^($A93/12)*IF(Inputs!$B$72=1,$G93,1)*(1-Inputs!$C$72*$H93*(1-Inputs!$E$54*Inputs!$B$72))*(1+$I93)*IF(Inputs!$D$29=0,1,(MAX(CK92,0)/Inputs!$D$6)^Inputs!$D$29)</f>
        <v>5372.9141498981662</v>
      </c>
      <c r="CI93" s="38">
        <f>Inputs!$D$32*CK92/Inputs!$D$6</f>
        <v>2993.8502985847786</v>
      </c>
      <c r="CJ93" s="38">
        <f>Inputs!$D$33</f>
        <v>1500</v>
      </c>
      <c r="CK93" s="38">
        <f t="shared" si="82"/>
        <v>617416.1552549944</v>
      </c>
      <c r="CL93" s="38">
        <f t="shared" si="83"/>
        <v>0</v>
      </c>
      <c r="CM93" s="38">
        <f>Inputs!$D$19*(1-Inputs!$C$72*$H93)+Inputs!$D$21+Inputs!$B$72*$J93</f>
        <v>392150</v>
      </c>
      <c r="CN93" s="38">
        <f t="shared" si="84"/>
        <v>225266.1552549944</v>
      </c>
      <c r="CO93" s="38">
        <f t="shared" si="85"/>
        <v>0</v>
      </c>
      <c r="CP93" s="38">
        <f>MAX(0,MIN(Inputs!$B$36,CU92,CQ93+CR93+CS93+Inputs!$B$6-CT92))</f>
        <v>0</v>
      </c>
      <c r="CQ93" s="38">
        <f>Inputs!$B$27*(1+Inputs!$B$28)^($A93/12)*IF(Inputs!$B$73=1,$G93,1)*(1-Inputs!$C$73*$H93*(1-Inputs!$E$54*Inputs!$B$73))*(1+$I93)*IF(Inputs!$B$29=0,1,(MAX(CT92,0)/Inputs!$B$6)^Inputs!$B$29)</f>
        <v>17681.27809888712</v>
      </c>
      <c r="CR93" s="38">
        <f>Inputs!$B$32*CT92/Inputs!$B$6</f>
        <v>0</v>
      </c>
      <c r="CS93" s="38">
        <f>Inputs!$B$33</f>
        <v>2500</v>
      </c>
      <c r="CT93" s="38">
        <f t="shared" si="86"/>
        <v>0</v>
      </c>
      <c r="CU93" s="38">
        <f t="shared" si="87"/>
        <v>0</v>
      </c>
      <c r="CV93" s="38">
        <f>Inputs!$B$19*(1-Inputs!$C$73*$H93)+Inputs!$B$21+Inputs!$B$73*$J93</f>
        <v>583500</v>
      </c>
      <c r="CW93" s="38">
        <f t="shared" si="88"/>
        <v>-583500</v>
      </c>
      <c r="CX93" s="38">
        <f t="shared" si="89"/>
        <v>1</v>
      </c>
      <c r="CY93" s="38">
        <f>MAX(0,MIN(Inputs!$C$36,DD92,CZ93+DA93+DB93+Inputs!$C$6-DC92))</f>
        <v>0</v>
      </c>
      <c r="CZ93" s="38">
        <f>Inputs!$C$27*(1+Inputs!$C$28)^($A93/12)*IF(Inputs!$B$73=1,$G93,1)*(1-Inputs!$C$73*$H93*(1-Inputs!$E$54*Inputs!$B$73))*(1+$I93)*IF(Inputs!$C$29=0,1,(MAX(DC92,0)/Inputs!$C$6)^Inputs!$C$29)</f>
        <v>4741.2008914904191</v>
      </c>
      <c r="DA93" s="38">
        <f>Inputs!$C$32*DC92/Inputs!$C$6</f>
        <v>302.7473423399789</v>
      </c>
      <c r="DB93" s="38">
        <f>Inputs!$C$33</f>
        <v>2000</v>
      </c>
      <c r="DC93" s="38">
        <f t="shared" si="90"/>
        <v>28837.218265722662</v>
      </c>
      <c r="DD93" s="38">
        <f t="shared" si="91"/>
        <v>0</v>
      </c>
      <c r="DE93" s="38">
        <f>Inputs!$C$19*(1-Inputs!$C$73*$H93)+Inputs!$C$21+Inputs!$B$73*$J93</f>
        <v>486000</v>
      </c>
      <c r="DF93" s="38">
        <f t="shared" si="92"/>
        <v>-457162.78173427732</v>
      </c>
      <c r="DG93" s="38">
        <f t="shared" si="93"/>
        <v>1</v>
      </c>
      <c r="DH93" s="38">
        <f>MAX(0,MIN(Inputs!$D$36,DM92,DI93+DJ93+DK93+Inputs!$D$6-DL92))</f>
        <v>0</v>
      </c>
      <c r="DI93" s="38">
        <f>Inputs!$D$27*(1+Inputs!$D$28)^($A93/12)*IF(Inputs!$B$73=1,$G93,1)*(1-Inputs!$C$73*$H93*(1-Inputs!$E$54*Inputs!$B$73))*(1+$I93)*IF(Inputs!$D$29=0,1,(MAX(DL92,0)/Inputs!$D$6)^Inputs!$D$29)</f>
        <v>4986.109240131952</v>
      </c>
      <c r="DJ93" s="38">
        <f>Inputs!$D$32*DL92/Inputs!$D$6</f>
        <v>3261.5565963438062</v>
      </c>
      <c r="DK93" s="38">
        <f>Inputs!$D$33</f>
        <v>1500</v>
      </c>
      <c r="DL93" s="38">
        <f t="shared" si="94"/>
        <v>673626.09720698849</v>
      </c>
      <c r="DM93" s="38">
        <f t="shared" si="95"/>
        <v>0</v>
      </c>
      <c r="DN93" s="38">
        <f>Inputs!$D$19*(1-Inputs!$C$73*$H93)+Inputs!$D$21+Inputs!$B$73*$J93</f>
        <v>398150</v>
      </c>
      <c r="DO93" s="38">
        <f t="shared" si="96"/>
        <v>275476.09720698849</v>
      </c>
      <c r="DP93" s="38">
        <f t="shared" si="97"/>
        <v>0</v>
      </c>
    </row>
    <row r="94" spans="1:120" x14ac:dyDescent="0.35">
      <c r="A94" s="29">
        <v>89</v>
      </c>
      <c r="B94" s="34">
        <f>EDATE(Inputs!$B$67,$A94)</f>
        <v>48976</v>
      </c>
      <c r="C94" s="35">
        <f>IF(Inputs!$E$47&lt;=0,Inputs!$E$46,Inputs!$E$44+(Inputs!$E$46-Inputs!$E$44)*MIN($A94/Inputs!$E$47,1))</f>
        <v>0.7</v>
      </c>
      <c r="D94" s="35">
        <f>MIN(Inputs!$E$57,Inputs!$E$55*(1+Inputs!$E$56)^($A94/12))*Inputs!$E$58*(1+Inputs!$E$59)^($A94/12)/Inputs!$E$45</f>
        <v>1.5</v>
      </c>
      <c r="E94" s="35">
        <f>MAX(Inputs!$E$44,MIN(C94,D94))</f>
        <v>0.7</v>
      </c>
      <c r="F94" s="35">
        <f>IF(Inputs!$E$50&lt;=0,Inputs!$E$49,Inputs!$E$48+(Inputs!$E$49-Inputs!$E$48)*MIN($A94/Inputs!$E$50,1))</f>
        <v>0.12</v>
      </c>
      <c r="G94" s="36">
        <f>(Inputs!$E$41*(1-E94*Inputs!$E$51)+Inputs!$E$42*(1-F94*Inputs!$E$51))/(Inputs!$E$41*(1-Inputs!$E$44*Inputs!$E$51)+Inputs!$E$42*(1-Inputs!$E$48*Inputs!$E$51))</f>
        <v>0.8423127463863338</v>
      </c>
      <c r="H94" s="35">
        <f>IF(Inputs!$E$53&lt;=0,Inputs!$E$52,Inputs!$E$52*MIN($A94/Inputs!$E$53,1))</f>
        <v>0.1</v>
      </c>
      <c r="I94" s="35">
        <f>IF(Inputs!$E$64&lt;=0,Inputs!$E$63,Inputs!$E$62+(Inputs!$E$63-Inputs!$E$62)*MIN($A94/Inputs!$E$64,1))</f>
        <v>0.03</v>
      </c>
      <c r="J94" s="37">
        <f>(E94-Inputs!$E$44)*Inputs!$E$45/Inputs!$E$60*Inputs!$E$61</f>
        <v>5999.9999999999991</v>
      </c>
      <c r="K94" s="29">
        <f t="shared" si="49"/>
        <v>0</v>
      </c>
      <c r="L94" s="29"/>
      <c r="M94" s="38">
        <f>MAX(0,MIN(Inputs!$B$36,R93,N94+O94+P94+Inputs!$B$6-Q93))</f>
        <v>0</v>
      </c>
      <c r="N94" s="38">
        <f>Inputs!$B$27*(1+Inputs!$B$28)^($A94/12)*IF(Inputs!$B$70=1,$G94,1)*(1-Inputs!$C$70*$H94*(1-Inputs!$E$54*Inputs!$B$70))*(1+$I94)*IF(Inputs!$B$29=0,1,(MAX(Q93,0)/Inputs!$B$6)^Inputs!$B$29)</f>
        <v>22186.175897604055</v>
      </c>
      <c r="O94" s="38">
        <f>Inputs!$B$32*Q93/Inputs!$B$6</f>
        <v>0</v>
      </c>
      <c r="P94" s="38">
        <f>Inputs!$B$33</f>
        <v>2500</v>
      </c>
      <c r="Q94" s="38">
        <f t="shared" si="50"/>
        <v>0</v>
      </c>
      <c r="R94" s="38">
        <f t="shared" si="51"/>
        <v>0</v>
      </c>
      <c r="S94" s="38">
        <f>Inputs!$B$19*(1-Inputs!$C$70*$H94)+Inputs!$B$21+Inputs!$B$70*$J94</f>
        <v>595000</v>
      </c>
      <c r="T94" s="38">
        <f t="shared" si="52"/>
        <v>-595000</v>
      </c>
      <c r="U94" s="38">
        <f t="shared" si="53"/>
        <v>1</v>
      </c>
      <c r="V94" s="38">
        <f>MAX(0,MIN(Inputs!$C$36,AA93,W94+X94+Y94+Inputs!$C$6-Z93))</f>
        <v>0</v>
      </c>
      <c r="W94" s="38">
        <f>Inputs!$C$27*(1+Inputs!$C$28)^($A94/12)*IF(Inputs!$B$70=1,$G94,1)*(1-Inputs!$C$70*$H94*(1-Inputs!$E$54*Inputs!$B$70))*(1+$I94)*IF(Inputs!$C$29=0,1,(MAX(Z93,0)/Inputs!$C$6)^Inputs!$C$29)</f>
        <v>0</v>
      </c>
      <c r="X94" s="38">
        <f>Inputs!$C$32*Z93/Inputs!$C$6</f>
        <v>0</v>
      </c>
      <c r="Y94" s="38">
        <f>Inputs!$C$33</f>
        <v>2000</v>
      </c>
      <c r="Z94" s="38">
        <f t="shared" si="54"/>
        <v>0</v>
      </c>
      <c r="AA94" s="38">
        <f t="shared" si="55"/>
        <v>0</v>
      </c>
      <c r="AB94" s="38">
        <f>Inputs!$C$19*(1-Inputs!$C$70*$H94)+Inputs!$C$21+Inputs!$B$70*$J94</f>
        <v>495000</v>
      </c>
      <c r="AC94" s="38">
        <f t="shared" si="56"/>
        <v>-495000</v>
      </c>
      <c r="AD94" s="38">
        <f t="shared" si="57"/>
        <v>1</v>
      </c>
      <c r="AE94" s="38">
        <f>MAX(0,MIN(Inputs!$D$36,AJ93,AF94+AG94+AH94+Inputs!$D$6-AI93))</f>
        <v>0</v>
      </c>
      <c r="AF94" s="38">
        <f>Inputs!$D$27*(1+Inputs!$D$28)^($A94/12)*IF(Inputs!$B$70=1,$G94,1)*(1-Inputs!$C$70*$H94*(1-Inputs!$E$54*Inputs!$B$70))*(1+$I94)*IF(Inputs!$D$29=0,1,(MAX(AI93,0)/Inputs!$D$6)^Inputs!$D$29)</f>
        <v>5690.9216802252386</v>
      </c>
      <c r="AG94" s="38">
        <f>Inputs!$D$32*AI93/Inputs!$D$6</f>
        <v>2743.9313825845989</v>
      </c>
      <c r="AH94" s="38">
        <f>Inputs!$D$33</f>
        <v>1500</v>
      </c>
      <c r="AI94" s="38">
        <f t="shared" si="58"/>
        <v>564984.10328824888</v>
      </c>
      <c r="AJ94" s="38">
        <f t="shared" si="59"/>
        <v>0</v>
      </c>
      <c r="AK94" s="38">
        <f>Inputs!$D$19*(1-Inputs!$C$70*$H94)+Inputs!$D$21+Inputs!$B$70*$J94</f>
        <v>404800</v>
      </c>
      <c r="AL94" s="38">
        <f t="shared" si="60"/>
        <v>160184.10328824888</v>
      </c>
      <c r="AM94" s="38">
        <f t="shared" si="61"/>
        <v>0</v>
      </c>
      <c r="AN94" s="38">
        <f>MAX(0,MIN(Inputs!$B$36,AS93,AO94+AP94+AQ94+Inputs!$B$6-AR93))</f>
        <v>0</v>
      </c>
      <c r="AO94" s="38">
        <f>Inputs!$B$27*(1+Inputs!$B$28)^($A94/12)*IF(Inputs!$B$71=1,$G94,1)*(1-Inputs!$C$71*$H94*(1-Inputs!$E$54*Inputs!$B$71))*(1+$I94)*IF(Inputs!$B$29=0,1,(MAX(AR93,0)/Inputs!$B$6)^Inputs!$B$29)</f>
        <v>18687.698752121156</v>
      </c>
      <c r="AP94" s="38">
        <f>Inputs!$B$32*AR93/Inputs!$B$6</f>
        <v>0</v>
      </c>
      <c r="AQ94" s="38">
        <f>Inputs!$B$33</f>
        <v>2500</v>
      </c>
      <c r="AR94" s="38">
        <f t="shared" si="62"/>
        <v>0</v>
      </c>
      <c r="AS94" s="38">
        <f t="shared" si="63"/>
        <v>0</v>
      </c>
      <c r="AT94" s="38">
        <f>Inputs!$B$19*(1-Inputs!$C$71*$H94)+Inputs!$B$21+Inputs!$B$71*$J94</f>
        <v>601000</v>
      </c>
      <c r="AU94" s="38">
        <f t="shared" si="64"/>
        <v>-601000</v>
      </c>
      <c r="AV94" s="38">
        <f t="shared" si="65"/>
        <v>1</v>
      </c>
      <c r="AW94" s="38">
        <f>MAX(0,MIN(Inputs!$C$36,BB93,AX94+AY94+AZ94+Inputs!$C$6-BA93))</f>
        <v>0</v>
      </c>
      <c r="AX94" s="38">
        <f>Inputs!$C$27*(1+Inputs!$C$28)^($A94/12)*IF(Inputs!$B$71=1,$G94,1)*(1-Inputs!$C$71*$H94*(1-Inputs!$E$54*Inputs!$B$71))*(1+$I94)*IF(Inputs!$C$29=0,1,(MAX(BA93,0)/Inputs!$C$6)^Inputs!$C$29)</f>
        <v>4005.6786883894101</v>
      </c>
      <c r="AY94" s="38">
        <f>Inputs!$C$32*BA93/Inputs!$C$6</f>
        <v>125.63937588525896</v>
      </c>
      <c r="AZ94" s="38">
        <f>Inputs!$C$33</f>
        <v>2000</v>
      </c>
      <c r="BA94" s="38">
        <f t="shared" si="66"/>
        <v>8759.2746332375045</v>
      </c>
      <c r="BB94" s="38">
        <f t="shared" si="67"/>
        <v>0</v>
      </c>
      <c r="BC94" s="38">
        <f>Inputs!$C$19*(1-Inputs!$C$71*$H94)+Inputs!$C$21+Inputs!$B$71*$J94</f>
        <v>501000</v>
      </c>
      <c r="BD94" s="38">
        <f t="shared" si="68"/>
        <v>-492240.72536676249</v>
      </c>
      <c r="BE94" s="38">
        <f t="shared" si="69"/>
        <v>1</v>
      </c>
      <c r="BF94" s="38">
        <f>MAX(0,MIN(Inputs!$D$36,BK93,BG94+BH94+BI94+Inputs!$D$6-BJ93))</f>
        <v>0</v>
      </c>
      <c r="BG94" s="38">
        <f>Inputs!$D$27*(1+Inputs!$D$28)^($A94/12)*IF(Inputs!$B$71=1,$G94,1)*(1-Inputs!$C$71*$H94*(1-Inputs!$E$54*Inputs!$B$71))*(1+$I94)*IF(Inputs!$D$29=0,1,(MAX(BJ93,0)/Inputs!$D$6)^Inputs!$D$29)</f>
        <v>5114.5854673858967</v>
      </c>
      <c r="BH94" s="38">
        <f>Inputs!$D$32*BJ93/Inputs!$D$6</f>
        <v>3123.7924023789437</v>
      </c>
      <c r="BI94" s="38">
        <f>Inputs!$D$33</f>
        <v>1500</v>
      </c>
      <c r="BJ94" s="38">
        <f t="shared" si="70"/>
        <v>644770.5064382042</v>
      </c>
      <c r="BK94" s="38">
        <f t="shared" si="71"/>
        <v>0</v>
      </c>
      <c r="BL94" s="38">
        <f>Inputs!$D$19*(1-Inputs!$C$71*$H94)+Inputs!$D$21+Inputs!$B$71*$J94</f>
        <v>410800</v>
      </c>
      <c r="BM94" s="38">
        <f t="shared" si="72"/>
        <v>233970.5064382042</v>
      </c>
      <c r="BN94" s="38">
        <f t="shared" si="73"/>
        <v>0</v>
      </c>
      <c r="BO94" s="38">
        <f>MAX(0,MIN(Inputs!$B$36,BT93,BP94+BQ94+BR94+Inputs!$B$6-BS93))</f>
        <v>0</v>
      </c>
      <c r="BP94" s="38">
        <f>Inputs!$B$27*(1+Inputs!$B$28)^($A94/12)*IF(Inputs!$B$72=1,$G94,1)*(1-Inputs!$C$72*$H94*(1-Inputs!$E$54*Inputs!$B$72))*(1+$I94)*IF(Inputs!$B$29=0,1,(MAX(BS93,0)/Inputs!$B$6)^Inputs!$B$29)</f>
        <v>19967.55830784365</v>
      </c>
      <c r="BQ94" s="38">
        <f>Inputs!$B$32*BS93/Inputs!$B$6</f>
        <v>0</v>
      </c>
      <c r="BR94" s="38">
        <f>Inputs!$B$33</f>
        <v>2500</v>
      </c>
      <c r="BS94" s="38">
        <f t="shared" si="74"/>
        <v>0</v>
      </c>
      <c r="BT94" s="38">
        <f t="shared" si="75"/>
        <v>0</v>
      </c>
      <c r="BU94" s="38">
        <f>Inputs!$B$19*(1-Inputs!$C$72*$H94)+Inputs!$B$21+Inputs!$B$72*$J94</f>
        <v>577500</v>
      </c>
      <c r="BV94" s="38">
        <f t="shared" si="76"/>
        <v>-577500</v>
      </c>
      <c r="BW94" s="38">
        <f t="shared" si="77"/>
        <v>1</v>
      </c>
      <c r="BX94" s="38">
        <f>MAX(0,MIN(Inputs!$C$36,CC93,BY94+BZ94+CA94+Inputs!$C$6-CB93))</f>
        <v>0</v>
      </c>
      <c r="BY94" s="38">
        <f>Inputs!$C$27*(1+Inputs!$C$28)^($A94/12)*IF(Inputs!$B$72=1,$G94,1)*(1-Inputs!$C$72*$H94*(1-Inputs!$E$54*Inputs!$B$72))*(1+$I94)*IF(Inputs!$C$29=0,1,(MAX(CB93,0)/Inputs!$C$6)^Inputs!$C$29)</f>
        <v>0</v>
      </c>
      <c r="BZ94" s="38">
        <f>Inputs!$C$32*CB93/Inputs!$C$6</f>
        <v>0</v>
      </c>
      <c r="CA94" s="38">
        <f>Inputs!$C$33</f>
        <v>2000</v>
      </c>
      <c r="CB94" s="38">
        <f t="shared" si="78"/>
        <v>0</v>
      </c>
      <c r="CC94" s="38">
        <f t="shared" si="79"/>
        <v>0</v>
      </c>
      <c r="CD94" s="38">
        <f>Inputs!$C$19*(1-Inputs!$C$72*$H94)+Inputs!$C$21+Inputs!$B$72*$J94</f>
        <v>480000</v>
      </c>
      <c r="CE94" s="38">
        <f t="shared" si="80"/>
        <v>-480000</v>
      </c>
      <c r="CF94" s="38">
        <f t="shared" si="81"/>
        <v>1</v>
      </c>
      <c r="CG94" s="38">
        <f>MAX(0,MIN(Inputs!$D$36,CL93,CH94+CI94+CJ94+Inputs!$D$6-CK93))</f>
        <v>0</v>
      </c>
      <c r="CH94" s="38">
        <f>Inputs!$D$27*(1+Inputs!$D$28)^($A94/12)*IF(Inputs!$B$72=1,$G94,1)*(1-Inputs!$C$72*$H94*(1-Inputs!$E$54*Inputs!$B$72))*(1+$I94)*IF(Inputs!$D$29=0,1,(MAX(CK93,0)/Inputs!$D$6)^Inputs!$D$29)</f>
        <v>5307.754148814226</v>
      </c>
      <c r="CI94" s="38">
        <f>Inputs!$D$32*CK93/Inputs!$D$6</f>
        <v>2946.7589228079278</v>
      </c>
      <c r="CJ94" s="38">
        <f>Inputs!$D$33</f>
        <v>1500</v>
      </c>
      <c r="CK94" s="38">
        <f t="shared" si="82"/>
        <v>607661.64218337229</v>
      </c>
      <c r="CL94" s="38">
        <f t="shared" si="83"/>
        <v>0</v>
      </c>
      <c r="CM94" s="38">
        <f>Inputs!$D$19*(1-Inputs!$C$72*$H94)+Inputs!$D$21+Inputs!$B$72*$J94</f>
        <v>392150</v>
      </c>
      <c r="CN94" s="38">
        <f t="shared" si="84"/>
        <v>215511.64218337229</v>
      </c>
      <c r="CO94" s="38">
        <f t="shared" si="85"/>
        <v>0</v>
      </c>
      <c r="CP94" s="38">
        <f>MAX(0,MIN(Inputs!$B$36,CU93,CQ94+CR94+CS94+Inputs!$B$6-CT93))</f>
        <v>0</v>
      </c>
      <c r="CQ94" s="38">
        <f>Inputs!$B$27*(1+Inputs!$B$28)^($A94/12)*IF(Inputs!$B$73=1,$G94,1)*(1-Inputs!$C$73*$H94*(1-Inputs!$E$54*Inputs!$B$73))*(1+$I94)*IF(Inputs!$B$29=0,1,(MAX(CT93,0)/Inputs!$B$6)^Inputs!$B$29)</f>
        <v>17753.313814515102</v>
      </c>
      <c r="CR94" s="38">
        <f>Inputs!$B$32*CT93/Inputs!$B$6</f>
        <v>0</v>
      </c>
      <c r="CS94" s="38">
        <f>Inputs!$B$33</f>
        <v>2500</v>
      </c>
      <c r="CT94" s="38">
        <f t="shared" si="86"/>
        <v>0</v>
      </c>
      <c r="CU94" s="38">
        <f t="shared" si="87"/>
        <v>0</v>
      </c>
      <c r="CV94" s="38">
        <f>Inputs!$B$19*(1-Inputs!$C$73*$H94)+Inputs!$B$21+Inputs!$B$73*$J94</f>
        <v>583500</v>
      </c>
      <c r="CW94" s="38">
        <f t="shared" si="88"/>
        <v>-583500</v>
      </c>
      <c r="CX94" s="38">
        <f t="shared" si="89"/>
        <v>1</v>
      </c>
      <c r="CY94" s="38">
        <f>MAX(0,MIN(Inputs!$C$36,DD93,CZ94+DA94+DB94+Inputs!$C$6-DC93))</f>
        <v>0</v>
      </c>
      <c r="CZ94" s="38">
        <f>Inputs!$C$27*(1+Inputs!$C$28)^($A94/12)*IF(Inputs!$B$73=1,$G94,1)*(1-Inputs!$C$73*$H94*(1-Inputs!$E$54*Inputs!$B$73))*(1+$I94)*IF(Inputs!$C$29=0,1,(MAX(DC93,0)/Inputs!$C$6)^Inputs!$C$29)</f>
        <v>4489.1080647180224</v>
      </c>
      <c r="DA94" s="38">
        <f>Inputs!$C$32*DC93/Inputs!$C$6</f>
        <v>243.31402911703495</v>
      </c>
      <c r="DB94" s="38">
        <f>Inputs!$C$33</f>
        <v>2000</v>
      </c>
      <c r="DC94" s="38">
        <f t="shared" si="90"/>
        <v>22104.796171887603</v>
      </c>
      <c r="DD94" s="38">
        <f t="shared" si="91"/>
        <v>0</v>
      </c>
      <c r="DE94" s="38">
        <f>Inputs!$C$19*(1-Inputs!$C$73*$H94)+Inputs!$C$21+Inputs!$B$73*$J94</f>
        <v>486000</v>
      </c>
      <c r="DF94" s="38">
        <f t="shared" si="92"/>
        <v>-463895.2038281124</v>
      </c>
      <c r="DG94" s="38">
        <f t="shared" si="93"/>
        <v>1</v>
      </c>
      <c r="DH94" s="38">
        <f>MAX(0,MIN(Inputs!$D$36,DM93,DI94+DJ94+DK94+Inputs!$D$6-DL93))</f>
        <v>0</v>
      </c>
      <c r="DI94" s="38">
        <f>Inputs!$D$27*(1+Inputs!$D$28)^($A94/12)*IF(Inputs!$B$73=1,$G94,1)*(1-Inputs!$C$73*$H94*(1-Inputs!$E$54*Inputs!$B$73))*(1+$I94)*IF(Inputs!$D$29=0,1,(MAX(DL93,0)/Inputs!$D$6)^Inputs!$D$29)</f>
        <v>4929.305382061757</v>
      </c>
      <c r="DJ94" s="38">
        <f>Inputs!$D$32*DL93/Inputs!$D$6</f>
        <v>3215.0336457606268</v>
      </c>
      <c r="DK94" s="38">
        <f>Inputs!$D$33</f>
        <v>1500</v>
      </c>
      <c r="DL94" s="38">
        <f t="shared" si="94"/>
        <v>663981.75817916612</v>
      </c>
      <c r="DM94" s="38">
        <f t="shared" si="95"/>
        <v>0</v>
      </c>
      <c r="DN94" s="38">
        <f>Inputs!$D$19*(1-Inputs!$C$73*$H94)+Inputs!$D$21+Inputs!$B$73*$J94</f>
        <v>398150</v>
      </c>
      <c r="DO94" s="38">
        <f t="shared" si="96"/>
        <v>265831.75817916612</v>
      </c>
      <c r="DP94" s="38">
        <f t="shared" si="97"/>
        <v>0</v>
      </c>
    </row>
    <row r="95" spans="1:120" x14ac:dyDescent="0.35">
      <c r="A95" s="29">
        <v>90</v>
      </c>
      <c r="B95" s="34">
        <f>EDATE(Inputs!$B$67,$A95)</f>
        <v>49004</v>
      </c>
      <c r="C95" s="35">
        <f>IF(Inputs!$E$47&lt;=0,Inputs!$E$46,Inputs!$E$44+(Inputs!$E$46-Inputs!$E$44)*MIN($A95/Inputs!$E$47,1))</f>
        <v>0.7</v>
      </c>
      <c r="D95" s="35">
        <f>MIN(Inputs!$E$57,Inputs!$E$55*(1+Inputs!$E$56)^($A95/12))*Inputs!$E$58*(1+Inputs!$E$59)^($A95/12)/Inputs!$E$45</f>
        <v>1.5</v>
      </c>
      <c r="E95" s="35">
        <f>MAX(Inputs!$E$44,MIN(C95,D95))</f>
        <v>0.7</v>
      </c>
      <c r="F95" s="35">
        <f>IF(Inputs!$E$50&lt;=0,Inputs!$E$49,Inputs!$E$48+(Inputs!$E$49-Inputs!$E$48)*MIN($A95/Inputs!$E$50,1))</f>
        <v>0.12</v>
      </c>
      <c r="G95" s="36">
        <f>(Inputs!$E$41*(1-E95*Inputs!$E$51)+Inputs!$E$42*(1-F95*Inputs!$E$51))/(Inputs!$E$41*(1-Inputs!$E$44*Inputs!$E$51)+Inputs!$E$42*(1-Inputs!$E$48*Inputs!$E$51))</f>
        <v>0.8423127463863338</v>
      </c>
      <c r="H95" s="35">
        <f>IF(Inputs!$E$53&lt;=0,Inputs!$E$52,Inputs!$E$52*MIN($A95/Inputs!$E$53,1))</f>
        <v>0.1</v>
      </c>
      <c r="I95" s="35">
        <f>IF(Inputs!$E$64&lt;=0,Inputs!$E$63,Inputs!$E$62+(Inputs!$E$63-Inputs!$E$62)*MIN($A95/Inputs!$E$64,1))</f>
        <v>0.03</v>
      </c>
      <c r="J95" s="37">
        <f>(E95-Inputs!$E$44)*Inputs!$E$45/Inputs!$E$60*Inputs!$E$61</f>
        <v>5999.9999999999991</v>
      </c>
      <c r="K95" s="29">
        <f t="shared" si="49"/>
        <v>0</v>
      </c>
      <c r="L95" s="29"/>
      <c r="M95" s="38">
        <f>MAX(0,MIN(Inputs!$B$36,R94,N95+O95+P95+Inputs!$B$6-Q94))</f>
        <v>0</v>
      </c>
      <c r="N95" s="38">
        <f>Inputs!$B$27*(1+Inputs!$B$28)^($A95/12)*IF(Inputs!$B$70=1,$G95,1)*(1-Inputs!$C$70*$H95*(1-Inputs!$E$54*Inputs!$B$70))*(1+$I95)*IF(Inputs!$B$29=0,1,(MAX(Q94,0)/Inputs!$B$6)^Inputs!$B$29)</f>
        <v>22276.565124496694</v>
      </c>
      <c r="O95" s="38">
        <f>Inputs!$B$32*Q94/Inputs!$B$6</f>
        <v>0</v>
      </c>
      <c r="P95" s="38">
        <f>Inputs!$B$33</f>
        <v>2500</v>
      </c>
      <c r="Q95" s="38">
        <f t="shared" si="50"/>
        <v>0</v>
      </c>
      <c r="R95" s="38">
        <f t="shared" si="51"/>
        <v>0</v>
      </c>
      <c r="S95" s="38">
        <f>Inputs!$B$19*(1-Inputs!$C$70*$H95)+Inputs!$B$21+Inputs!$B$70*$J95</f>
        <v>595000</v>
      </c>
      <c r="T95" s="38">
        <f t="shared" si="52"/>
        <v>-595000</v>
      </c>
      <c r="U95" s="38">
        <f t="shared" si="53"/>
        <v>1</v>
      </c>
      <c r="V95" s="38">
        <f>MAX(0,MIN(Inputs!$C$36,AA94,W95+X95+Y95+Inputs!$C$6-Z94))</f>
        <v>0</v>
      </c>
      <c r="W95" s="38">
        <f>Inputs!$C$27*(1+Inputs!$C$28)^($A95/12)*IF(Inputs!$B$70=1,$G95,1)*(1-Inputs!$C$70*$H95*(1-Inputs!$E$54*Inputs!$B$70))*(1+$I95)*IF(Inputs!$C$29=0,1,(MAX(Z94,0)/Inputs!$C$6)^Inputs!$C$29)</f>
        <v>0</v>
      </c>
      <c r="X95" s="38">
        <f>Inputs!$C$32*Z94/Inputs!$C$6</f>
        <v>0</v>
      </c>
      <c r="Y95" s="38">
        <f>Inputs!$C$33</f>
        <v>2000</v>
      </c>
      <c r="Z95" s="38">
        <f t="shared" si="54"/>
        <v>0</v>
      </c>
      <c r="AA95" s="38">
        <f t="shared" si="55"/>
        <v>0</v>
      </c>
      <c r="AB95" s="38">
        <f>Inputs!$C$19*(1-Inputs!$C$70*$H95)+Inputs!$C$21+Inputs!$B$70*$J95</f>
        <v>495000</v>
      </c>
      <c r="AC95" s="38">
        <f t="shared" si="56"/>
        <v>-495000</v>
      </c>
      <c r="AD95" s="38">
        <f t="shared" si="57"/>
        <v>1</v>
      </c>
      <c r="AE95" s="38">
        <f>MAX(0,MIN(Inputs!$D$36,AJ94,AF95+AG95+AH95+Inputs!$D$6-AI94))</f>
        <v>0</v>
      </c>
      <c r="AF95" s="38">
        <f>Inputs!$D$27*(1+Inputs!$D$28)^($A95/12)*IF(Inputs!$B$70=1,$G95,1)*(1-Inputs!$C$70*$H95*(1-Inputs!$E$54*Inputs!$B$70))*(1+$I95)*IF(Inputs!$D$29=0,1,(MAX(AI94,0)/Inputs!$D$6)^Inputs!$D$29)</f>
        <v>5617.4736315410055</v>
      </c>
      <c r="AG95" s="38">
        <f>Inputs!$D$32*AI94/Inputs!$D$6</f>
        <v>2696.5150384211875</v>
      </c>
      <c r="AH95" s="38">
        <f>Inputs!$D$33</f>
        <v>1500</v>
      </c>
      <c r="AI95" s="38">
        <f t="shared" si="58"/>
        <v>555170.11461828672</v>
      </c>
      <c r="AJ95" s="38">
        <f t="shared" si="59"/>
        <v>0</v>
      </c>
      <c r="AK95" s="38">
        <f>Inputs!$D$19*(1-Inputs!$C$70*$H95)+Inputs!$D$21+Inputs!$B$70*$J95</f>
        <v>404800</v>
      </c>
      <c r="AL95" s="38">
        <f t="shared" si="60"/>
        <v>150370.11461828672</v>
      </c>
      <c r="AM95" s="38">
        <f t="shared" si="61"/>
        <v>0</v>
      </c>
      <c r="AN95" s="38">
        <f>MAX(0,MIN(Inputs!$B$36,AS94,AO95+AP95+AQ95+Inputs!$B$6-AR94))</f>
        <v>0</v>
      </c>
      <c r="AO95" s="38">
        <f>Inputs!$B$27*(1+Inputs!$B$28)^($A95/12)*IF(Inputs!$B$71=1,$G95,1)*(1-Inputs!$C$71*$H95*(1-Inputs!$E$54*Inputs!$B$71))*(1+$I95)*IF(Inputs!$B$29=0,1,(MAX(AR94,0)/Inputs!$B$6)^Inputs!$B$29)</f>
        <v>18763.834750068832</v>
      </c>
      <c r="AP95" s="38">
        <f>Inputs!$B$32*AR94/Inputs!$B$6</f>
        <v>0</v>
      </c>
      <c r="AQ95" s="38">
        <f>Inputs!$B$33</f>
        <v>2500</v>
      </c>
      <c r="AR95" s="38">
        <f t="shared" si="62"/>
        <v>0</v>
      </c>
      <c r="AS95" s="38">
        <f t="shared" si="63"/>
        <v>0</v>
      </c>
      <c r="AT95" s="38">
        <f>Inputs!$B$19*(1-Inputs!$C$71*$H95)+Inputs!$B$21+Inputs!$B$71*$J95</f>
        <v>601000</v>
      </c>
      <c r="AU95" s="38">
        <f t="shared" si="64"/>
        <v>-601000</v>
      </c>
      <c r="AV95" s="38">
        <f t="shared" si="65"/>
        <v>1</v>
      </c>
      <c r="AW95" s="38">
        <f>MAX(0,MIN(Inputs!$C$36,BB94,AX95+AY95+AZ95+Inputs!$C$6-BA94))</f>
        <v>0</v>
      </c>
      <c r="AX95" s="38">
        <f>Inputs!$C$27*(1+Inputs!$C$28)^($A95/12)*IF(Inputs!$B$71=1,$G95,1)*(1-Inputs!$C$71*$H95*(1-Inputs!$E$54*Inputs!$B$71))*(1+$I95)*IF(Inputs!$C$29=0,1,(MAX(BA94,0)/Inputs!$C$6)^Inputs!$C$29)</f>
        <v>3508.0449498901771</v>
      </c>
      <c r="AY95" s="38">
        <f>Inputs!$C$32*BA94/Inputs!$C$6</f>
        <v>73.906379717941434</v>
      </c>
      <c r="AZ95" s="38">
        <f>Inputs!$C$33</f>
        <v>2000</v>
      </c>
      <c r="BA95" s="38">
        <f t="shared" si="66"/>
        <v>3177.3233036293859</v>
      </c>
      <c r="BB95" s="38">
        <f t="shared" si="67"/>
        <v>0</v>
      </c>
      <c r="BC95" s="38">
        <f>Inputs!$C$19*(1-Inputs!$C$71*$H95)+Inputs!$C$21+Inputs!$B$71*$J95</f>
        <v>501000</v>
      </c>
      <c r="BD95" s="38">
        <f t="shared" si="68"/>
        <v>-497822.67669637059</v>
      </c>
      <c r="BE95" s="38">
        <f t="shared" si="69"/>
        <v>1</v>
      </c>
      <c r="BF95" s="38">
        <f>MAX(0,MIN(Inputs!$D$36,BK94,BG95+BH95+BI95+Inputs!$D$6-BJ94))</f>
        <v>0</v>
      </c>
      <c r="BG95" s="38">
        <f>Inputs!$D$27*(1+Inputs!$D$28)^($A95/12)*IF(Inputs!$B$71=1,$G95,1)*(1-Inputs!$C$71*$H95*(1-Inputs!$E$54*Inputs!$B$71))*(1+$I95)*IF(Inputs!$D$29=0,1,(MAX(BJ94,0)/Inputs!$D$6)^Inputs!$D$29)</f>
        <v>5054.740710095396</v>
      </c>
      <c r="BH95" s="38">
        <f>Inputs!$D$32*BJ94/Inputs!$D$6</f>
        <v>3077.3137807277931</v>
      </c>
      <c r="BI95" s="38">
        <f>Inputs!$D$33</f>
        <v>1500</v>
      </c>
      <c r="BJ95" s="38">
        <f t="shared" si="70"/>
        <v>635138.45194738102</v>
      </c>
      <c r="BK95" s="38">
        <f t="shared" si="71"/>
        <v>0</v>
      </c>
      <c r="BL95" s="38">
        <f>Inputs!$D$19*(1-Inputs!$C$71*$H95)+Inputs!$D$21+Inputs!$B$71*$J95</f>
        <v>410800</v>
      </c>
      <c r="BM95" s="38">
        <f t="shared" si="72"/>
        <v>224338.45194738102</v>
      </c>
      <c r="BN95" s="38">
        <f t="shared" si="73"/>
        <v>0</v>
      </c>
      <c r="BO95" s="38">
        <f>MAX(0,MIN(Inputs!$B$36,BT94,BP95+BQ95+BR95+Inputs!$B$6-BS94))</f>
        <v>0</v>
      </c>
      <c r="BP95" s="38">
        <f>Inputs!$B$27*(1+Inputs!$B$28)^($A95/12)*IF(Inputs!$B$72=1,$G95,1)*(1-Inputs!$C$72*$H95*(1-Inputs!$E$54*Inputs!$B$72))*(1+$I95)*IF(Inputs!$B$29=0,1,(MAX(BS94,0)/Inputs!$B$6)^Inputs!$B$29)</f>
        <v>20048.908612047024</v>
      </c>
      <c r="BQ95" s="38">
        <f>Inputs!$B$32*BS94/Inputs!$B$6</f>
        <v>0</v>
      </c>
      <c r="BR95" s="38">
        <f>Inputs!$B$33</f>
        <v>2500</v>
      </c>
      <c r="BS95" s="38">
        <f t="shared" si="74"/>
        <v>0</v>
      </c>
      <c r="BT95" s="38">
        <f t="shared" si="75"/>
        <v>0</v>
      </c>
      <c r="BU95" s="38">
        <f>Inputs!$B$19*(1-Inputs!$C$72*$H95)+Inputs!$B$21+Inputs!$B$72*$J95</f>
        <v>577500</v>
      </c>
      <c r="BV95" s="38">
        <f t="shared" si="76"/>
        <v>-577500</v>
      </c>
      <c r="BW95" s="38">
        <f t="shared" si="77"/>
        <v>1</v>
      </c>
      <c r="BX95" s="38">
        <f>MAX(0,MIN(Inputs!$C$36,CC94,BY95+BZ95+CA95+Inputs!$C$6-CB94))</f>
        <v>0</v>
      </c>
      <c r="BY95" s="38">
        <f>Inputs!$C$27*(1+Inputs!$C$28)^($A95/12)*IF(Inputs!$B$72=1,$G95,1)*(1-Inputs!$C$72*$H95*(1-Inputs!$E$54*Inputs!$B$72))*(1+$I95)*IF(Inputs!$C$29=0,1,(MAX(CB94,0)/Inputs!$C$6)^Inputs!$C$29)</f>
        <v>0</v>
      </c>
      <c r="BZ95" s="38">
        <f>Inputs!$C$32*CB94/Inputs!$C$6</f>
        <v>0</v>
      </c>
      <c r="CA95" s="38">
        <f>Inputs!$C$33</f>
        <v>2000</v>
      </c>
      <c r="CB95" s="38">
        <f t="shared" si="78"/>
        <v>0</v>
      </c>
      <c r="CC95" s="38">
        <f t="shared" si="79"/>
        <v>0</v>
      </c>
      <c r="CD95" s="38">
        <f>Inputs!$C$19*(1-Inputs!$C$72*$H95)+Inputs!$C$21+Inputs!$B$72*$J95</f>
        <v>480000</v>
      </c>
      <c r="CE95" s="38">
        <f t="shared" si="80"/>
        <v>-480000</v>
      </c>
      <c r="CF95" s="38">
        <f t="shared" si="81"/>
        <v>1</v>
      </c>
      <c r="CG95" s="38">
        <f>MAX(0,MIN(Inputs!$D$36,CL94,CH95+CI95+CJ95+Inputs!$D$6-CK94))</f>
        <v>0</v>
      </c>
      <c r="CH95" s="38">
        <f>Inputs!$D$27*(1+Inputs!$D$28)^($A95/12)*IF(Inputs!$B$72=1,$G95,1)*(1-Inputs!$C$72*$H95*(1-Inputs!$E$54*Inputs!$B$72))*(1+$I95)*IF(Inputs!$D$29=0,1,(MAX(CK94,0)/Inputs!$D$6)^Inputs!$D$29)</f>
        <v>5243.1990966900785</v>
      </c>
      <c r="CI95" s="38">
        <f>Inputs!$D$32*CK94/Inputs!$D$6</f>
        <v>2900.2032922388221</v>
      </c>
      <c r="CJ95" s="38">
        <f>Inputs!$D$33</f>
        <v>1500</v>
      </c>
      <c r="CK95" s="38">
        <f t="shared" si="82"/>
        <v>598018.23979444336</v>
      </c>
      <c r="CL95" s="38">
        <f t="shared" si="83"/>
        <v>0</v>
      </c>
      <c r="CM95" s="38">
        <f>Inputs!$D$19*(1-Inputs!$C$72*$H95)+Inputs!$D$21+Inputs!$B$72*$J95</f>
        <v>392150</v>
      </c>
      <c r="CN95" s="38">
        <f t="shared" si="84"/>
        <v>205868.23979444336</v>
      </c>
      <c r="CO95" s="38">
        <f t="shared" si="85"/>
        <v>0</v>
      </c>
      <c r="CP95" s="38">
        <f>MAX(0,MIN(Inputs!$B$36,CU94,CQ95+CR95+CS95+Inputs!$B$6-CT94))</f>
        <v>0</v>
      </c>
      <c r="CQ95" s="38">
        <f>Inputs!$B$27*(1+Inputs!$B$28)^($A95/12)*IF(Inputs!$B$73=1,$G95,1)*(1-Inputs!$C$73*$H95*(1-Inputs!$E$54*Inputs!$B$73))*(1+$I95)*IF(Inputs!$B$29=0,1,(MAX(CT94,0)/Inputs!$B$6)^Inputs!$B$29)</f>
        <v>17825.64301256539</v>
      </c>
      <c r="CR95" s="38">
        <f>Inputs!$B$32*CT94/Inputs!$B$6</f>
        <v>0</v>
      </c>
      <c r="CS95" s="38">
        <f>Inputs!$B$33</f>
        <v>2500</v>
      </c>
      <c r="CT95" s="38">
        <f t="shared" si="86"/>
        <v>0</v>
      </c>
      <c r="CU95" s="38">
        <f t="shared" si="87"/>
        <v>0</v>
      </c>
      <c r="CV95" s="38">
        <f>Inputs!$B$19*(1-Inputs!$C$73*$H95)+Inputs!$B$21+Inputs!$B$73*$J95</f>
        <v>583500</v>
      </c>
      <c r="CW95" s="38">
        <f t="shared" si="88"/>
        <v>-583500</v>
      </c>
      <c r="CX95" s="38">
        <f t="shared" si="89"/>
        <v>1</v>
      </c>
      <c r="CY95" s="38">
        <f>MAX(0,MIN(Inputs!$C$36,DD94,CZ95+DA95+DB95+Inputs!$C$6-DC94))</f>
        <v>0</v>
      </c>
      <c r="CZ95" s="38">
        <f>Inputs!$C$27*(1+Inputs!$C$28)^($A95/12)*IF(Inputs!$B$73=1,$G95,1)*(1-Inputs!$C$73*$H95*(1-Inputs!$E$54*Inputs!$B$73))*(1+$I95)*IF(Inputs!$C$29=0,1,(MAX(DC94,0)/Inputs!$C$6)^Inputs!$C$29)</f>
        <v>4200.4260931218496</v>
      </c>
      <c r="DA95" s="38">
        <f>Inputs!$C$32*DC94/Inputs!$C$6</f>
        <v>186.50921770030163</v>
      </c>
      <c r="DB95" s="38">
        <f>Inputs!$C$33</f>
        <v>2000</v>
      </c>
      <c r="DC95" s="38">
        <f t="shared" si="90"/>
        <v>15717.860861065452</v>
      </c>
      <c r="DD95" s="38">
        <f t="shared" si="91"/>
        <v>0</v>
      </c>
      <c r="DE95" s="38">
        <f>Inputs!$C$19*(1-Inputs!$C$73*$H95)+Inputs!$C$21+Inputs!$B$73*$J95</f>
        <v>486000</v>
      </c>
      <c r="DF95" s="38">
        <f t="shared" si="92"/>
        <v>-470282.13913893455</v>
      </c>
      <c r="DG95" s="38">
        <f t="shared" si="93"/>
        <v>1</v>
      </c>
      <c r="DH95" s="38">
        <f>MAX(0,MIN(Inputs!$D$36,DM94,DI95+DJ95+DK95+Inputs!$D$6-DL94))</f>
        <v>0</v>
      </c>
      <c r="DI95" s="38">
        <f>Inputs!$D$27*(1+Inputs!$D$28)^($A95/12)*IF(Inputs!$B$73=1,$G95,1)*(1-Inputs!$C$73*$H95*(1-Inputs!$E$54*Inputs!$B$73))*(1+$I95)*IF(Inputs!$D$29=0,1,(MAX(DL94,0)/Inputs!$D$6)^Inputs!$D$29)</f>
        <v>4873.0176044341097</v>
      </c>
      <c r="DJ95" s="38">
        <f>Inputs!$D$32*DL94/Inputs!$D$6</f>
        <v>3169.0038458551107</v>
      </c>
      <c r="DK95" s="38">
        <f>Inputs!$D$33</f>
        <v>1500</v>
      </c>
      <c r="DL95" s="38">
        <f t="shared" si="94"/>
        <v>654439.73672887683</v>
      </c>
      <c r="DM95" s="38">
        <f t="shared" si="95"/>
        <v>0</v>
      </c>
      <c r="DN95" s="38">
        <f>Inputs!$D$19*(1-Inputs!$C$73*$H95)+Inputs!$D$21+Inputs!$B$73*$J95</f>
        <v>398150</v>
      </c>
      <c r="DO95" s="38">
        <f t="shared" si="96"/>
        <v>256289.73672887683</v>
      </c>
      <c r="DP95" s="38">
        <f t="shared" si="97"/>
        <v>0</v>
      </c>
    </row>
    <row r="96" spans="1:120" x14ac:dyDescent="0.35">
      <c r="A96" s="29">
        <v>91</v>
      </c>
      <c r="B96" s="34">
        <f>EDATE(Inputs!$B$67,$A96)</f>
        <v>49035</v>
      </c>
      <c r="C96" s="35">
        <f>IF(Inputs!$E$47&lt;=0,Inputs!$E$46,Inputs!$E$44+(Inputs!$E$46-Inputs!$E$44)*MIN($A96/Inputs!$E$47,1))</f>
        <v>0.7</v>
      </c>
      <c r="D96" s="35">
        <f>MIN(Inputs!$E$57,Inputs!$E$55*(1+Inputs!$E$56)^($A96/12))*Inputs!$E$58*(1+Inputs!$E$59)^($A96/12)/Inputs!$E$45</f>
        <v>1.5</v>
      </c>
      <c r="E96" s="35">
        <f>MAX(Inputs!$E$44,MIN(C96,D96))</f>
        <v>0.7</v>
      </c>
      <c r="F96" s="35">
        <f>IF(Inputs!$E$50&lt;=0,Inputs!$E$49,Inputs!$E$48+(Inputs!$E$49-Inputs!$E$48)*MIN($A96/Inputs!$E$50,1))</f>
        <v>0.12</v>
      </c>
      <c r="G96" s="36">
        <f>(Inputs!$E$41*(1-E96*Inputs!$E$51)+Inputs!$E$42*(1-F96*Inputs!$E$51))/(Inputs!$E$41*(1-Inputs!$E$44*Inputs!$E$51)+Inputs!$E$42*(1-Inputs!$E$48*Inputs!$E$51))</f>
        <v>0.8423127463863338</v>
      </c>
      <c r="H96" s="35">
        <f>IF(Inputs!$E$53&lt;=0,Inputs!$E$52,Inputs!$E$52*MIN($A96/Inputs!$E$53,1))</f>
        <v>0.1</v>
      </c>
      <c r="I96" s="35">
        <f>IF(Inputs!$E$64&lt;=0,Inputs!$E$63,Inputs!$E$62+(Inputs!$E$63-Inputs!$E$62)*MIN($A96/Inputs!$E$64,1))</f>
        <v>0.03</v>
      </c>
      <c r="J96" s="37">
        <f>(E96-Inputs!$E$44)*Inputs!$E$45/Inputs!$E$60*Inputs!$E$61</f>
        <v>5999.9999999999991</v>
      </c>
      <c r="K96" s="29">
        <f t="shared" si="49"/>
        <v>0</v>
      </c>
      <c r="L96" s="29"/>
      <c r="M96" s="38">
        <f>MAX(0,MIN(Inputs!$B$36,R95,N96+O96+P96+Inputs!$B$6-Q95))</f>
        <v>0</v>
      </c>
      <c r="N96" s="38">
        <f>Inputs!$B$27*(1+Inputs!$B$28)^($A96/12)*IF(Inputs!$B$70=1,$G96,1)*(1-Inputs!$C$70*$H96*(1-Inputs!$E$54*Inputs!$B$70))*(1+$I96)*IF(Inputs!$B$29=0,1,(MAX(Q95,0)/Inputs!$B$6)^Inputs!$B$29)</f>
        <v>22367.322608288396</v>
      </c>
      <c r="O96" s="38">
        <f>Inputs!$B$32*Q95/Inputs!$B$6</f>
        <v>0</v>
      </c>
      <c r="P96" s="38">
        <f>Inputs!$B$33</f>
        <v>2500</v>
      </c>
      <c r="Q96" s="38">
        <f t="shared" si="50"/>
        <v>0</v>
      </c>
      <c r="R96" s="38">
        <f t="shared" si="51"/>
        <v>0</v>
      </c>
      <c r="S96" s="38">
        <f>Inputs!$B$19*(1-Inputs!$C$70*$H96)+Inputs!$B$21+Inputs!$B$70*$J96</f>
        <v>595000</v>
      </c>
      <c r="T96" s="38">
        <f t="shared" si="52"/>
        <v>-595000</v>
      </c>
      <c r="U96" s="38">
        <f t="shared" si="53"/>
        <v>1</v>
      </c>
      <c r="V96" s="38">
        <f>MAX(0,MIN(Inputs!$C$36,AA95,W96+X96+Y96+Inputs!$C$6-Z95))</f>
        <v>0</v>
      </c>
      <c r="W96" s="38">
        <f>Inputs!$C$27*(1+Inputs!$C$28)^($A96/12)*IF(Inputs!$B$70=1,$G96,1)*(1-Inputs!$C$70*$H96*(1-Inputs!$E$54*Inputs!$B$70))*(1+$I96)*IF(Inputs!$C$29=0,1,(MAX(Z95,0)/Inputs!$C$6)^Inputs!$C$29)</f>
        <v>0</v>
      </c>
      <c r="X96" s="38">
        <f>Inputs!$C$32*Z95/Inputs!$C$6</f>
        <v>0</v>
      </c>
      <c r="Y96" s="38">
        <f>Inputs!$C$33</f>
        <v>2000</v>
      </c>
      <c r="Z96" s="38">
        <f t="shared" si="54"/>
        <v>0</v>
      </c>
      <c r="AA96" s="38">
        <f t="shared" si="55"/>
        <v>0</v>
      </c>
      <c r="AB96" s="38">
        <f>Inputs!$C$19*(1-Inputs!$C$70*$H96)+Inputs!$C$21+Inputs!$B$70*$J96</f>
        <v>495000</v>
      </c>
      <c r="AC96" s="38">
        <f t="shared" si="56"/>
        <v>-495000</v>
      </c>
      <c r="AD96" s="38">
        <f t="shared" si="57"/>
        <v>1</v>
      </c>
      <c r="AE96" s="38">
        <f>MAX(0,MIN(Inputs!$D$36,AJ95,AF96+AG96+AH96+Inputs!$D$6-AI95))</f>
        <v>0</v>
      </c>
      <c r="AF96" s="38">
        <f>Inputs!$D$27*(1+Inputs!$D$28)^($A96/12)*IF(Inputs!$B$70=1,$G96,1)*(1-Inputs!$C$70*$H96*(1-Inputs!$E$54*Inputs!$B$70))*(1+$I96)*IF(Inputs!$D$29=0,1,(MAX(AI95,0)/Inputs!$D$6)^Inputs!$D$29)</f>
        <v>5544.7197705159861</v>
      </c>
      <c r="AG96" s="38">
        <f>Inputs!$D$32*AI95/Inputs!$D$6</f>
        <v>2649.6755470418229</v>
      </c>
      <c r="AH96" s="38">
        <f>Inputs!$D$33</f>
        <v>1500</v>
      </c>
      <c r="AI96" s="38">
        <f t="shared" si="58"/>
        <v>545475.71930072887</v>
      </c>
      <c r="AJ96" s="38">
        <f t="shared" si="59"/>
        <v>0</v>
      </c>
      <c r="AK96" s="38">
        <f>Inputs!$D$19*(1-Inputs!$C$70*$H96)+Inputs!$D$21+Inputs!$B$70*$J96</f>
        <v>404800</v>
      </c>
      <c r="AL96" s="38">
        <f t="shared" si="60"/>
        <v>140675.71930072887</v>
      </c>
      <c r="AM96" s="38">
        <f t="shared" si="61"/>
        <v>0</v>
      </c>
      <c r="AN96" s="38">
        <f>MAX(0,MIN(Inputs!$B$36,AS95,AO96+AP96+AQ96+Inputs!$B$6-AR95))</f>
        <v>0</v>
      </c>
      <c r="AO96" s="38">
        <f>Inputs!$B$27*(1+Inputs!$B$28)^($A96/12)*IF(Inputs!$B$71=1,$G96,1)*(1-Inputs!$C$71*$H96*(1-Inputs!$E$54*Inputs!$B$71))*(1+$I96)*IF(Inputs!$B$29=0,1,(MAX(AR95,0)/Inputs!$B$6)^Inputs!$B$29)</f>
        <v>18840.280935496532</v>
      </c>
      <c r="AP96" s="38">
        <f>Inputs!$B$32*AR95/Inputs!$B$6</f>
        <v>0</v>
      </c>
      <c r="AQ96" s="38">
        <f>Inputs!$B$33</f>
        <v>2500</v>
      </c>
      <c r="AR96" s="38">
        <f t="shared" si="62"/>
        <v>0</v>
      </c>
      <c r="AS96" s="38">
        <f t="shared" si="63"/>
        <v>0</v>
      </c>
      <c r="AT96" s="38">
        <f>Inputs!$B$19*(1-Inputs!$C$71*$H96)+Inputs!$B$21+Inputs!$B$71*$J96</f>
        <v>601000</v>
      </c>
      <c r="AU96" s="38">
        <f t="shared" si="64"/>
        <v>-601000</v>
      </c>
      <c r="AV96" s="38">
        <f t="shared" si="65"/>
        <v>1</v>
      </c>
      <c r="AW96" s="38">
        <f>MAX(0,MIN(Inputs!$C$36,BB95,AX96+AY96+AZ96+Inputs!$C$6-BA95))</f>
        <v>0</v>
      </c>
      <c r="AX96" s="38">
        <f>Inputs!$C$27*(1+Inputs!$C$28)^($A96/12)*IF(Inputs!$B$71=1,$G96,1)*(1-Inputs!$C$71*$H96*(1-Inputs!$E$54*Inputs!$B$71))*(1+$I96)*IF(Inputs!$C$29=0,1,(MAX(BA95,0)/Inputs!$C$6)^Inputs!$C$29)</f>
        <v>2722.4722751463328</v>
      </c>
      <c r="AY96" s="38">
        <f>Inputs!$C$32*BA95/Inputs!$C$6</f>
        <v>26.808665374372943</v>
      </c>
      <c r="AZ96" s="38">
        <f>Inputs!$C$33</f>
        <v>2000</v>
      </c>
      <c r="BA96" s="38">
        <f t="shared" si="66"/>
        <v>0</v>
      </c>
      <c r="BB96" s="38">
        <f t="shared" si="67"/>
        <v>0</v>
      </c>
      <c r="BC96" s="38">
        <f>Inputs!$C$19*(1-Inputs!$C$71*$H96)+Inputs!$C$21+Inputs!$B$71*$J96</f>
        <v>501000</v>
      </c>
      <c r="BD96" s="38">
        <f t="shared" si="68"/>
        <v>-501000</v>
      </c>
      <c r="BE96" s="38">
        <f t="shared" si="69"/>
        <v>1</v>
      </c>
      <c r="BF96" s="38">
        <f>MAX(0,MIN(Inputs!$D$36,BK95,BG96+BH96+BI96+Inputs!$D$6-BJ95))</f>
        <v>0</v>
      </c>
      <c r="BG96" s="38">
        <f>Inputs!$D$27*(1+Inputs!$D$28)^($A96/12)*IF(Inputs!$B$71=1,$G96,1)*(1-Inputs!$C$71*$H96*(1-Inputs!$E$54*Inputs!$B$71))*(1+$I96)*IF(Inputs!$D$29=0,1,(MAX(BJ95,0)/Inputs!$D$6)^Inputs!$D$29)</f>
        <v>4995.4444958405102</v>
      </c>
      <c r="BH96" s="38">
        <f>Inputs!$D$32*BJ95/Inputs!$D$6</f>
        <v>3031.3426115670459</v>
      </c>
      <c r="BI96" s="38">
        <f>Inputs!$D$33</f>
        <v>1500</v>
      </c>
      <c r="BJ96" s="38">
        <f t="shared" si="70"/>
        <v>625611.66483997356</v>
      </c>
      <c r="BK96" s="38">
        <f t="shared" si="71"/>
        <v>0</v>
      </c>
      <c r="BL96" s="38">
        <f>Inputs!$D$19*(1-Inputs!$C$71*$H96)+Inputs!$D$21+Inputs!$B$71*$J96</f>
        <v>410800</v>
      </c>
      <c r="BM96" s="38">
        <f t="shared" si="72"/>
        <v>214811.66483997356</v>
      </c>
      <c r="BN96" s="38">
        <f t="shared" si="73"/>
        <v>0</v>
      </c>
      <c r="BO96" s="38">
        <f>MAX(0,MIN(Inputs!$B$36,BT95,BP96+BQ96+BR96+Inputs!$B$6-BS95))</f>
        <v>0</v>
      </c>
      <c r="BP96" s="38">
        <f>Inputs!$B$27*(1+Inputs!$B$28)^($A96/12)*IF(Inputs!$B$72=1,$G96,1)*(1-Inputs!$C$72*$H96*(1-Inputs!$E$54*Inputs!$B$72))*(1+$I96)*IF(Inputs!$B$29=0,1,(MAX(BS95,0)/Inputs!$B$6)^Inputs!$B$29)</f>
        <v>20130.590347459554</v>
      </c>
      <c r="BQ96" s="38">
        <f>Inputs!$B$32*BS95/Inputs!$B$6</f>
        <v>0</v>
      </c>
      <c r="BR96" s="38">
        <f>Inputs!$B$33</f>
        <v>2500</v>
      </c>
      <c r="BS96" s="38">
        <f t="shared" si="74"/>
        <v>0</v>
      </c>
      <c r="BT96" s="38">
        <f t="shared" si="75"/>
        <v>0</v>
      </c>
      <c r="BU96" s="38">
        <f>Inputs!$B$19*(1-Inputs!$C$72*$H96)+Inputs!$B$21+Inputs!$B$72*$J96</f>
        <v>577500</v>
      </c>
      <c r="BV96" s="38">
        <f t="shared" si="76"/>
        <v>-577500</v>
      </c>
      <c r="BW96" s="38">
        <f t="shared" si="77"/>
        <v>1</v>
      </c>
      <c r="BX96" s="38">
        <f>MAX(0,MIN(Inputs!$C$36,CC95,BY96+BZ96+CA96+Inputs!$C$6-CB95))</f>
        <v>0</v>
      </c>
      <c r="BY96" s="38">
        <f>Inputs!$C$27*(1+Inputs!$C$28)^($A96/12)*IF(Inputs!$B$72=1,$G96,1)*(1-Inputs!$C$72*$H96*(1-Inputs!$E$54*Inputs!$B$72))*(1+$I96)*IF(Inputs!$C$29=0,1,(MAX(CB95,0)/Inputs!$C$6)^Inputs!$C$29)</f>
        <v>0</v>
      </c>
      <c r="BZ96" s="38">
        <f>Inputs!$C$32*CB95/Inputs!$C$6</f>
        <v>0</v>
      </c>
      <c r="CA96" s="38">
        <f>Inputs!$C$33</f>
        <v>2000</v>
      </c>
      <c r="CB96" s="38">
        <f t="shared" si="78"/>
        <v>0</v>
      </c>
      <c r="CC96" s="38">
        <f t="shared" si="79"/>
        <v>0</v>
      </c>
      <c r="CD96" s="38">
        <f>Inputs!$C$19*(1-Inputs!$C$72*$H96)+Inputs!$C$21+Inputs!$B$72*$J96</f>
        <v>480000</v>
      </c>
      <c r="CE96" s="38">
        <f t="shared" si="80"/>
        <v>-480000</v>
      </c>
      <c r="CF96" s="38">
        <f t="shared" si="81"/>
        <v>1</v>
      </c>
      <c r="CG96" s="38">
        <f>MAX(0,MIN(Inputs!$D$36,CL95,CH96+CI96+CJ96+Inputs!$D$6-CK95))</f>
        <v>0</v>
      </c>
      <c r="CH96" s="38">
        <f>Inputs!$D$27*(1+Inputs!$D$28)^($A96/12)*IF(Inputs!$B$72=1,$G96,1)*(1-Inputs!$C$72*$H96*(1-Inputs!$E$54*Inputs!$B$72))*(1+$I96)*IF(Inputs!$D$29=0,1,(MAX(CK95,0)/Inputs!$D$6)^Inputs!$D$29)</f>
        <v>5179.2429872959638</v>
      </c>
      <c r="CI96" s="38">
        <f>Inputs!$D$32*CK95/Inputs!$D$6</f>
        <v>2854.177962655298</v>
      </c>
      <c r="CJ96" s="38">
        <f>Inputs!$D$33</f>
        <v>1500</v>
      </c>
      <c r="CK96" s="38">
        <f t="shared" si="82"/>
        <v>588484.81884449208</v>
      </c>
      <c r="CL96" s="38">
        <f t="shared" si="83"/>
        <v>0</v>
      </c>
      <c r="CM96" s="38">
        <f>Inputs!$D$19*(1-Inputs!$C$72*$H96)+Inputs!$D$21+Inputs!$B$72*$J96</f>
        <v>392150</v>
      </c>
      <c r="CN96" s="38">
        <f t="shared" si="84"/>
        <v>196334.81884449208</v>
      </c>
      <c r="CO96" s="38">
        <f t="shared" si="85"/>
        <v>0</v>
      </c>
      <c r="CP96" s="38">
        <f>MAX(0,MIN(Inputs!$B$36,CU95,CQ96+CR96+CS96+Inputs!$B$6-CT95))</f>
        <v>0</v>
      </c>
      <c r="CQ96" s="38">
        <f>Inputs!$B$27*(1+Inputs!$B$28)^($A96/12)*IF(Inputs!$B$73=1,$G96,1)*(1-Inputs!$C$73*$H96*(1-Inputs!$E$54*Inputs!$B$73))*(1+$I96)*IF(Inputs!$B$29=0,1,(MAX(CT95,0)/Inputs!$B$6)^Inputs!$B$29)</f>
        <v>17898.266888721708</v>
      </c>
      <c r="CR96" s="38">
        <f>Inputs!$B$32*CT95/Inputs!$B$6</f>
        <v>0</v>
      </c>
      <c r="CS96" s="38">
        <f>Inputs!$B$33</f>
        <v>2500</v>
      </c>
      <c r="CT96" s="38">
        <f t="shared" si="86"/>
        <v>0</v>
      </c>
      <c r="CU96" s="38">
        <f t="shared" si="87"/>
        <v>0</v>
      </c>
      <c r="CV96" s="38">
        <f>Inputs!$B$19*(1-Inputs!$C$73*$H96)+Inputs!$B$21+Inputs!$B$73*$J96</f>
        <v>583500</v>
      </c>
      <c r="CW96" s="38">
        <f t="shared" si="88"/>
        <v>-583500</v>
      </c>
      <c r="CX96" s="38">
        <f t="shared" si="89"/>
        <v>1</v>
      </c>
      <c r="CY96" s="38">
        <f>MAX(0,MIN(Inputs!$C$36,DD95,CZ96+DA96+DB96+Inputs!$C$6-DC95))</f>
        <v>0</v>
      </c>
      <c r="CZ96" s="38">
        <f>Inputs!$C$27*(1+Inputs!$C$28)^($A96/12)*IF(Inputs!$B$73=1,$G96,1)*(1-Inputs!$C$73*$H96*(1-Inputs!$E$54*Inputs!$B$73))*(1+$I96)*IF(Inputs!$C$29=0,1,(MAX(DC95,0)/Inputs!$C$6)^Inputs!$C$29)</f>
        <v>3857.1815344725142</v>
      </c>
      <c r="DA96" s="38">
        <f>Inputs!$C$32*DC95/Inputs!$C$6</f>
        <v>132.61945101523972</v>
      </c>
      <c r="DB96" s="38">
        <f>Inputs!$C$33</f>
        <v>2000</v>
      </c>
      <c r="DC96" s="38">
        <f t="shared" si="90"/>
        <v>9728.0598755776973</v>
      </c>
      <c r="DD96" s="38">
        <f t="shared" si="91"/>
        <v>0</v>
      </c>
      <c r="DE96" s="38">
        <f>Inputs!$C$19*(1-Inputs!$C$73*$H96)+Inputs!$C$21+Inputs!$B$73*$J96</f>
        <v>486000</v>
      </c>
      <c r="DF96" s="38">
        <f t="shared" si="92"/>
        <v>-476271.94012442231</v>
      </c>
      <c r="DG96" s="38">
        <f t="shared" si="93"/>
        <v>1</v>
      </c>
      <c r="DH96" s="38">
        <f>MAX(0,MIN(Inputs!$D$36,DM95,DI96+DJ96+DK96+Inputs!$D$6-DL95))</f>
        <v>0</v>
      </c>
      <c r="DI96" s="38">
        <f>Inputs!$D$27*(1+Inputs!$D$28)^($A96/12)*IF(Inputs!$B$73=1,$G96,1)*(1-Inputs!$C$73*$H96*(1-Inputs!$E$54*Inputs!$B$73))*(1+$I96)*IF(Inputs!$D$29=0,1,(MAX(DL95,0)/Inputs!$D$6)^Inputs!$D$29)</f>
        <v>4817.2409636015527</v>
      </c>
      <c r="DJ96" s="38">
        <f>Inputs!$D$32*DL95/Inputs!$D$6</f>
        <v>3123.4623798423668</v>
      </c>
      <c r="DK96" s="38">
        <f>Inputs!$D$33</f>
        <v>1500</v>
      </c>
      <c r="DL96" s="38">
        <f t="shared" si="94"/>
        <v>644999.03338543291</v>
      </c>
      <c r="DM96" s="38">
        <f t="shared" si="95"/>
        <v>0</v>
      </c>
      <c r="DN96" s="38">
        <f>Inputs!$D$19*(1-Inputs!$C$73*$H96)+Inputs!$D$21+Inputs!$B$73*$J96</f>
        <v>398150</v>
      </c>
      <c r="DO96" s="38">
        <f t="shared" si="96"/>
        <v>246849.03338543291</v>
      </c>
      <c r="DP96" s="38">
        <f t="shared" si="97"/>
        <v>0</v>
      </c>
    </row>
    <row r="97" spans="1:120" x14ac:dyDescent="0.35">
      <c r="A97" s="29">
        <v>92</v>
      </c>
      <c r="B97" s="34">
        <f>EDATE(Inputs!$B$67,$A97)</f>
        <v>49065</v>
      </c>
      <c r="C97" s="35">
        <f>IF(Inputs!$E$47&lt;=0,Inputs!$E$46,Inputs!$E$44+(Inputs!$E$46-Inputs!$E$44)*MIN($A97/Inputs!$E$47,1))</f>
        <v>0.7</v>
      </c>
      <c r="D97" s="35">
        <f>MIN(Inputs!$E$57,Inputs!$E$55*(1+Inputs!$E$56)^($A97/12))*Inputs!$E$58*(1+Inputs!$E$59)^($A97/12)/Inputs!$E$45</f>
        <v>1.5</v>
      </c>
      <c r="E97" s="35">
        <f>MAX(Inputs!$E$44,MIN(C97,D97))</f>
        <v>0.7</v>
      </c>
      <c r="F97" s="35">
        <f>IF(Inputs!$E$50&lt;=0,Inputs!$E$49,Inputs!$E$48+(Inputs!$E$49-Inputs!$E$48)*MIN($A97/Inputs!$E$50,1))</f>
        <v>0.12</v>
      </c>
      <c r="G97" s="36">
        <f>(Inputs!$E$41*(1-E97*Inputs!$E$51)+Inputs!$E$42*(1-F97*Inputs!$E$51))/(Inputs!$E$41*(1-Inputs!$E$44*Inputs!$E$51)+Inputs!$E$42*(1-Inputs!$E$48*Inputs!$E$51))</f>
        <v>0.8423127463863338</v>
      </c>
      <c r="H97" s="35">
        <f>IF(Inputs!$E$53&lt;=0,Inputs!$E$52,Inputs!$E$52*MIN($A97/Inputs!$E$53,1))</f>
        <v>0.1</v>
      </c>
      <c r="I97" s="35">
        <f>IF(Inputs!$E$64&lt;=0,Inputs!$E$63,Inputs!$E$62+(Inputs!$E$63-Inputs!$E$62)*MIN($A97/Inputs!$E$64,1))</f>
        <v>0.03</v>
      </c>
      <c r="J97" s="37">
        <f>(E97-Inputs!$E$44)*Inputs!$E$45/Inputs!$E$60*Inputs!$E$61</f>
        <v>5999.9999999999991</v>
      </c>
      <c r="K97" s="29">
        <f t="shared" si="49"/>
        <v>0</v>
      </c>
      <c r="L97" s="29"/>
      <c r="M97" s="38">
        <f>MAX(0,MIN(Inputs!$B$36,R96,N97+O97+P97+Inputs!$B$6-Q96))</f>
        <v>0</v>
      </c>
      <c r="N97" s="38">
        <f>Inputs!$B$27*(1+Inputs!$B$28)^($A97/12)*IF(Inputs!$B$70=1,$G97,1)*(1-Inputs!$C$70*$H97*(1-Inputs!$E$54*Inputs!$B$70))*(1+$I97)*IF(Inputs!$B$29=0,1,(MAX(Q96,0)/Inputs!$B$6)^Inputs!$B$29)</f>
        <v>22458.449849303353</v>
      </c>
      <c r="O97" s="38">
        <f>Inputs!$B$32*Q96/Inputs!$B$6</f>
        <v>0</v>
      </c>
      <c r="P97" s="38">
        <f>Inputs!$B$33</f>
        <v>2500</v>
      </c>
      <c r="Q97" s="38">
        <f t="shared" si="50"/>
        <v>0</v>
      </c>
      <c r="R97" s="38">
        <f t="shared" si="51"/>
        <v>0</v>
      </c>
      <c r="S97" s="38">
        <f>Inputs!$B$19*(1-Inputs!$C$70*$H97)+Inputs!$B$21+Inputs!$B$70*$J97</f>
        <v>595000</v>
      </c>
      <c r="T97" s="38">
        <f t="shared" si="52"/>
        <v>-595000</v>
      </c>
      <c r="U97" s="38">
        <f t="shared" si="53"/>
        <v>1</v>
      </c>
      <c r="V97" s="38">
        <f>MAX(0,MIN(Inputs!$C$36,AA96,W97+X97+Y97+Inputs!$C$6-Z96))</f>
        <v>0</v>
      </c>
      <c r="W97" s="38">
        <f>Inputs!$C$27*(1+Inputs!$C$28)^($A97/12)*IF(Inputs!$B$70=1,$G97,1)*(1-Inputs!$C$70*$H97*(1-Inputs!$E$54*Inputs!$B$70))*(1+$I97)*IF(Inputs!$C$29=0,1,(MAX(Z96,0)/Inputs!$C$6)^Inputs!$C$29)</f>
        <v>0</v>
      </c>
      <c r="X97" s="38">
        <f>Inputs!$C$32*Z96/Inputs!$C$6</f>
        <v>0</v>
      </c>
      <c r="Y97" s="38">
        <f>Inputs!$C$33</f>
        <v>2000</v>
      </c>
      <c r="Z97" s="38">
        <f t="shared" si="54"/>
        <v>0</v>
      </c>
      <c r="AA97" s="38">
        <f t="shared" si="55"/>
        <v>0</v>
      </c>
      <c r="AB97" s="38">
        <f>Inputs!$C$19*(1-Inputs!$C$70*$H97)+Inputs!$C$21+Inputs!$B$70*$J97</f>
        <v>495000</v>
      </c>
      <c r="AC97" s="38">
        <f t="shared" si="56"/>
        <v>-495000</v>
      </c>
      <c r="AD97" s="38">
        <f t="shared" si="57"/>
        <v>1</v>
      </c>
      <c r="AE97" s="38">
        <f>MAX(0,MIN(Inputs!$D$36,AJ96,AF97+AG97+AH97+Inputs!$D$6-AI96))</f>
        <v>0</v>
      </c>
      <c r="AF97" s="38">
        <f>Inputs!$D$27*(1+Inputs!$D$28)^($A97/12)*IF(Inputs!$B$70=1,$G97,1)*(1-Inputs!$C$70*$H97*(1-Inputs!$E$54*Inputs!$B$70))*(1+$I97)*IF(Inputs!$D$29=0,1,(MAX(AI96,0)/Inputs!$D$6)^Inputs!$D$29)</f>
        <v>5472.6529446570721</v>
      </c>
      <c r="AG97" s="38">
        <f>Inputs!$D$32*AI96/Inputs!$D$6</f>
        <v>2603.406842117115</v>
      </c>
      <c r="AH97" s="38">
        <f>Inputs!$D$33</f>
        <v>1500</v>
      </c>
      <c r="AI97" s="38">
        <f t="shared" si="58"/>
        <v>535899.65951395477</v>
      </c>
      <c r="AJ97" s="38">
        <f t="shared" si="59"/>
        <v>0</v>
      </c>
      <c r="AK97" s="38">
        <f>Inputs!$D$19*(1-Inputs!$C$70*$H97)+Inputs!$D$21+Inputs!$B$70*$J97</f>
        <v>404800</v>
      </c>
      <c r="AL97" s="38">
        <f t="shared" si="60"/>
        <v>131099.65951395477</v>
      </c>
      <c r="AM97" s="38">
        <f t="shared" si="61"/>
        <v>0</v>
      </c>
      <c r="AN97" s="38">
        <f>MAX(0,MIN(Inputs!$B$36,AS96,AO97+AP97+AQ97+Inputs!$B$6-AR96))</f>
        <v>0</v>
      </c>
      <c r="AO97" s="38">
        <f>Inputs!$B$27*(1+Inputs!$B$28)^($A97/12)*IF(Inputs!$B$71=1,$G97,1)*(1-Inputs!$C$71*$H97*(1-Inputs!$E$54*Inputs!$B$71))*(1+$I97)*IF(Inputs!$B$29=0,1,(MAX(AR96,0)/Inputs!$B$6)^Inputs!$B$29)</f>
        <v>18917.038572146452</v>
      </c>
      <c r="AP97" s="38">
        <f>Inputs!$B$32*AR96/Inputs!$B$6</f>
        <v>0</v>
      </c>
      <c r="AQ97" s="38">
        <f>Inputs!$B$33</f>
        <v>2500</v>
      </c>
      <c r="AR97" s="38">
        <f t="shared" si="62"/>
        <v>0</v>
      </c>
      <c r="AS97" s="38">
        <f t="shared" si="63"/>
        <v>0</v>
      </c>
      <c r="AT97" s="38">
        <f>Inputs!$B$19*(1-Inputs!$C$71*$H97)+Inputs!$B$21+Inputs!$B$71*$J97</f>
        <v>601000</v>
      </c>
      <c r="AU97" s="38">
        <f t="shared" si="64"/>
        <v>-601000</v>
      </c>
      <c r="AV97" s="38">
        <f t="shared" si="65"/>
        <v>1</v>
      </c>
      <c r="AW97" s="38">
        <f>MAX(0,MIN(Inputs!$C$36,BB96,AX97+AY97+AZ97+Inputs!$C$6-BA96))</f>
        <v>0</v>
      </c>
      <c r="AX97" s="38">
        <f>Inputs!$C$27*(1+Inputs!$C$28)^($A97/12)*IF(Inputs!$B$71=1,$G97,1)*(1-Inputs!$C$71*$H97*(1-Inputs!$E$54*Inputs!$B$71))*(1+$I97)*IF(Inputs!$C$29=0,1,(MAX(BA96,0)/Inputs!$C$6)^Inputs!$C$29)</f>
        <v>0</v>
      </c>
      <c r="AY97" s="38">
        <f>Inputs!$C$32*BA96/Inputs!$C$6</f>
        <v>0</v>
      </c>
      <c r="AZ97" s="38">
        <f>Inputs!$C$33</f>
        <v>2000</v>
      </c>
      <c r="BA97" s="38">
        <f t="shared" si="66"/>
        <v>0</v>
      </c>
      <c r="BB97" s="38">
        <f t="shared" si="67"/>
        <v>0</v>
      </c>
      <c r="BC97" s="38">
        <f>Inputs!$C$19*(1-Inputs!$C$71*$H97)+Inputs!$C$21+Inputs!$B$71*$J97</f>
        <v>501000</v>
      </c>
      <c r="BD97" s="38">
        <f t="shared" si="68"/>
        <v>-501000</v>
      </c>
      <c r="BE97" s="38">
        <f t="shared" si="69"/>
        <v>1</v>
      </c>
      <c r="BF97" s="38">
        <f>MAX(0,MIN(Inputs!$D$36,BK96,BG97+BH97+BI97+Inputs!$D$6-BJ96))</f>
        <v>0</v>
      </c>
      <c r="BG97" s="38">
        <f>Inputs!$D$27*(1+Inputs!$D$28)^($A97/12)*IF(Inputs!$B$71=1,$G97,1)*(1-Inputs!$C$71*$H97*(1-Inputs!$E$54*Inputs!$B$71))*(1+$I97)*IF(Inputs!$D$29=0,1,(MAX(BJ96,0)/Inputs!$D$6)^Inputs!$D$29)</f>
        <v>4936.6914887477096</v>
      </c>
      <c r="BH97" s="38">
        <f>Inputs!$D$32*BJ96/Inputs!$D$6</f>
        <v>2985.8738549180557</v>
      </c>
      <c r="BI97" s="38">
        <f>Inputs!$D$33</f>
        <v>1500</v>
      </c>
      <c r="BJ97" s="38">
        <f t="shared" si="70"/>
        <v>616189.09949630778</v>
      </c>
      <c r="BK97" s="38">
        <f t="shared" si="71"/>
        <v>0</v>
      </c>
      <c r="BL97" s="38">
        <f>Inputs!$D$19*(1-Inputs!$C$71*$H97)+Inputs!$D$21+Inputs!$B$71*$J97</f>
        <v>410800</v>
      </c>
      <c r="BM97" s="38">
        <f t="shared" si="72"/>
        <v>205389.09949630778</v>
      </c>
      <c r="BN97" s="38">
        <f t="shared" si="73"/>
        <v>0</v>
      </c>
      <c r="BO97" s="38">
        <f>MAX(0,MIN(Inputs!$B$36,BT96,BP97+BQ97+BR97+Inputs!$B$6-BS96))</f>
        <v>0</v>
      </c>
      <c r="BP97" s="38">
        <f>Inputs!$B$27*(1+Inputs!$B$28)^($A97/12)*IF(Inputs!$B$72=1,$G97,1)*(1-Inputs!$C$72*$H97*(1-Inputs!$E$54*Inputs!$B$72))*(1+$I97)*IF(Inputs!$B$29=0,1,(MAX(BS96,0)/Inputs!$B$6)^Inputs!$B$29)</f>
        <v>20212.604864373017</v>
      </c>
      <c r="BQ97" s="38">
        <f>Inputs!$B$32*BS96/Inputs!$B$6</f>
        <v>0</v>
      </c>
      <c r="BR97" s="38">
        <f>Inputs!$B$33</f>
        <v>2500</v>
      </c>
      <c r="BS97" s="38">
        <f t="shared" si="74"/>
        <v>0</v>
      </c>
      <c r="BT97" s="38">
        <f t="shared" si="75"/>
        <v>0</v>
      </c>
      <c r="BU97" s="38">
        <f>Inputs!$B$19*(1-Inputs!$C$72*$H97)+Inputs!$B$21+Inputs!$B$72*$J97</f>
        <v>577500</v>
      </c>
      <c r="BV97" s="38">
        <f t="shared" si="76"/>
        <v>-577500</v>
      </c>
      <c r="BW97" s="38">
        <f t="shared" si="77"/>
        <v>1</v>
      </c>
      <c r="BX97" s="38">
        <f>MAX(0,MIN(Inputs!$C$36,CC96,BY97+BZ97+CA97+Inputs!$C$6-CB96))</f>
        <v>0</v>
      </c>
      <c r="BY97" s="38">
        <f>Inputs!$C$27*(1+Inputs!$C$28)^($A97/12)*IF(Inputs!$B$72=1,$G97,1)*(1-Inputs!$C$72*$H97*(1-Inputs!$E$54*Inputs!$B$72))*(1+$I97)*IF(Inputs!$C$29=0,1,(MAX(CB96,0)/Inputs!$C$6)^Inputs!$C$29)</f>
        <v>0</v>
      </c>
      <c r="BZ97" s="38">
        <f>Inputs!$C$32*CB96/Inputs!$C$6</f>
        <v>0</v>
      </c>
      <c r="CA97" s="38">
        <f>Inputs!$C$33</f>
        <v>2000</v>
      </c>
      <c r="CB97" s="38">
        <f t="shared" si="78"/>
        <v>0</v>
      </c>
      <c r="CC97" s="38">
        <f t="shared" si="79"/>
        <v>0</v>
      </c>
      <c r="CD97" s="38">
        <f>Inputs!$C$19*(1-Inputs!$C$72*$H97)+Inputs!$C$21+Inputs!$B$72*$J97</f>
        <v>480000</v>
      </c>
      <c r="CE97" s="38">
        <f t="shared" si="80"/>
        <v>-480000</v>
      </c>
      <c r="CF97" s="38">
        <f t="shared" si="81"/>
        <v>1</v>
      </c>
      <c r="CG97" s="38">
        <f>MAX(0,MIN(Inputs!$D$36,CL96,CH97+CI97+CJ97+Inputs!$D$6-CK96))</f>
        <v>0</v>
      </c>
      <c r="CH97" s="38">
        <f>Inputs!$D$27*(1+Inputs!$D$28)^($A97/12)*IF(Inputs!$B$72=1,$G97,1)*(1-Inputs!$C$72*$H97*(1-Inputs!$E$54*Inputs!$B$72))*(1+$I97)*IF(Inputs!$D$29=0,1,(MAX(CK96,0)/Inputs!$D$6)^Inputs!$D$29)</f>
        <v>5115.8798614938969</v>
      </c>
      <c r="CI97" s="38">
        <f>Inputs!$D$32*CK96/Inputs!$D$6</f>
        <v>2808.6775444850759</v>
      </c>
      <c r="CJ97" s="38">
        <f>Inputs!$D$33</f>
        <v>1500</v>
      </c>
      <c r="CK97" s="38">
        <f t="shared" si="82"/>
        <v>579060.26143851306</v>
      </c>
      <c r="CL97" s="38">
        <f t="shared" si="83"/>
        <v>0</v>
      </c>
      <c r="CM97" s="38">
        <f>Inputs!$D$19*(1-Inputs!$C$72*$H97)+Inputs!$D$21+Inputs!$B$72*$J97</f>
        <v>392150</v>
      </c>
      <c r="CN97" s="38">
        <f t="shared" si="84"/>
        <v>186910.26143851306</v>
      </c>
      <c r="CO97" s="38">
        <f t="shared" si="85"/>
        <v>0</v>
      </c>
      <c r="CP97" s="38">
        <f>MAX(0,MIN(Inputs!$B$36,CU96,CQ97+CR97+CS97+Inputs!$B$6-CT96))</f>
        <v>0</v>
      </c>
      <c r="CQ97" s="38">
        <f>Inputs!$B$27*(1+Inputs!$B$28)^($A97/12)*IF(Inputs!$B$73=1,$G97,1)*(1-Inputs!$C$73*$H97*(1-Inputs!$E$54*Inputs!$B$73))*(1+$I97)*IF(Inputs!$B$29=0,1,(MAX(CT96,0)/Inputs!$B$6)^Inputs!$B$29)</f>
        <v>17971.186643539128</v>
      </c>
      <c r="CR97" s="38">
        <f>Inputs!$B$32*CT96/Inputs!$B$6</f>
        <v>0</v>
      </c>
      <c r="CS97" s="38">
        <f>Inputs!$B$33</f>
        <v>2500</v>
      </c>
      <c r="CT97" s="38">
        <f t="shared" si="86"/>
        <v>0</v>
      </c>
      <c r="CU97" s="38">
        <f t="shared" si="87"/>
        <v>0</v>
      </c>
      <c r="CV97" s="38">
        <f>Inputs!$B$19*(1-Inputs!$C$73*$H97)+Inputs!$B$21+Inputs!$B$73*$J97</f>
        <v>583500</v>
      </c>
      <c r="CW97" s="38">
        <f t="shared" si="88"/>
        <v>-583500</v>
      </c>
      <c r="CX97" s="38">
        <f t="shared" si="89"/>
        <v>1</v>
      </c>
      <c r="CY97" s="38">
        <f>MAX(0,MIN(Inputs!$C$36,DD96,CZ97+DA97+DB97+Inputs!$C$6-DC96))</f>
        <v>0</v>
      </c>
      <c r="CZ97" s="38">
        <f>Inputs!$C$27*(1+Inputs!$C$28)^($A97/12)*IF(Inputs!$B$73=1,$G97,1)*(1-Inputs!$C$73*$H97*(1-Inputs!$E$54*Inputs!$B$73))*(1+$I97)*IF(Inputs!$C$29=0,1,(MAX(DC96,0)/Inputs!$C$6)^Inputs!$C$29)</f>
        <v>3421.1985378623576</v>
      </c>
      <c r="DA97" s="38">
        <f>Inputs!$C$32*DC96/Inputs!$C$6</f>
        <v>82.080505200186806</v>
      </c>
      <c r="DB97" s="38">
        <f>Inputs!$C$33</f>
        <v>2000</v>
      </c>
      <c r="DC97" s="38">
        <f t="shared" si="90"/>
        <v>4224.7808325151527</v>
      </c>
      <c r="DD97" s="38">
        <f t="shared" si="91"/>
        <v>0</v>
      </c>
      <c r="DE97" s="38">
        <f>Inputs!$C$19*(1-Inputs!$C$73*$H97)+Inputs!$C$21+Inputs!$B$73*$J97</f>
        <v>486000</v>
      </c>
      <c r="DF97" s="38">
        <f t="shared" si="92"/>
        <v>-481775.21916748484</v>
      </c>
      <c r="DG97" s="38">
        <f t="shared" si="93"/>
        <v>1</v>
      </c>
      <c r="DH97" s="38">
        <f>MAX(0,MIN(Inputs!$D$36,DM96,DI97+DJ97+DK97+Inputs!$D$6-DL96))</f>
        <v>0</v>
      </c>
      <c r="DI97" s="38">
        <f>Inputs!$D$27*(1+Inputs!$D$28)^($A97/12)*IF(Inputs!$B$73=1,$G97,1)*(1-Inputs!$C$73*$H97*(1-Inputs!$E$54*Inputs!$B$73))*(1+$I97)*IF(Inputs!$D$29=0,1,(MAX(DL96,0)/Inputs!$D$6)^Inputs!$D$29)</f>
        <v>4761.9705560992024</v>
      </c>
      <c r="DJ97" s="38">
        <f>Inputs!$D$32*DL96/Inputs!$D$6</f>
        <v>3078.4044775213843</v>
      </c>
      <c r="DK97" s="38">
        <f>Inputs!$D$33</f>
        <v>1500</v>
      </c>
      <c r="DL97" s="38">
        <f t="shared" si="94"/>
        <v>635658.65835181228</v>
      </c>
      <c r="DM97" s="38">
        <f t="shared" si="95"/>
        <v>0</v>
      </c>
      <c r="DN97" s="38">
        <f>Inputs!$D$19*(1-Inputs!$C$73*$H97)+Inputs!$D$21+Inputs!$B$73*$J97</f>
        <v>398150</v>
      </c>
      <c r="DO97" s="38">
        <f t="shared" si="96"/>
        <v>237508.65835181228</v>
      </c>
      <c r="DP97" s="38">
        <f t="shared" si="97"/>
        <v>0</v>
      </c>
    </row>
    <row r="98" spans="1:120" x14ac:dyDescent="0.35">
      <c r="A98" s="29">
        <v>93</v>
      </c>
      <c r="B98" s="34">
        <f>EDATE(Inputs!$B$67,$A98)</f>
        <v>49096</v>
      </c>
      <c r="C98" s="35">
        <f>IF(Inputs!$E$47&lt;=0,Inputs!$E$46,Inputs!$E$44+(Inputs!$E$46-Inputs!$E$44)*MIN($A98/Inputs!$E$47,1))</f>
        <v>0.7</v>
      </c>
      <c r="D98" s="35">
        <f>MIN(Inputs!$E$57,Inputs!$E$55*(1+Inputs!$E$56)^($A98/12))*Inputs!$E$58*(1+Inputs!$E$59)^($A98/12)/Inputs!$E$45</f>
        <v>1.5</v>
      </c>
      <c r="E98" s="35">
        <f>MAX(Inputs!$E$44,MIN(C98,D98))</f>
        <v>0.7</v>
      </c>
      <c r="F98" s="35">
        <f>IF(Inputs!$E$50&lt;=0,Inputs!$E$49,Inputs!$E$48+(Inputs!$E$49-Inputs!$E$48)*MIN($A98/Inputs!$E$50,1))</f>
        <v>0.12</v>
      </c>
      <c r="G98" s="36">
        <f>(Inputs!$E$41*(1-E98*Inputs!$E$51)+Inputs!$E$42*(1-F98*Inputs!$E$51))/(Inputs!$E$41*(1-Inputs!$E$44*Inputs!$E$51)+Inputs!$E$42*(1-Inputs!$E$48*Inputs!$E$51))</f>
        <v>0.8423127463863338</v>
      </c>
      <c r="H98" s="35">
        <f>IF(Inputs!$E$53&lt;=0,Inputs!$E$52,Inputs!$E$52*MIN($A98/Inputs!$E$53,1))</f>
        <v>0.1</v>
      </c>
      <c r="I98" s="35">
        <f>IF(Inputs!$E$64&lt;=0,Inputs!$E$63,Inputs!$E$62+(Inputs!$E$63-Inputs!$E$62)*MIN($A98/Inputs!$E$64,1))</f>
        <v>0.03</v>
      </c>
      <c r="J98" s="37">
        <f>(E98-Inputs!$E$44)*Inputs!$E$45/Inputs!$E$60*Inputs!$E$61</f>
        <v>5999.9999999999991</v>
      </c>
      <c r="K98" s="29">
        <f t="shared" si="49"/>
        <v>0</v>
      </c>
      <c r="L98" s="29"/>
      <c r="M98" s="38">
        <f>MAX(0,MIN(Inputs!$B$36,R97,N98+O98+P98+Inputs!$B$6-Q97))</f>
        <v>0</v>
      </c>
      <c r="N98" s="38">
        <f>Inputs!$B$27*(1+Inputs!$B$28)^($A98/12)*IF(Inputs!$B$70=1,$G98,1)*(1-Inputs!$C$70*$H98*(1-Inputs!$E$54*Inputs!$B$70))*(1+$I98)*IF(Inputs!$B$29=0,1,(MAX(Q97,0)/Inputs!$B$6)^Inputs!$B$29)</f>
        <v>22549.948353978274</v>
      </c>
      <c r="O98" s="38">
        <f>Inputs!$B$32*Q97/Inputs!$B$6</f>
        <v>0</v>
      </c>
      <c r="P98" s="38">
        <f>Inputs!$B$33</f>
        <v>2500</v>
      </c>
      <c r="Q98" s="38">
        <f t="shared" si="50"/>
        <v>0</v>
      </c>
      <c r="R98" s="38">
        <f t="shared" si="51"/>
        <v>0</v>
      </c>
      <c r="S98" s="38">
        <f>Inputs!$B$19*(1-Inputs!$C$70*$H98)+Inputs!$B$21+Inputs!$B$70*$J98</f>
        <v>595000</v>
      </c>
      <c r="T98" s="38">
        <f t="shared" si="52"/>
        <v>-595000</v>
      </c>
      <c r="U98" s="38">
        <f t="shared" si="53"/>
        <v>1</v>
      </c>
      <c r="V98" s="38">
        <f>MAX(0,MIN(Inputs!$C$36,AA97,W98+X98+Y98+Inputs!$C$6-Z97))</f>
        <v>0</v>
      </c>
      <c r="W98" s="38">
        <f>Inputs!$C$27*(1+Inputs!$C$28)^($A98/12)*IF(Inputs!$B$70=1,$G98,1)*(1-Inputs!$C$70*$H98*(1-Inputs!$E$54*Inputs!$B$70))*(1+$I98)*IF(Inputs!$C$29=0,1,(MAX(Z97,0)/Inputs!$C$6)^Inputs!$C$29)</f>
        <v>0</v>
      </c>
      <c r="X98" s="38">
        <f>Inputs!$C$32*Z97/Inputs!$C$6</f>
        <v>0</v>
      </c>
      <c r="Y98" s="38">
        <f>Inputs!$C$33</f>
        <v>2000</v>
      </c>
      <c r="Z98" s="38">
        <f t="shared" si="54"/>
        <v>0</v>
      </c>
      <c r="AA98" s="38">
        <f t="shared" si="55"/>
        <v>0</v>
      </c>
      <c r="AB98" s="38">
        <f>Inputs!$C$19*(1-Inputs!$C$70*$H98)+Inputs!$C$21+Inputs!$B$70*$J98</f>
        <v>495000</v>
      </c>
      <c r="AC98" s="38">
        <f t="shared" si="56"/>
        <v>-495000</v>
      </c>
      <c r="AD98" s="38">
        <f t="shared" si="57"/>
        <v>1</v>
      </c>
      <c r="AE98" s="38">
        <f>MAX(0,MIN(Inputs!$D$36,AJ97,AF98+AG98+AH98+Inputs!$D$6-AI97))</f>
        <v>0</v>
      </c>
      <c r="AF98" s="38">
        <f>Inputs!$D$27*(1+Inputs!$D$28)^($A98/12)*IF(Inputs!$B$70=1,$G98,1)*(1-Inputs!$C$70*$H98*(1-Inputs!$E$54*Inputs!$B$70))*(1+$I98)*IF(Inputs!$D$29=0,1,(MAX(AI97,0)/Inputs!$D$6)^Inputs!$D$29)</f>
        <v>5401.2660541883743</v>
      </c>
      <c r="AG98" s="38">
        <f>Inputs!$D$32*AI97/Inputs!$D$6</f>
        <v>2557.7029204075116</v>
      </c>
      <c r="AH98" s="38">
        <f>Inputs!$D$33</f>
        <v>1500</v>
      </c>
      <c r="AI98" s="38">
        <f t="shared" si="58"/>
        <v>526440.69053935888</v>
      </c>
      <c r="AJ98" s="38">
        <f t="shared" si="59"/>
        <v>0</v>
      </c>
      <c r="AK98" s="38">
        <f>Inputs!$D$19*(1-Inputs!$C$70*$H98)+Inputs!$D$21+Inputs!$B$70*$J98</f>
        <v>404800</v>
      </c>
      <c r="AL98" s="38">
        <f t="shared" si="60"/>
        <v>121640.69053935888</v>
      </c>
      <c r="AM98" s="38">
        <f t="shared" si="61"/>
        <v>0</v>
      </c>
      <c r="AN98" s="38">
        <f>MAX(0,MIN(Inputs!$B$36,AS97,AO98+AP98+AQ98+Inputs!$B$6-AR97))</f>
        <v>0</v>
      </c>
      <c r="AO98" s="38">
        <f>Inputs!$B$27*(1+Inputs!$B$28)^($A98/12)*IF(Inputs!$B$71=1,$G98,1)*(1-Inputs!$C$71*$H98*(1-Inputs!$E$54*Inputs!$B$71))*(1+$I98)*IF(Inputs!$B$29=0,1,(MAX(AR97,0)/Inputs!$B$6)^Inputs!$B$29)</f>
        <v>18994.108928909427</v>
      </c>
      <c r="AP98" s="38">
        <f>Inputs!$B$32*AR97/Inputs!$B$6</f>
        <v>0</v>
      </c>
      <c r="AQ98" s="38">
        <f>Inputs!$B$33</f>
        <v>2500</v>
      </c>
      <c r="AR98" s="38">
        <f t="shared" si="62"/>
        <v>0</v>
      </c>
      <c r="AS98" s="38">
        <f t="shared" si="63"/>
        <v>0</v>
      </c>
      <c r="AT98" s="38">
        <f>Inputs!$B$19*(1-Inputs!$C$71*$H98)+Inputs!$B$21+Inputs!$B$71*$J98</f>
        <v>601000</v>
      </c>
      <c r="AU98" s="38">
        <f t="shared" si="64"/>
        <v>-601000</v>
      </c>
      <c r="AV98" s="38">
        <f t="shared" si="65"/>
        <v>1</v>
      </c>
      <c r="AW98" s="38">
        <f>MAX(0,MIN(Inputs!$C$36,BB97,AX98+AY98+AZ98+Inputs!$C$6-BA97))</f>
        <v>0</v>
      </c>
      <c r="AX98" s="38">
        <f>Inputs!$C$27*(1+Inputs!$C$28)^($A98/12)*IF(Inputs!$B$71=1,$G98,1)*(1-Inputs!$C$71*$H98*(1-Inputs!$E$54*Inputs!$B$71))*(1+$I98)*IF(Inputs!$C$29=0,1,(MAX(BA97,0)/Inputs!$C$6)^Inputs!$C$29)</f>
        <v>0</v>
      </c>
      <c r="AY98" s="38">
        <f>Inputs!$C$32*BA97/Inputs!$C$6</f>
        <v>0</v>
      </c>
      <c r="AZ98" s="38">
        <f>Inputs!$C$33</f>
        <v>2000</v>
      </c>
      <c r="BA98" s="38">
        <f t="shared" si="66"/>
        <v>0</v>
      </c>
      <c r="BB98" s="38">
        <f t="shared" si="67"/>
        <v>0</v>
      </c>
      <c r="BC98" s="38">
        <f>Inputs!$C$19*(1-Inputs!$C$71*$H98)+Inputs!$C$21+Inputs!$B$71*$J98</f>
        <v>501000</v>
      </c>
      <c r="BD98" s="38">
        <f t="shared" si="68"/>
        <v>-501000</v>
      </c>
      <c r="BE98" s="38">
        <f t="shared" si="69"/>
        <v>1</v>
      </c>
      <c r="BF98" s="38">
        <f>MAX(0,MIN(Inputs!$D$36,BK97,BG98+BH98+BI98+Inputs!$D$6-BJ97))</f>
        <v>0</v>
      </c>
      <c r="BG98" s="38">
        <f>Inputs!$D$27*(1+Inputs!$D$28)^($A98/12)*IF(Inputs!$B$71=1,$G98,1)*(1-Inputs!$C$71*$H98*(1-Inputs!$E$54*Inputs!$B$71))*(1+$I98)*IF(Inputs!$D$29=0,1,(MAX(BJ97,0)/Inputs!$D$6)^Inputs!$D$29)</f>
        <v>4878.4763956905299</v>
      </c>
      <c r="BH98" s="38">
        <f>Inputs!$D$32*BJ97/Inputs!$D$6</f>
        <v>2940.9025203232873</v>
      </c>
      <c r="BI98" s="38">
        <f>Inputs!$D$33</f>
        <v>1500</v>
      </c>
      <c r="BJ98" s="38">
        <f t="shared" si="70"/>
        <v>606869.72058029391</v>
      </c>
      <c r="BK98" s="38">
        <f t="shared" si="71"/>
        <v>0</v>
      </c>
      <c r="BL98" s="38">
        <f>Inputs!$D$19*(1-Inputs!$C$71*$H98)+Inputs!$D$21+Inputs!$B$71*$J98</f>
        <v>410800</v>
      </c>
      <c r="BM98" s="38">
        <f t="shared" si="72"/>
        <v>196069.72058029391</v>
      </c>
      <c r="BN98" s="38">
        <f t="shared" si="73"/>
        <v>0</v>
      </c>
      <c r="BO98" s="38">
        <f>MAX(0,MIN(Inputs!$B$36,BT97,BP98+BQ98+BR98+Inputs!$B$6-BS97))</f>
        <v>0</v>
      </c>
      <c r="BP98" s="38">
        <f>Inputs!$B$27*(1+Inputs!$B$28)^($A98/12)*IF(Inputs!$B$72=1,$G98,1)*(1-Inputs!$C$72*$H98*(1-Inputs!$E$54*Inputs!$B$72))*(1+$I98)*IF(Inputs!$B$29=0,1,(MAX(BS97,0)/Inputs!$B$6)^Inputs!$B$29)</f>
        <v>20294.953518580449</v>
      </c>
      <c r="BQ98" s="38">
        <f>Inputs!$B$32*BS97/Inputs!$B$6</f>
        <v>0</v>
      </c>
      <c r="BR98" s="38">
        <f>Inputs!$B$33</f>
        <v>2500</v>
      </c>
      <c r="BS98" s="38">
        <f t="shared" si="74"/>
        <v>0</v>
      </c>
      <c r="BT98" s="38">
        <f t="shared" si="75"/>
        <v>0</v>
      </c>
      <c r="BU98" s="38">
        <f>Inputs!$B$19*(1-Inputs!$C$72*$H98)+Inputs!$B$21+Inputs!$B$72*$J98</f>
        <v>577500</v>
      </c>
      <c r="BV98" s="38">
        <f t="shared" si="76"/>
        <v>-577500</v>
      </c>
      <c r="BW98" s="38">
        <f t="shared" si="77"/>
        <v>1</v>
      </c>
      <c r="BX98" s="38">
        <f>MAX(0,MIN(Inputs!$C$36,CC97,BY98+BZ98+CA98+Inputs!$C$6-CB97))</f>
        <v>0</v>
      </c>
      <c r="BY98" s="38">
        <f>Inputs!$C$27*(1+Inputs!$C$28)^($A98/12)*IF(Inputs!$B$72=1,$G98,1)*(1-Inputs!$C$72*$H98*(1-Inputs!$E$54*Inputs!$B$72))*(1+$I98)*IF(Inputs!$C$29=0,1,(MAX(CB97,0)/Inputs!$C$6)^Inputs!$C$29)</f>
        <v>0</v>
      </c>
      <c r="BZ98" s="38">
        <f>Inputs!$C$32*CB97/Inputs!$C$6</f>
        <v>0</v>
      </c>
      <c r="CA98" s="38">
        <f>Inputs!$C$33</f>
        <v>2000</v>
      </c>
      <c r="CB98" s="38">
        <f t="shared" si="78"/>
        <v>0</v>
      </c>
      <c r="CC98" s="38">
        <f t="shared" si="79"/>
        <v>0</v>
      </c>
      <c r="CD98" s="38">
        <f>Inputs!$C$19*(1-Inputs!$C$72*$H98)+Inputs!$C$21+Inputs!$B$72*$J98</f>
        <v>480000</v>
      </c>
      <c r="CE98" s="38">
        <f t="shared" si="80"/>
        <v>-480000</v>
      </c>
      <c r="CF98" s="38">
        <f t="shared" si="81"/>
        <v>1</v>
      </c>
      <c r="CG98" s="38">
        <f>MAX(0,MIN(Inputs!$D$36,CL97,CH98+CI98+CJ98+Inputs!$D$6-CK97))</f>
        <v>0</v>
      </c>
      <c r="CH98" s="38">
        <f>Inputs!$D$27*(1+Inputs!$D$28)^($A98/12)*IF(Inputs!$B$72=1,$G98,1)*(1-Inputs!$C$72*$H98*(1-Inputs!$E$54*Inputs!$B$72))*(1+$I98)*IF(Inputs!$D$29=0,1,(MAX(CK97,0)/Inputs!$D$6)^Inputs!$D$29)</f>
        <v>5053.1038065922758</v>
      </c>
      <c r="CI98" s="38">
        <f>Inputs!$D$32*CK97/Inputs!$D$6</f>
        <v>2763.696702320176</v>
      </c>
      <c r="CJ98" s="38">
        <f>Inputs!$D$33</f>
        <v>1500</v>
      </c>
      <c r="CK98" s="38">
        <f t="shared" si="82"/>
        <v>569743.46092960064</v>
      </c>
      <c r="CL98" s="38">
        <f t="shared" si="83"/>
        <v>0</v>
      </c>
      <c r="CM98" s="38">
        <f>Inputs!$D$19*(1-Inputs!$C$72*$H98)+Inputs!$D$21+Inputs!$B$72*$J98</f>
        <v>392150</v>
      </c>
      <c r="CN98" s="38">
        <f t="shared" si="84"/>
        <v>177593.46092960064</v>
      </c>
      <c r="CO98" s="38">
        <f t="shared" si="85"/>
        <v>0</v>
      </c>
      <c r="CP98" s="38">
        <f>MAX(0,MIN(Inputs!$B$36,CU97,CQ98+CR98+CS98+Inputs!$B$6-CT97))</f>
        <v>0</v>
      </c>
      <c r="CQ98" s="38">
        <f>Inputs!$B$27*(1+Inputs!$B$28)^($A98/12)*IF(Inputs!$B$73=1,$G98,1)*(1-Inputs!$C$73*$H98*(1-Inputs!$E$54*Inputs!$B$73))*(1+$I98)*IF(Inputs!$B$29=0,1,(MAX(CT97,0)/Inputs!$B$6)^Inputs!$B$29)</f>
        <v>18044.403482463953</v>
      </c>
      <c r="CR98" s="38">
        <f>Inputs!$B$32*CT97/Inputs!$B$6</f>
        <v>0</v>
      </c>
      <c r="CS98" s="38">
        <f>Inputs!$B$33</f>
        <v>2500</v>
      </c>
      <c r="CT98" s="38">
        <f t="shared" si="86"/>
        <v>0</v>
      </c>
      <c r="CU98" s="38">
        <f t="shared" si="87"/>
        <v>0</v>
      </c>
      <c r="CV98" s="38">
        <f>Inputs!$B$19*(1-Inputs!$C$73*$H98)+Inputs!$B$21+Inputs!$B$73*$J98</f>
        <v>583500</v>
      </c>
      <c r="CW98" s="38">
        <f t="shared" si="88"/>
        <v>-583500</v>
      </c>
      <c r="CX98" s="38">
        <f t="shared" si="89"/>
        <v>1</v>
      </c>
      <c r="CY98" s="38">
        <f>MAX(0,MIN(Inputs!$C$36,DD97,CZ98+DA98+DB98+Inputs!$C$6-DC97))</f>
        <v>0</v>
      </c>
      <c r="CZ98" s="38">
        <f>Inputs!$C$27*(1+Inputs!$C$28)^($A98/12)*IF(Inputs!$B$73=1,$G98,1)*(1-Inputs!$C$73*$H98*(1-Inputs!$E$54*Inputs!$B$73))*(1+$I98)*IF(Inputs!$C$29=0,1,(MAX(DC97,0)/Inputs!$C$6)^Inputs!$C$29)</f>
        <v>2777.2998137588461</v>
      </c>
      <c r="DA98" s="38">
        <f>Inputs!$C$32*DC97/Inputs!$C$6</f>
        <v>35.646588274346591</v>
      </c>
      <c r="DB98" s="38">
        <f>Inputs!$C$33</f>
        <v>2000</v>
      </c>
      <c r="DC98" s="38">
        <f t="shared" si="90"/>
        <v>0</v>
      </c>
      <c r="DD98" s="38">
        <f t="shared" si="91"/>
        <v>0</v>
      </c>
      <c r="DE98" s="38">
        <f>Inputs!$C$19*(1-Inputs!$C$73*$H98)+Inputs!$C$21+Inputs!$B$73*$J98</f>
        <v>486000</v>
      </c>
      <c r="DF98" s="38">
        <f t="shared" si="92"/>
        <v>-486000</v>
      </c>
      <c r="DG98" s="38">
        <f t="shared" si="93"/>
        <v>1</v>
      </c>
      <c r="DH98" s="38">
        <f>MAX(0,MIN(Inputs!$D$36,DM97,DI98+DJ98+DK98+Inputs!$D$6-DL97))</f>
        <v>0</v>
      </c>
      <c r="DI98" s="38">
        <f>Inputs!$D$27*(1+Inputs!$D$28)^($A98/12)*IF(Inputs!$B$73=1,$G98,1)*(1-Inputs!$C$73*$H98*(1-Inputs!$E$54*Inputs!$B$73))*(1+$I98)*IF(Inputs!$D$29=0,1,(MAX(DL97,0)/Inputs!$D$6)^Inputs!$D$29)</f>
        <v>4707.2015181777988</v>
      </c>
      <c r="DJ98" s="38">
        <f>Inputs!$D$32*DL97/Inputs!$D$6</f>
        <v>3033.8254148609221</v>
      </c>
      <c r="DK98" s="38">
        <f>Inputs!$D$33</f>
        <v>1500</v>
      </c>
      <c r="DL98" s="38">
        <f t="shared" si="94"/>
        <v>626417.63141877356</v>
      </c>
      <c r="DM98" s="38">
        <f t="shared" si="95"/>
        <v>0</v>
      </c>
      <c r="DN98" s="38">
        <f>Inputs!$D$19*(1-Inputs!$C$73*$H98)+Inputs!$D$21+Inputs!$B$73*$J98</f>
        <v>398150</v>
      </c>
      <c r="DO98" s="38">
        <f t="shared" si="96"/>
        <v>228267.63141877356</v>
      </c>
      <c r="DP98" s="38">
        <f t="shared" si="97"/>
        <v>0</v>
      </c>
    </row>
    <row r="99" spans="1:120" x14ac:dyDescent="0.35">
      <c r="A99" s="29">
        <v>94</v>
      </c>
      <c r="B99" s="34">
        <f>EDATE(Inputs!$B$67,$A99)</f>
        <v>49126</v>
      </c>
      <c r="C99" s="35">
        <f>IF(Inputs!$E$47&lt;=0,Inputs!$E$46,Inputs!$E$44+(Inputs!$E$46-Inputs!$E$44)*MIN($A99/Inputs!$E$47,1))</f>
        <v>0.7</v>
      </c>
      <c r="D99" s="35">
        <f>MIN(Inputs!$E$57,Inputs!$E$55*(1+Inputs!$E$56)^($A99/12))*Inputs!$E$58*(1+Inputs!$E$59)^($A99/12)/Inputs!$E$45</f>
        <v>1.5</v>
      </c>
      <c r="E99" s="35">
        <f>MAX(Inputs!$E$44,MIN(C99,D99))</f>
        <v>0.7</v>
      </c>
      <c r="F99" s="35">
        <f>IF(Inputs!$E$50&lt;=0,Inputs!$E$49,Inputs!$E$48+(Inputs!$E$49-Inputs!$E$48)*MIN($A99/Inputs!$E$50,1))</f>
        <v>0.12</v>
      </c>
      <c r="G99" s="36">
        <f>(Inputs!$E$41*(1-E99*Inputs!$E$51)+Inputs!$E$42*(1-F99*Inputs!$E$51))/(Inputs!$E$41*(1-Inputs!$E$44*Inputs!$E$51)+Inputs!$E$42*(1-Inputs!$E$48*Inputs!$E$51))</f>
        <v>0.8423127463863338</v>
      </c>
      <c r="H99" s="35">
        <f>IF(Inputs!$E$53&lt;=0,Inputs!$E$52,Inputs!$E$52*MIN($A99/Inputs!$E$53,1))</f>
        <v>0.1</v>
      </c>
      <c r="I99" s="35">
        <f>IF(Inputs!$E$64&lt;=0,Inputs!$E$63,Inputs!$E$62+(Inputs!$E$63-Inputs!$E$62)*MIN($A99/Inputs!$E$64,1))</f>
        <v>0.03</v>
      </c>
      <c r="J99" s="37">
        <f>(E99-Inputs!$E$44)*Inputs!$E$45/Inputs!$E$60*Inputs!$E$61</f>
        <v>5999.9999999999991</v>
      </c>
      <c r="K99" s="29">
        <f t="shared" si="49"/>
        <v>0</v>
      </c>
      <c r="L99" s="29"/>
      <c r="M99" s="38">
        <f>MAX(0,MIN(Inputs!$B$36,R98,N99+O99+P99+Inputs!$B$6-Q98))</f>
        <v>0</v>
      </c>
      <c r="N99" s="38">
        <f>Inputs!$B$27*(1+Inputs!$B$28)^($A99/12)*IF(Inputs!$B$70=1,$G99,1)*(1-Inputs!$C$70*$H99*(1-Inputs!$E$54*Inputs!$B$70))*(1+$I99)*IF(Inputs!$B$29=0,1,(MAX(Q98,0)/Inputs!$B$6)^Inputs!$B$29)</f>
        <v>22641.819634887259</v>
      </c>
      <c r="O99" s="38">
        <f>Inputs!$B$32*Q98/Inputs!$B$6</f>
        <v>0</v>
      </c>
      <c r="P99" s="38">
        <f>Inputs!$B$33</f>
        <v>2500</v>
      </c>
      <c r="Q99" s="38">
        <f t="shared" si="50"/>
        <v>0</v>
      </c>
      <c r="R99" s="38">
        <f t="shared" si="51"/>
        <v>0</v>
      </c>
      <c r="S99" s="38">
        <f>Inputs!$B$19*(1-Inputs!$C$70*$H99)+Inputs!$B$21+Inputs!$B$70*$J99</f>
        <v>595000</v>
      </c>
      <c r="T99" s="38">
        <f t="shared" si="52"/>
        <v>-595000</v>
      </c>
      <c r="U99" s="38">
        <f t="shared" si="53"/>
        <v>1</v>
      </c>
      <c r="V99" s="38">
        <f>MAX(0,MIN(Inputs!$C$36,AA98,W99+X99+Y99+Inputs!$C$6-Z98))</f>
        <v>0</v>
      </c>
      <c r="W99" s="38">
        <f>Inputs!$C$27*(1+Inputs!$C$28)^($A99/12)*IF(Inputs!$B$70=1,$G99,1)*(1-Inputs!$C$70*$H99*(1-Inputs!$E$54*Inputs!$B$70))*(1+$I99)*IF(Inputs!$C$29=0,1,(MAX(Z98,0)/Inputs!$C$6)^Inputs!$C$29)</f>
        <v>0</v>
      </c>
      <c r="X99" s="38">
        <f>Inputs!$C$32*Z98/Inputs!$C$6</f>
        <v>0</v>
      </c>
      <c r="Y99" s="38">
        <f>Inputs!$C$33</f>
        <v>2000</v>
      </c>
      <c r="Z99" s="38">
        <f t="shared" si="54"/>
        <v>0</v>
      </c>
      <c r="AA99" s="38">
        <f t="shared" si="55"/>
        <v>0</v>
      </c>
      <c r="AB99" s="38">
        <f>Inputs!$C$19*(1-Inputs!$C$70*$H99)+Inputs!$C$21+Inputs!$B$70*$J99</f>
        <v>495000</v>
      </c>
      <c r="AC99" s="38">
        <f t="shared" si="56"/>
        <v>-495000</v>
      </c>
      <c r="AD99" s="38">
        <f t="shared" si="57"/>
        <v>1</v>
      </c>
      <c r="AE99" s="38">
        <f>MAX(0,MIN(Inputs!$D$36,AJ98,AF99+AG99+AH99+Inputs!$D$6-AI98))</f>
        <v>0</v>
      </c>
      <c r="AF99" s="38">
        <f>Inputs!$D$27*(1+Inputs!$D$28)^($A99/12)*IF(Inputs!$B$70=1,$G99,1)*(1-Inputs!$C$70*$H99*(1-Inputs!$E$54*Inputs!$B$70))*(1+$I99)*IF(Inputs!$D$29=0,1,(MAX(AI98,0)/Inputs!$D$6)^Inputs!$D$29)</f>
        <v>5330.5520511411687</v>
      </c>
      <c r="AG99" s="38">
        <f>Inputs!$D$32*AI98/Inputs!$D$6</f>
        <v>2512.5578412105765</v>
      </c>
      <c r="AH99" s="38">
        <f>Inputs!$D$33</f>
        <v>1500</v>
      </c>
      <c r="AI99" s="38">
        <f t="shared" si="58"/>
        <v>517097.58064700715</v>
      </c>
      <c r="AJ99" s="38">
        <f t="shared" si="59"/>
        <v>0</v>
      </c>
      <c r="AK99" s="38">
        <f>Inputs!$D$19*(1-Inputs!$C$70*$H99)+Inputs!$D$21+Inputs!$B$70*$J99</f>
        <v>404800</v>
      </c>
      <c r="AL99" s="38">
        <f t="shared" si="60"/>
        <v>112297.58064700715</v>
      </c>
      <c r="AM99" s="38">
        <f t="shared" si="61"/>
        <v>0</v>
      </c>
      <c r="AN99" s="38">
        <f>MAX(0,MIN(Inputs!$B$36,AS98,AO99+AP99+AQ99+Inputs!$B$6-AR98))</f>
        <v>0</v>
      </c>
      <c r="AO99" s="38">
        <f>Inputs!$B$27*(1+Inputs!$B$28)^($A99/12)*IF(Inputs!$B$71=1,$G99,1)*(1-Inputs!$C$71*$H99*(1-Inputs!$E$54*Inputs!$B$71))*(1+$I99)*IF(Inputs!$B$29=0,1,(MAX(AR98,0)/Inputs!$B$6)^Inputs!$B$29)</f>
        <v>19071.493279845901</v>
      </c>
      <c r="AP99" s="38">
        <f>Inputs!$B$32*AR98/Inputs!$B$6</f>
        <v>0</v>
      </c>
      <c r="AQ99" s="38">
        <f>Inputs!$B$33</f>
        <v>2500</v>
      </c>
      <c r="AR99" s="38">
        <f t="shared" si="62"/>
        <v>0</v>
      </c>
      <c r="AS99" s="38">
        <f t="shared" si="63"/>
        <v>0</v>
      </c>
      <c r="AT99" s="38">
        <f>Inputs!$B$19*(1-Inputs!$C$71*$H99)+Inputs!$B$21+Inputs!$B$71*$J99</f>
        <v>601000</v>
      </c>
      <c r="AU99" s="38">
        <f t="shared" si="64"/>
        <v>-601000</v>
      </c>
      <c r="AV99" s="38">
        <f t="shared" si="65"/>
        <v>1</v>
      </c>
      <c r="AW99" s="38">
        <f>MAX(0,MIN(Inputs!$C$36,BB98,AX99+AY99+AZ99+Inputs!$C$6-BA98))</f>
        <v>0</v>
      </c>
      <c r="AX99" s="38">
        <f>Inputs!$C$27*(1+Inputs!$C$28)^($A99/12)*IF(Inputs!$B$71=1,$G99,1)*(1-Inputs!$C$71*$H99*(1-Inputs!$E$54*Inputs!$B$71))*(1+$I99)*IF(Inputs!$C$29=0,1,(MAX(BA98,0)/Inputs!$C$6)^Inputs!$C$29)</f>
        <v>0</v>
      </c>
      <c r="AY99" s="38">
        <f>Inputs!$C$32*BA98/Inputs!$C$6</f>
        <v>0</v>
      </c>
      <c r="AZ99" s="38">
        <f>Inputs!$C$33</f>
        <v>2000</v>
      </c>
      <c r="BA99" s="38">
        <f t="shared" si="66"/>
        <v>0</v>
      </c>
      <c r="BB99" s="38">
        <f t="shared" si="67"/>
        <v>0</v>
      </c>
      <c r="BC99" s="38">
        <f>Inputs!$C$19*(1-Inputs!$C$71*$H99)+Inputs!$C$21+Inputs!$B$71*$J99</f>
        <v>501000</v>
      </c>
      <c r="BD99" s="38">
        <f t="shared" si="68"/>
        <v>-501000</v>
      </c>
      <c r="BE99" s="38">
        <f t="shared" si="69"/>
        <v>1</v>
      </c>
      <c r="BF99" s="38">
        <f>MAX(0,MIN(Inputs!$D$36,BK98,BG99+BH99+BI99+Inputs!$D$6-BJ98))</f>
        <v>0</v>
      </c>
      <c r="BG99" s="38">
        <f>Inputs!$D$27*(1+Inputs!$D$28)^($A99/12)*IF(Inputs!$B$71=1,$G99,1)*(1-Inputs!$C$71*$H99*(1-Inputs!$E$54*Inputs!$B$71))*(1+$I99)*IF(Inputs!$D$29=0,1,(MAX(BJ98,0)/Inputs!$D$6)^Inputs!$D$29)</f>
        <v>4820.7939657581064</v>
      </c>
      <c r="BH99" s="38">
        <f>Inputs!$D$32*BJ98/Inputs!$D$6</f>
        <v>2896.4236664059481</v>
      </c>
      <c r="BI99" s="38">
        <f>Inputs!$D$33</f>
        <v>1500</v>
      </c>
      <c r="BJ99" s="38">
        <f t="shared" si="70"/>
        <v>597652.5029481299</v>
      </c>
      <c r="BK99" s="38">
        <f t="shared" si="71"/>
        <v>0</v>
      </c>
      <c r="BL99" s="38">
        <f>Inputs!$D$19*(1-Inputs!$C$71*$H99)+Inputs!$D$21+Inputs!$B$71*$J99</f>
        <v>410800</v>
      </c>
      <c r="BM99" s="38">
        <f t="shared" si="72"/>
        <v>186852.5029481299</v>
      </c>
      <c r="BN99" s="38">
        <f t="shared" si="73"/>
        <v>0</v>
      </c>
      <c r="BO99" s="38">
        <f>MAX(0,MIN(Inputs!$B$36,BT98,BP99+BQ99+BR99+Inputs!$B$6-BS98))</f>
        <v>0</v>
      </c>
      <c r="BP99" s="38">
        <f>Inputs!$B$27*(1+Inputs!$B$28)^($A99/12)*IF(Inputs!$B$72=1,$G99,1)*(1-Inputs!$C$72*$H99*(1-Inputs!$E$54*Inputs!$B$72))*(1+$I99)*IF(Inputs!$B$29=0,1,(MAX(BS98,0)/Inputs!$B$6)^Inputs!$B$29)</f>
        <v>20377.637671398534</v>
      </c>
      <c r="BQ99" s="38">
        <f>Inputs!$B$32*BS98/Inputs!$B$6</f>
        <v>0</v>
      </c>
      <c r="BR99" s="38">
        <f>Inputs!$B$33</f>
        <v>2500</v>
      </c>
      <c r="BS99" s="38">
        <f t="shared" si="74"/>
        <v>0</v>
      </c>
      <c r="BT99" s="38">
        <f t="shared" si="75"/>
        <v>0</v>
      </c>
      <c r="BU99" s="38">
        <f>Inputs!$B$19*(1-Inputs!$C$72*$H99)+Inputs!$B$21+Inputs!$B$72*$J99</f>
        <v>577500</v>
      </c>
      <c r="BV99" s="38">
        <f t="shared" si="76"/>
        <v>-577500</v>
      </c>
      <c r="BW99" s="38">
        <f t="shared" si="77"/>
        <v>1</v>
      </c>
      <c r="BX99" s="38">
        <f>MAX(0,MIN(Inputs!$C$36,CC98,BY99+BZ99+CA99+Inputs!$C$6-CB98))</f>
        <v>0</v>
      </c>
      <c r="BY99" s="38">
        <f>Inputs!$C$27*(1+Inputs!$C$28)^($A99/12)*IF(Inputs!$B$72=1,$G99,1)*(1-Inputs!$C$72*$H99*(1-Inputs!$E$54*Inputs!$B$72))*(1+$I99)*IF(Inputs!$C$29=0,1,(MAX(CB98,0)/Inputs!$C$6)^Inputs!$C$29)</f>
        <v>0</v>
      </c>
      <c r="BZ99" s="38">
        <f>Inputs!$C$32*CB98/Inputs!$C$6</f>
        <v>0</v>
      </c>
      <c r="CA99" s="38">
        <f>Inputs!$C$33</f>
        <v>2000</v>
      </c>
      <c r="CB99" s="38">
        <f t="shared" si="78"/>
        <v>0</v>
      </c>
      <c r="CC99" s="38">
        <f t="shared" si="79"/>
        <v>0</v>
      </c>
      <c r="CD99" s="38">
        <f>Inputs!$C$19*(1-Inputs!$C$72*$H99)+Inputs!$C$21+Inputs!$B$72*$J99</f>
        <v>480000</v>
      </c>
      <c r="CE99" s="38">
        <f t="shared" si="80"/>
        <v>-480000</v>
      </c>
      <c r="CF99" s="38">
        <f t="shared" si="81"/>
        <v>1</v>
      </c>
      <c r="CG99" s="38">
        <f>MAX(0,MIN(Inputs!$D$36,CL98,CH99+CI99+CJ99+Inputs!$D$6-CK98))</f>
        <v>0</v>
      </c>
      <c r="CH99" s="38">
        <f>Inputs!$D$27*(1+Inputs!$D$28)^($A99/12)*IF(Inputs!$B$72=1,$G99,1)*(1-Inputs!$C$72*$H99*(1-Inputs!$E$54*Inputs!$B$72))*(1+$I99)*IF(Inputs!$D$29=0,1,(MAX(CK98,0)/Inputs!$D$6)^Inputs!$D$29)</f>
        <v>4990.9089556975714</v>
      </c>
      <c r="CI99" s="38">
        <f>Inputs!$D$32*CK98/Inputs!$D$6</f>
        <v>2719.2301544367301</v>
      </c>
      <c r="CJ99" s="38">
        <f>Inputs!$D$33</f>
        <v>1500</v>
      </c>
      <c r="CK99" s="38">
        <f t="shared" si="82"/>
        <v>560533.32181946631</v>
      </c>
      <c r="CL99" s="38">
        <f t="shared" si="83"/>
        <v>0</v>
      </c>
      <c r="CM99" s="38">
        <f>Inputs!$D$19*(1-Inputs!$C$72*$H99)+Inputs!$D$21+Inputs!$B$72*$J99</f>
        <v>392150</v>
      </c>
      <c r="CN99" s="38">
        <f t="shared" si="84"/>
        <v>168383.32181946631</v>
      </c>
      <c r="CO99" s="38">
        <f t="shared" si="85"/>
        <v>0</v>
      </c>
      <c r="CP99" s="38">
        <f>MAX(0,MIN(Inputs!$B$36,CU98,CQ99+CR99+CS99+Inputs!$B$6-CT98))</f>
        <v>0</v>
      </c>
      <c r="CQ99" s="38">
        <f>Inputs!$B$27*(1+Inputs!$B$28)^($A99/12)*IF(Inputs!$B$73=1,$G99,1)*(1-Inputs!$C$73*$H99*(1-Inputs!$E$54*Inputs!$B$73))*(1+$I99)*IF(Inputs!$B$29=0,1,(MAX(CT98,0)/Inputs!$B$6)^Inputs!$B$29)</f>
        <v>18117.918615853607</v>
      </c>
      <c r="CR99" s="38">
        <f>Inputs!$B$32*CT98/Inputs!$B$6</f>
        <v>0</v>
      </c>
      <c r="CS99" s="38">
        <f>Inputs!$B$33</f>
        <v>2500</v>
      </c>
      <c r="CT99" s="38">
        <f t="shared" si="86"/>
        <v>0</v>
      </c>
      <c r="CU99" s="38">
        <f t="shared" si="87"/>
        <v>0</v>
      </c>
      <c r="CV99" s="38">
        <f>Inputs!$B$19*(1-Inputs!$C$73*$H99)+Inputs!$B$21+Inputs!$B$73*$J99</f>
        <v>583500</v>
      </c>
      <c r="CW99" s="38">
        <f t="shared" si="88"/>
        <v>-583500</v>
      </c>
      <c r="CX99" s="38">
        <f t="shared" si="89"/>
        <v>1</v>
      </c>
      <c r="CY99" s="38">
        <f>MAX(0,MIN(Inputs!$C$36,DD98,CZ99+DA99+DB99+Inputs!$C$6-DC98))</f>
        <v>0</v>
      </c>
      <c r="CZ99" s="38">
        <f>Inputs!$C$27*(1+Inputs!$C$28)^($A99/12)*IF(Inputs!$B$73=1,$G99,1)*(1-Inputs!$C$73*$H99*(1-Inputs!$E$54*Inputs!$B$73))*(1+$I99)*IF(Inputs!$C$29=0,1,(MAX(DC98,0)/Inputs!$C$6)^Inputs!$C$29)</f>
        <v>0</v>
      </c>
      <c r="DA99" s="38">
        <f>Inputs!$C$32*DC98/Inputs!$C$6</f>
        <v>0</v>
      </c>
      <c r="DB99" s="38">
        <f>Inputs!$C$33</f>
        <v>2000</v>
      </c>
      <c r="DC99" s="38">
        <f t="shared" si="90"/>
        <v>0</v>
      </c>
      <c r="DD99" s="38">
        <f t="shared" si="91"/>
        <v>0</v>
      </c>
      <c r="DE99" s="38">
        <f>Inputs!$C$19*(1-Inputs!$C$73*$H99)+Inputs!$C$21+Inputs!$B$73*$J99</f>
        <v>486000</v>
      </c>
      <c r="DF99" s="38">
        <f t="shared" si="92"/>
        <v>-486000</v>
      </c>
      <c r="DG99" s="38">
        <f t="shared" si="93"/>
        <v>1</v>
      </c>
      <c r="DH99" s="38">
        <f>MAX(0,MIN(Inputs!$D$36,DM98,DI99+DJ99+DK99+Inputs!$D$6-DL98))</f>
        <v>0</v>
      </c>
      <c r="DI99" s="38">
        <f>Inputs!$D$27*(1+Inputs!$D$28)^($A99/12)*IF(Inputs!$B$73=1,$G99,1)*(1-Inputs!$C$73*$H99*(1-Inputs!$E$54*Inputs!$B$73))*(1+$I99)*IF(Inputs!$D$29=0,1,(MAX(DL98,0)/Inputs!$D$6)^Inputs!$D$29)</f>
        <v>4652.9290253370491</v>
      </c>
      <c r="DJ99" s="38">
        <f>Inputs!$D$32*DL98/Inputs!$D$6</f>
        <v>2989.7205135896011</v>
      </c>
      <c r="DK99" s="38">
        <f>Inputs!$D$33</f>
        <v>1500</v>
      </c>
      <c r="DL99" s="38">
        <f t="shared" si="94"/>
        <v>617274.98187984689</v>
      </c>
      <c r="DM99" s="38">
        <f t="shared" si="95"/>
        <v>0</v>
      </c>
      <c r="DN99" s="38">
        <f>Inputs!$D$19*(1-Inputs!$C$73*$H99)+Inputs!$D$21+Inputs!$B$73*$J99</f>
        <v>398150</v>
      </c>
      <c r="DO99" s="38">
        <f t="shared" si="96"/>
        <v>219124.98187984689</v>
      </c>
      <c r="DP99" s="38">
        <f t="shared" si="97"/>
        <v>0</v>
      </c>
    </row>
    <row r="100" spans="1:120" x14ac:dyDescent="0.35">
      <c r="A100" s="29">
        <v>95</v>
      </c>
      <c r="B100" s="34">
        <f>EDATE(Inputs!$B$67,$A100)</f>
        <v>49157</v>
      </c>
      <c r="C100" s="35">
        <f>IF(Inputs!$E$47&lt;=0,Inputs!$E$46,Inputs!$E$44+(Inputs!$E$46-Inputs!$E$44)*MIN($A100/Inputs!$E$47,1))</f>
        <v>0.7</v>
      </c>
      <c r="D100" s="35">
        <f>MIN(Inputs!$E$57,Inputs!$E$55*(1+Inputs!$E$56)^($A100/12))*Inputs!$E$58*(1+Inputs!$E$59)^($A100/12)/Inputs!$E$45</f>
        <v>1.5</v>
      </c>
      <c r="E100" s="35">
        <f>MAX(Inputs!$E$44,MIN(C100,D100))</f>
        <v>0.7</v>
      </c>
      <c r="F100" s="35">
        <f>IF(Inputs!$E$50&lt;=0,Inputs!$E$49,Inputs!$E$48+(Inputs!$E$49-Inputs!$E$48)*MIN($A100/Inputs!$E$50,1))</f>
        <v>0.12</v>
      </c>
      <c r="G100" s="36">
        <f>(Inputs!$E$41*(1-E100*Inputs!$E$51)+Inputs!$E$42*(1-F100*Inputs!$E$51))/(Inputs!$E$41*(1-Inputs!$E$44*Inputs!$E$51)+Inputs!$E$42*(1-Inputs!$E$48*Inputs!$E$51))</f>
        <v>0.8423127463863338</v>
      </c>
      <c r="H100" s="35">
        <f>IF(Inputs!$E$53&lt;=0,Inputs!$E$52,Inputs!$E$52*MIN($A100/Inputs!$E$53,1))</f>
        <v>0.1</v>
      </c>
      <c r="I100" s="35">
        <f>IF(Inputs!$E$64&lt;=0,Inputs!$E$63,Inputs!$E$62+(Inputs!$E$63-Inputs!$E$62)*MIN($A100/Inputs!$E$64,1))</f>
        <v>0.03</v>
      </c>
      <c r="J100" s="37">
        <f>(E100-Inputs!$E$44)*Inputs!$E$45/Inputs!$E$60*Inputs!$E$61</f>
        <v>5999.9999999999991</v>
      </c>
      <c r="K100" s="29">
        <f t="shared" si="49"/>
        <v>0</v>
      </c>
      <c r="L100" s="29"/>
      <c r="M100" s="38">
        <f>MAX(0,MIN(Inputs!$B$36,R99,N100+O100+P100+Inputs!$B$6-Q99))</f>
        <v>0</v>
      </c>
      <c r="N100" s="38">
        <f>Inputs!$B$27*(1+Inputs!$B$28)^($A100/12)*IF(Inputs!$B$70=1,$G100,1)*(1-Inputs!$C$70*$H100*(1-Inputs!$E$54*Inputs!$B$70))*(1+$I100)*IF(Inputs!$B$29=0,1,(MAX(Q99,0)/Inputs!$B$6)^Inputs!$B$29)</f>
        <v>22734.065210766828</v>
      </c>
      <c r="O100" s="38">
        <f>Inputs!$B$32*Q99/Inputs!$B$6</f>
        <v>0</v>
      </c>
      <c r="P100" s="38">
        <f>Inputs!$B$33</f>
        <v>2500</v>
      </c>
      <c r="Q100" s="38">
        <f t="shared" si="50"/>
        <v>0</v>
      </c>
      <c r="R100" s="38">
        <f t="shared" si="51"/>
        <v>0</v>
      </c>
      <c r="S100" s="38">
        <f>Inputs!$B$19*(1-Inputs!$C$70*$H100)+Inputs!$B$21+Inputs!$B$70*$J100</f>
        <v>595000</v>
      </c>
      <c r="T100" s="38">
        <f t="shared" si="52"/>
        <v>-595000</v>
      </c>
      <c r="U100" s="38">
        <f t="shared" si="53"/>
        <v>1</v>
      </c>
      <c r="V100" s="38">
        <f>MAX(0,MIN(Inputs!$C$36,AA99,W100+X100+Y100+Inputs!$C$6-Z99))</f>
        <v>0</v>
      </c>
      <c r="W100" s="38">
        <f>Inputs!$C$27*(1+Inputs!$C$28)^($A100/12)*IF(Inputs!$B$70=1,$G100,1)*(1-Inputs!$C$70*$H100*(1-Inputs!$E$54*Inputs!$B$70))*(1+$I100)*IF(Inputs!$C$29=0,1,(MAX(Z99,0)/Inputs!$C$6)^Inputs!$C$29)</f>
        <v>0</v>
      </c>
      <c r="X100" s="38">
        <f>Inputs!$C$32*Z99/Inputs!$C$6</f>
        <v>0</v>
      </c>
      <c r="Y100" s="38">
        <f>Inputs!$C$33</f>
        <v>2000</v>
      </c>
      <c r="Z100" s="38">
        <f t="shared" si="54"/>
        <v>0</v>
      </c>
      <c r="AA100" s="38">
        <f t="shared" si="55"/>
        <v>0</v>
      </c>
      <c r="AB100" s="38">
        <f>Inputs!$C$19*(1-Inputs!$C$70*$H100)+Inputs!$C$21+Inputs!$B$70*$J100</f>
        <v>495000</v>
      </c>
      <c r="AC100" s="38">
        <f t="shared" si="56"/>
        <v>-495000</v>
      </c>
      <c r="AD100" s="38">
        <f t="shared" si="57"/>
        <v>1</v>
      </c>
      <c r="AE100" s="38">
        <f>MAX(0,MIN(Inputs!$D$36,AJ99,AF100+AG100+AH100+Inputs!$D$6-AI99))</f>
        <v>0</v>
      </c>
      <c r="AF100" s="38">
        <f>Inputs!$D$27*(1+Inputs!$D$28)^($A100/12)*IF(Inputs!$B$70=1,$G100,1)*(1-Inputs!$C$70*$H100*(1-Inputs!$E$54*Inputs!$B$70))*(1+$I100)*IF(Inputs!$D$29=0,1,(MAX(AI99,0)/Inputs!$D$6)^Inputs!$D$29)</f>
        <v>5260.5039384332313</v>
      </c>
      <c r="AG100" s="38">
        <f>Inputs!$D$32*AI99/Inputs!$D$6</f>
        <v>2467.9657258152615</v>
      </c>
      <c r="AH100" s="38">
        <f>Inputs!$D$33</f>
        <v>1500</v>
      </c>
      <c r="AI100" s="38">
        <f t="shared" si="58"/>
        <v>507869.11098275863</v>
      </c>
      <c r="AJ100" s="38">
        <f t="shared" si="59"/>
        <v>0</v>
      </c>
      <c r="AK100" s="38">
        <f>Inputs!$D$19*(1-Inputs!$C$70*$H100)+Inputs!$D$21+Inputs!$B$70*$J100</f>
        <v>404800</v>
      </c>
      <c r="AL100" s="38">
        <f t="shared" si="60"/>
        <v>103069.11098275863</v>
      </c>
      <c r="AM100" s="38">
        <f t="shared" si="61"/>
        <v>0</v>
      </c>
      <c r="AN100" s="38">
        <f>MAX(0,MIN(Inputs!$B$36,AS99,AO100+AP100+AQ100+Inputs!$B$6-AR99))</f>
        <v>0</v>
      </c>
      <c r="AO100" s="38">
        <f>Inputs!$B$27*(1+Inputs!$B$28)^($A100/12)*IF(Inputs!$B$71=1,$G100,1)*(1-Inputs!$C$71*$H100*(1-Inputs!$E$54*Inputs!$B$71))*(1+$I100)*IF(Inputs!$B$29=0,1,(MAX(AR99,0)/Inputs!$B$6)^Inputs!$B$29)</f>
        <v>19149.192904207011</v>
      </c>
      <c r="AP100" s="38">
        <f>Inputs!$B$32*AR99/Inputs!$B$6</f>
        <v>0</v>
      </c>
      <c r="AQ100" s="38">
        <f>Inputs!$B$33</f>
        <v>2500</v>
      </c>
      <c r="AR100" s="38">
        <f t="shared" si="62"/>
        <v>0</v>
      </c>
      <c r="AS100" s="38">
        <f t="shared" si="63"/>
        <v>0</v>
      </c>
      <c r="AT100" s="38">
        <f>Inputs!$B$19*(1-Inputs!$C$71*$H100)+Inputs!$B$21+Inputs!$B$71*$J100</f>
        <v>601000</v>
      </c>
      <c r="AU100" s="38">
        <f t="shared" si="64"/>
        <v>-601000</v>
      </c>
      <c r="AV100" s="38">
        <f t="shared" si="65"/>
        <v>1</v>
      </c>
      <c r="AW100" s="38">
        <f>MAX(0,MIN(Inputs!$C$36,BB99,AX100+AY100+AZ100+Inputs!$C$6-BA99))</f>
        <v>0</v>
      </c>
      <c r="AX100" s="38">
        <f>Inputs!$C$27*(1+Inputs!$C$28)^($A100/12)*IF(Inputs!$B$71=1,$G100,1)*(1-Inputs!$C$71*$H100*(1-Inputs!$E$54*Inputs!$B$71))*(1+$I100)*IF(Inputs!$C$29=0,1,(MAX(BA99,0)/Inputs!$C$6)^Inputs!$C$29)</f>
        <v>0</v>
      </c>
      <c r="AY100" s="38">
        <f>Inputs!$C$32*BA99/Inputs!$C$6</f>
        <v>0</v>
      </c>
      <c r="AZ100" s="38">
        <f>Inputs!$C$33</f>
        <v>2000</v>
      </c>
      <c r="BA100" s="38">
        <f t="shared" si="66"/>
        <v>0</v>
      </c>
      <c r="BB100" s="38">
        <f t="shared" si="67"/>
        <v>0</v>
      </c>
      <c r="BC100" s="38">
        <f>Inputs!$C$19*(1-Inputs!$C$71*$H100)+Inputs!$C$21+Inputs!$B$71*$J100</f>
        <v>501000</v>
      </c>
      <c r="BD100" s="38">
        <f t="shared" si="68"/>
        <v>-501000</v>
      </c>
      <c r="BE100" s="38">
        <f t="shared" si="69"/>
        <v>1</v>
      </c>
      <c r="BF100" s="38">
        <f>MAX(0,MIN(Inputs!$D$36,BK99,BG100+BH100+BI100+Inputs!$D$6-BJ99))</f>
        <v>0</v>
      </c>
      <c r="BG100" s="38">
        <f>Inputs!$D$27*(1+Inputs!$D$28)^($A100/12)*IF(Inputs!$B$71=1,$G100,1)*(1-Inputs!$C$71*$H100*(1-Inputs!$E$54*Inputs!$B$71))*(1+$I100)*IF(Inputs!$D$29=0,1,(MAX(BJ99,0)/Inputs!$D$6)^Inputs!$D$29)</f>
        <v>4763.6389897229446</v>
      </c>
      <c r="BH100" s="38">
        <f>Inputs!$D$32*BJ99/Inputs!$D$6</f>
        <v>2852.4324004342561</v>
      </c>
      <c r="BI100" s="38">
        <f>Inputs!$D$33</f>
        <v>1500</v>
      </c>
      <c r="BJ100" s="38">
        <f t="shared" si="70"/>
        <v>588536.43155797268</v>
      </c>
      <c r="BK100" s="38">
        <f t="shared" si="71"/>
        <v>0</v>
      </c>
      <c r="BL100" s="38">
        <f>Inputs!$D$19*(1-Inputs!$C$71*$H100)+Inputs!$D$21+Inputs!$B$71*$J100</f>
        <v>410800</v>
      </c>
      <c r="BM100" s="38">
        <f t="shared" si="72"/>
        <v>177736.43155797268</v>
      </c>
      <c r="BN100" s="38">
        <f t="shared" si="73"/>
        <v>0</v>
      </c>
      <c r="BO100" s="38">
        <f>MAX(0,MIN(Inputs!$B$36,BT99,BP100+BQ100+BR100+Inputs!$B$6-BS99))</f>
        <v>0</v>
      </c>
      <c r="BP100" s="38">
        <f>Inputs!$B$27*(1+Inputs!$B$28)^($A100/12)*IF(Inputs!$B$72=1,$G100,1)*(1-Inputs!$C$72*$H100*(1-Inputs!$E$54*Inputs!$B$72))*(1+$I100)*IF(Inputs!$B$29=0,1,(MAX(BS99,0)/Inputs!$B$6)^Inputs!$B$29)</f>
        <v>20460.658689690146</v>
      </c>
      <c r="BQ100" s="38">
        <f>Inputs!$B$32*BS99/Inputs!$B$6</f>
        <v>0</v>
      </c>
      <c r="BR100" s="38">
        <f>Inputs!$B$33</f>
        <v>2500</v>
      </c>
      <c r="BS100" s="38">
        <f t="shared" si="74"/>
        <v>0</v>
      </c>
      <c r="BT100" s="38">
        <f t="shared" si="75"/>
        <v>0</v>
      </c>
      <c r="BU100" s="38">
        <f>Inputs!$B$19*(1-Inputs!$C$72*$H100)+Inputs!$B$21+Inputs!$B$72*$J100</f>
        <v>577500</v>
      </c>
      <c r="BV100" s="38">
        <f t="shared" si="76"/>
        <v>-577500</v>
      </c>
      <c r="BW100" s="38">
        <f t="shared" si="77"/>
        <v>1</v>
      </c>
      <c r="BX100" s="38">
        <f>MAX(0,MIN(Inputs!$C$36,CC99,BY100+BZ100+CA100+Inputs!$C$6-CB99))</f>
        <v>0</v>
      </c>
      <c r="BY100" s="38">
        <f>Inputs!$C$27*(1+Inputs!$C$28)^($A100/12)*IF(Inputs!$B$72=1,$G100,1)*(1-Inputs!$C$72*$H100*(1-Inputs!$E$54*Inputs!$B$72))*(1+$I100)*IF(Inputs!$C$29=0,1,(MAX(CB99,0)/Inputs!$C$6)^Inputs!$C$29)</f>
        <v>0</v>
      </c>
      <c r="BZ100" s="38">
        <f>Inputs!$C$32*CB99/Inputs!$C$6</f>
        <v>0</v>
      </c>
      <c r="CA100" s="38">
        <f>Inputs!$C$33</f>
        <v>2000</v>
      </c>
      <c r="CB100" s="38">
        <f t="shared" si="78"/>
        <v>0</v>
      </c>
      <c r="CC100" s="38">
        <f t="shared" si="79"/>
        <v>0</v>
      </c>
      <c r="CD100" s="38">
        <f>Inputs!$C$19*(1-Inputs!$C$72*$H100)+Inputs!$C$21+Inputs!$B$72*$J100</f>
        <v>480000</v>
      </c>
      <c r="CE100" s="38">
        <f t="shared" si="80"/>
        <v>-480000</v>
      </c>
      <c r="CF100" s="38">
        <f t="shared" si="81"/>
        <v>1</v>
      </c>
      <c r="CG100" s="38">
        <f>MAX(0,MIN(Inputs!$D$36,CL99,CH100+CI100+CJ100+Inputs!$D$6-CK99))</f>
        <v>0</v>
      </c>
      <c r="CH100" s="38">
        <f>Inputs!$D$27*(1+Inputs!$D$28)^($A100/12)*IF(Inputs!$B$72=1,$G100,1)*(1-Inputs!$C$72*$H100*(1-Inputs!$E$54*Inputs!$B$72))*(1+$I100)*IF(Inputs!$D$29=0,1,(MAX(CK99,0)/Inputs!$D$6)^Inputs!$D$29)</f>
        <v>4929.2894870627497</v>
      </c>
      <c r="CI100" s="38">
        <f>Inputs!$D$32*CK99/Inputs!$D$6</f>
        <v>2675.2726723201799</v>
      </c>
      <c r="CJ100" s="38">
        <f>Inputs!$D$33</f>
        <v>1500</v>
      </c>
      <c r="CK100" s="38">
        <f t="shared" si="82"/>
        <v>551428.75966008345</v>
      </c>
      <c r="CL100" s="38">
        <f t="shared" si="83"/>
        <v>0</v>
      </c>
      <c r="CM100" s="38">
        <f>Inputs!$D$19*(1-Inputs!$C$72*$H100)+Inputs!$D$21+Inputs!$B$72*$J100</f>
        <v>392150</v>
      </c>
      <c r="CN100" s="38">
        <f t="shared" si="84"/>
        <v>159278.75966008345</v>
      </c>
      <c r="CO100" s="38">
        <f t="shared" si="85"/>
        <v>0</v>
      </c>
      <c r="CP100" s="38">
        <f>MAX(0,MIN(Inputs!$B$36,CU99,CQ100+CR100+CS100+Inputs!$B$6-CT99))</f>
        <v>0</v>
      </c>
      <c r="CQ100" s="38">
        <f>Inputs!$B$27*(1+Inputs!$B$28)^($A100/12)*IF(Inputs!$B$73=1,$G100,1)*(1-Inputs!$C$73*$H100*(1-Inputs!$E$54*Inputs!$B$73))*(1+$I100)*IF(Inputs!$B$29=0,1,(MAX(CT99,0)/Inputs!$B$6)^Inputs!$B$29)</f>
        <v>18191.733258996661</v>
      </c>
      <c r="CR100" s="38">
        <f>Inputs!$B$32*CT99/Inputs!$B$6</f>
        <v>0</v>
      </c>
      <c r="CS100" s="38">
        <f>Inputs!$B$33</f>
        <v>2500</v>
      </c>
      <c r="CT100" s="38">
        <f t="shared" si="86"/>
        <v>0</v>
      </c>
      <c r="CU100" s="38">
        <f t="shared" si="87"/>
        <v>0</v>
      </c>
      <c r="CV100" s="38">
        <f>Inputs!$B$19*(1-Inputs!$C$73*$H100)+Inputs!$B$21+Inputs!$B$73*$J100</f>
        <v>583500</v>
      </c>
      <c r="CW100" s="38">
        <f t="shared" si="88"/>
        <v>-583500</v>
      </c>
      <c r="CX100" s="38">
        <f t="shared" si="89"/>
        <v>1</v>
      </c>
      <c r="CY100" s="38">
        <f>MAX(0,MIN(Inputs!$C$36,DD99,CZ100+DA100+DB100+Inputs!$C$6-DC99))</f>
        <v>0</v>
      </c>
      <c r="CZ100" s="38">
        <f>Inputs!$C$27*(1+Inputs!$C$28)^($A100/12)*IF(Inputs!$B$73=1,$G100,1)*(1-Inputs!$C$73*$H100*(1-Inputs!$E$54*Inputs!$B$73))*(1+$I100)*IF(Inputs!$C$29=0,1,(MAX(DC99,0)/Inputs!$C$6)^Inputs!$C$29)</f>
        <v>0</v>
      </c>
      <c r="DA100" s="38">
        <f>Inputs!$C$32*DC99/Inputs!$C$6</f>
        <v>0</v>
      </c>
      <c r="DB100" s="38">
        <f>Inputs!$C$33</f>
        <v>2000</v>
      </c>
      <c r="DC100" s="38">
        <f t="shared" si="90"/>
        <v>0</v>
      </c>
      <c r="DD100" s="38">
        <f t="shared" si="91"/>
        <v>0</v>
      </c>
      <c r="DE100" s="38">
        <f>Inputs!$C$19*(1-Inputs!$C$73*$H100)+Inputs!$C$21+Inputs!$B$73*$J100</f>
        <v>486000</v>
      </c>
      <c r="DF100" s="38">
        <f t="shared" si="92"/>
        <v>-486000</v>
      </c>
      <c r="DG100" s="38">
        <f t="shared" si="93"/>
        <v>1</v>
      </c>
      <c r="DH100" s="38">
        <f>MAX(0,MIN(Inputs!$D$36,DM99,DI100+DJ100+DK100+Inputs!$D$6-DL99))</f>
        <v>0</v>
      </c>
      <c r="DI100" s="38">
        <f>Inputs!$D$27*(1+Inputs!$D$28)^($A100/12)*IF(Inputs!$B$73=1,$G100,1)*(1-Inputs!$C$73*$H100*(1-Inputs!$E$54*Inputs!$B$73))*(1+$I100)*IF(Inputs!$D$29=0,1,(MAX(DL99,0)/Inputs!$D$6)^Inputs!$D$29)</f>
        <v>4599.1482918591455</v>
      </c>
      <c r="DJ100" s="38">
        <f>Inputs!$D$32*DL99/Inputs!$D$6</f>
        <v>2946.0851407901787</v>
      </c>
      <c r="DK100" s="38">
        <f>Inputs!$D$33</f>
        <v>1500</v>
      </c>
      <c r="DL100" s="38">
        <f t="shared" si="94"/>
        <v>608229.74844719749</v>
      </c>
      <c r="DM100" s="38">
        <f t="shared" si="95"/>
        <v>0</v>
      </c>
      <c r="DN100" s="38">
        <f>Inputs!$D$19*(1-Inputs!$C$73*$H100)+Inputs!$D$21+Inputs!$B$73*$J100</f>
        <v>398150</v>
      </c>
      <c r="DO100" s="38">
        <f t="shared" si="96"/>
        <v>210079.74844719749</v>
      </c>
      <c r="DP100" s="38">
        <f t="shared" si="97"/>
        <v>0</v>
      </c>
    </row>
    <row r="101" spans="1:120" x14ac:dyDescent="0.35">
      <c r="A101" s="29">
        <v>96</v>
      </c>
      <c r="B101" s="34">
        <f>EDATE(Inputs!$B$67,$A101)</f>
        <v>49188</v>
      </c>
      <c r="C101" s="35">
        <f>IF(Inputs!$E$47&lt;=0,Inputs!$E$46,Inputs!$E$44+(Inputs!$E$46-Inputs!$E$44)*MIN($A101/Inputs!$E$47,1))</f>
        <v>0.7</v>
      </c>
      <c r="D101" s="35">
        <f>MIN(Inputs!$E$57,Inputs!$E$55*(1+Inputs!$E$56)^($A101/12))*Inputs!$E$58*(1+Inputs!$E$59)^($A101/12)/Inputs!$E$45</f>
        <v>1.5</v>
      </c>
      <c r="E101" s="35">
        <f>MAX(Inputs!$E$44,MIN(C101,D101))</f>
        <v>0.7</v>
      </c>
      <c r="F101" s="35">
        <f>IF(Inputs!$E$50&lt;=0,Inputs!$E$49,Inputs!$E$48+(Inputs!$E$49-Inputs!$E$48)*MIN($A101/Inputs!$E$50,1))</f>
        <v>0.12</v>
      </c>
      <c r="G101" s="36">
        <f>(Inputs!$E$41*(1-E101*Inputs!$E$51)+Inputs!$E$42*(1-F101*Inputs!$E$51))/(Inputs!$E$41*(1-Inputs!$E$44*Inputs!$E$51)+Inputs!$E$42*(1-Inputs!$E$48*Inputs!$E$51))</f>
        <v>0.8423127463863338</v>
      </c>
      <c r="H101" s="35">
        <f>IF(Inputs!$E$53&lt;=0,Inputs!$E$52,Inputs!$E$52*MIN($A101/Inputs!$E$53,1))</f>
        <v>0.1</v>
      </c>
      <c r="I101" s="35">
        <f>IF(Inputs!$E$64&lt;=0,Inputs!$E$63,Inputs!$E$62+(Inputs!$E$63-Inputs!$E$62)*MIN($A101/Inputs!$E$64,1))</f>
        <v>0.03</v>
      </c>
      <c r="J101" s="37">
        <f>(E101-Inputs!$E$44)*Inputs!$E$45/Inputs!$E$60*Inputs!$E$61</f>
        <v>5999.9999999999991</v>
      </c>
      <c r="K101" s="29">
        <f t="shared" si="49"/>
        <v>0</v>
      </c>
      <c r="L101" s="29"/>
      <c r="M101" s="38">
        <f>MAX(0,MIN(Inputs!$B$36,R100,N101+O101+P101+Inputs!$B$6-Q100))</f>
        <v>0</v>
      </c>
      <c r="N101" s="38">
        <f>Inputs!$B$27*(1+Inputs!$B$28)^($A101/12)*IF(Inputs!$B$70=1,$G101,1)*(1-Inputs!$C$70*$H101*(1-Inputs!$E$54*Inputs!$B$70))*(1+$I101)*IF(Inputs!$B$29=0,1,(MAX(Q100,0)/Inputs!$B$6)^Inputs!$B$29)</f>
        <v>22826.686606541014</v>
      </c>
      <c r="O101" s="38">
        <f>Inputs!$B$32*Q100/Inputs!$B$6</f>
        <v>0</v>
      </c>
      <c r="P101" s="38">
        <f>Inputs!$B$33</f>
        <v>2500</v>
      </c>
      <c r="Q101" s="38">
        <f t="shared" si="50"/>
        <v>0</v>
      </c>
      <c r="R101" s="38">
        <f t="shared" si="51"/>
        <v>0</v>
      </c>
      <c r="S101" s="38">
        <f>Inputs!$B$19*(1-Inputs!$C$70*$H101)+Inputs!$B$21+Inputs!$B$70*$J101</f>
        <v>595000</v>
      </c>
      <c r="T101" s="38">
        <f t="shared" si="52"/>
        <v>-595000</v>
      </c>
      <c r="U101" s="38">
        <f t="shared" si="53"/>
        <v>1</v>
      </c>
      <c r="V101" s="38">
        <f>MAX(0,MIN(Inputs!$C$36,AA100,W101+X101+Y101+Inputs!$C$6-Z100))</f>
        <v>0</v>
      </c>
      <c r="W101" s="38">
        <f>Inputs!$C$27*(1+Inputs!$C$28)^($A101/12)*IF(Inputs!$B$70=1,$G101,1)*(1-Inputs!$C$70*$H101*(1-Inputs!$E$54*Inputs!$B$70))*(1+$I101)*IF(Inputs!$C$29=0,1,(MAX(Z100,0)/Inputs!$C$6)^Inputs!$C$29)</f>
        <v>0</v>
      </c>
      <c r="X101" s="38">
        <f>Inputs!$C$32*Z100/Inputs!$C$6</f>
        <v>0</v>
      </c>
      <c r="Y101" s="38">
        <f>Inputs!$C$33</f>
        <v>2000</v>
      </c>
      <c r="Z101" s="38">
        <f t="shared" si="54"/>
        <v>0</v>
      </c>
      <c r="AA101" s="38">
        <f t="shared" si="55"/>
        <v>0</v>
      </c>
      <c r="AB101" s="38">
        <f>Inputs!$C$19*(1-Inputs!$C$70*$H101)+Inputs!$C$21+Inputs!$B$70*$J101</f>
        <v>495000</v>
      </c>
      <c r="AC101" s="38">
        <f t="shared" si="56"/>
        <v>-495000</v>
      </c>
      <c r="AD101" s="38">
        <f t="shared" si="57"/>
        <v>1</v>
      </c>
      <c r="AE101" s="38">
        <f>MAX(0,MIN(Inputs!$D$36,AJ100,AF101+AG101+AH101+Inputs!$D$6-AI100))</f>
        <v>0</v>
      </c>
      <c r="AF101" s="38">
        <f>Inputs!$D$27*(1+Inputs!$D$28)^($A101/12)*IF(Inputs!$B$70=1,$G101,1)*(1-Inputs!$C$70*$H101*(1-Inputs!$E$54*Inputs!$B$70))*(1+$I101)*IF(Inputs!$D$29=0,1,(MAX(AI100,0)/Inputs!$D$6)^Inputs!$D$29)</f>
        <v>5191.1147689365807</v>
      </c>
      <c r="AG101" s="38">
        <f>Inputs!$D$32*AI100/Inputs!$D$6</f>
        <v>2423.9207569631662</v>
      </c>
      <c r="AH101" s="38">
        <f>Inputs!$D$33</f>
        <v>1500</v>
      </c>
      <c r="AI101" s="38">
        <f t="shared" si="58"/>
        <v>498754.0754568589</v>
      </c>
      <c r="AJ101" s="38">
        <f t="shared" si="59"/>
        <v>0</v>
      </c>
      <c r="AK101" s="38">
        <f>Inputs!$D$19*(1-Inputs!$C$70*$H101)+Inputs!$D$21+Inputs!$B$70*$J101</f>
        <v>404800</v>
      </c>
      <c r="AL101" s="38">
        <f t="shared" si="60"/>
        <v>93954.075456858904</v>
      </c>
      <c r="AM101" s="38">
        <f t="shared" si="61"/>
        <v>0</v>
      </c>
      <c r="AN101" s="38">
        <f>MAX(0,MIN(Inputs!$B$36,AS100,AO101+AP101+AQ101+Inputs!$B$6-AR100))</f>
        <v>0</v>
      </c>
      <c r="AO101" s="38">
        <f>Inputs!$B$27*(1+Inputs!$B$28)^($A101/12)*IF(Inputs!$B$71=1,$G101,1)*(1-Inputs!$C$71*$H101*(1-Inputs!$E$54*Inputs!$B$71))*(1+$I101)*IF(Inputs!$B$29=0,1,(MAX(AR100,0)/Inputs!$B$6)^Inputs!$B$29)</f>
        <v>19227.209086455703</v>
      </c>
      <c r="AP101" s="38">
        <f>Inputs!$B$32*AR100/Inputs!$B$6</f>
        <v>0</v>
      </c>
      <c r="AQ101" s="38">
        <f>Inputs!$B$33</f>
        <v>2500</v>
      </c>
      <c r="AR101" s="38">
        <f t="shared" si="62"/>
        <v>0</v>
      </c>
      <c r="AS101" s="38">
        <f t="shared" si="63"/>
        <v>0</v>
      </c>
      <c r="AT101" s="38">
        <f>Inputs!$B$19*(1-Inputs!$C$71*$H101)+Inputs!$B$21+Inputs!$B$71*$J101</f>
        <v>601000</v>
      </c>
      <c r="AU101" s="38">
        <f t="shared" si="64"/>
        <v>-601000</v>
      </c>
      <c r="AV101" s="38">
        <f t="shared" si="65"/>
        <v>1</v>
      </c>
      <c r="AW101" s="38">
        <f>MAX(0,MIN(Inputs!$C$36,BB100,AX101+AY101+AZ101+Inputs!$C$6-BA100))</f>
        <v>0</v>
      </c>
      <c r="AX101" s="38">
        <f>Inputs!$C$27*(1+Inputs!$C$28)^($A101/12)*IF(Inputs!$B$71=1,$G101,1)*(1-Inputs!$C$71*$H101*(1-Inputs!$E$54*Inputs!$B$71))*(1+$I101)*IF(Inputs!$C$29=0,1,(MAX(BA100,0)/Inputs!$C$6)^Inputs!$C$29)</f>
        <v>0</v>
      </c>
      <c r="AY101" s="38">
        <f>Inputs!$C$32*BA100/Inputs!$C$6</f>
        <v>0</v>
      </c>
      <c r="AZ101" s="38">
        <f>Inputs!$C$33</f>
        <v>2000</v>
      </c>
      <c r="BA101" s="38">
        <f t="shared" si="66"/>
        <v>0</v>
      </c>
      <c r="BB101" s="38">
        <f t="shared" si="67"/>
        <v>0</v>
      </c>
      <c r="BC101" s="38">
        <f>Inputs!$C$19*(1-Inputs!$C$71*$H101)+Inputs!$C$21+Inputs!$B$71*$J101</f>
        <v>501000</v>
      </c>
      <c r="BD101" s="38">
        <f t="shared" si="68"/>
        <v>-501000</v>
      </c>
      <c r="BE101" s="38">
        <f t="shared" si="69"/>
        <v>1</v>
      </c>
      <c r="BF101" s="38">
        <f>MAX(0,MIN(Inputs!$D$36,BK100,BG101+BH101+BI101+Inputs!$D$6-BJ100))</f>
        <v>0</v>
      </c>
      <c r="BG101" s="38">
        <f>Inputs!$D$27*(1+Inputs!$D$28)^($A101/12)*IF(Inputs!$B$71=1,$G101,1)*(1-Inputs!$C$71*$H101*(1-Inputs!$E$54*Inputs!$B$71))*(1+$I101)*IF(Inputs!$D$29=0,1,(MAX(BJ100,0)/Inputs!$D$6)^Inputs!$D$29)</f>
        <v>4707.0062995076914</v>
      </c>
      <c r="BH101" s="38">
        <f>Inputs!$D$32*BJ100/Inputs!$D$6</f>
        <v>2808.9238778903241</v>
      </c>
      <c r="BI101" s="38">
        <f>Inputs!$D$33</f>
        <v>1500</v>
      </c>
      <c r="BJ101" s="38">
        <f t="shared" si="70"/>
        <v>579520.50138057466</v>
      </c>
      <c r="BK101" s="38">
        <f t="shared" si="71"/>
        <v>0</v>
      </c>
      <c r="BL101" s="38">
        <f>Inputs!$D$19*(1-Inputs!$C$71*$H101)+Inputs!$D$21+Inputs!$B$71*$J101</f>
        <v>410800</v>
      </c>
      <c r="BM101" s="38">
        <f t="shared" si="72"/>
        <v>168720.50138057466</v>
      </c>
      <c r="BN101" s="38">
        <f t="shared" si="73"/>
        <v>0</v>
      </c>
      <c r="BO101" s="38">
        <f>MAX(0,MIN(Inputs!$B$36,BT100,BP101+BQ101+BR101+Inputs!$B$6-BS100))</f>
        <v>0</v>
      </c>
      <c r="BP101" s="38">
        <f>Inputs!$B$27*(1+Inputs!$B$28)^($A101/12)*IF(Inputs!$B$72=1,$G101,1)*(1-Inputs!$C$72*$H101*(1-Inputs!$E$54*Inputs!$B$72))*(1+$I101)*IF(Inputs!$B$29=0,1,(MAX(BS100,0)/Inputs!$B$6)^Inputs!$B$29)</f>
        <v>20544.017945886913</v>
      </c>
      <c r="BQ101" s="38">
        <f>Inputs!$B$32*BS100/Inputs!$B$6</f>
        <v>0</v>
      </c>
      <c r="BR101" s="38">
        <f>Inputs!$B$33</f>
        <v>2500</v>
      </c>
      <c r="BS101" s="38">
        <f t="shared" si="74"/>
        <v>0</v>
      </c>
      <c r="BT101" s="38">
        <f t="shared" si="75"/>
        <v>0</v>
      </c>
      <c r="BU101" s="38">
        <f>Inputs!$B$19*(1-Inputs!$C$72*$H101)+Inputs!$B$21+Inputs!$B$72*$J101</f>
        <v>577500</v>
      </c>
      <c r="BV101" s="38">
        <f t="shared" si="76"/>
        <v>-577500</v>
      </c>
      <c r="BW101" s="38">
        <f t="shared" si="77"/>
        <v>1</v>
      </c>
      <c r="BX101" s="38">
        <f>MAX(0,MIN(Inputs!$C$36,CC100,BY101+BZ101+CA101+Inputs!$C$6-CB100))</f>
        <v>0</v>
      </c>
      <c r="BY101" s="38">
        <f>Inputs!$C$27*(1+Inputs!$C$28)^($A101/12)*IF(Inputs!$B$72=1,$G101,1)*(1-Inputs!$C$72*$H101*(1-Inputs!$E$54*Inputs!$B$72))*(1+$I101)*IF(Inputs!$C$29=0,1,(MAX(CB100,0)/Inputs!$C$6)^Inputs!$C$29)</f>
        <v>0</v>
      </c>
      <c r="BZ101" s="38">
        <f>Inputs!$C$32*CB100/Inputs!$C$6</f>
        <v>0</v>
      </c>
      <c r="CA101" s="38">
        <f>Inputs!$C$33</f>
        <v>2000</v>
      </c>
      <c r="CB101" s="38">
        <f t="shared" si="78"/>
        <v>0</v>
      </c>
      <c r="CC101" s="38">
        <f t="shared" si="79"/>
        <v>0</v>
      </c>
      <c r="CD101" s="38">
        <f>Inputs!$C$19*(1-Inputs!$C$72*$H101)+Inputs!$C$21+Inputs!$B$72*$J101</f>
        <v>480000</v>
      </c>
      <c r="CE101" s="38">
        <f t="shared" si="80"/>
        <v>-480000</v>
      </c>
      <c r="CF101" s="38">
        <f t="shared" si="81"/>
        <v>1</v>
      </c>
      <c r="CG101" s="38">
        <f>MAX(0,MIN(Inputs!$D$36,CL100,CH101+CI101+CJ101+Inputs!$D$6-CK100))</f>
        <v>0</v>
      </c>
      <c r="CH101" s="38">
        <f>Inputs!$D$27*(1+Inputs!$D$28)^($A101/12)*IF(Inputs!$B$72=1,$G101,1)*(1-Inputs!$C$72*$H101*(1-Inputs!$E$54*Inputs!$B$72))*(1+$I101)*IF(Inputs!$D$29=0,1,(MAX(CK100,0)/Inputs!$D$6)^Inputs!$D$29)</f>
        <v>4868.2396234319749</v>
      </c>
      <c r="CI101" s="38">
        <f>Inputs!$D$32*CK100/Inputs!$D$6</f>
        <v>2631.8190801958526</v>
      </c>
      <c r="CJ101" s="38">
        <f>Inputs!$D$33</f>
        <v>1500</v>
      </c>
      <c r="CK101" s="38">
        <f t="shared" si="82"/>
        <v>542428.70095645566</v>
      </c>
      <c r="CL101" s="38">
        <f t="shared" si="83"/>
        <v>0</v>
      </c>
      <c r="CM101" s="38">
        <f>Inputs!$D$19*(1-Inputs!$C$72*$H101)+Inputs!$D$21+Inputs!$B$72*$J101</f>
        <v>392150</v>
      </c>
      <c r="CN101" s="38">
        <f t="shared" si="84"/>
        <v>150278.70095645566</v>
      </c>
      <c r="CO101" s="38">
        <f t="shared" si="85"/>
        <v>0</v>
      </c>
      <c r="CP101" s="38">
        <f>MAX(0,MIN(Inputs!$B$36,CU100,CQ101+CR101+CS101+Inputs!$B$6-CT100))</f>
        <v>0</v>
      </c>
      <c r="CQ101" s="38">
        <f>Inputs!$B$27*(1+Inputs!$B$28)^($A101/12)*IF(Inputs!$B$73=1,$G101,1)*(1-Inputs!$C$73*$H101*(1-Inputs!$E$54*Inputs!$B$73))*(1+$I101)*IF(Inputs!$B$29=0,1,(MAX(CT100,0)/Inputs!$B$6)^Inputs!$B$29)</f>
        <v>18265.848632132918</v>
      </c>
      <c r="CR101" s="38">
        <f>Inputs!$B$32*CT100/Inputs!$B$6</f>
        <v>0</v>
      </c>
      <c r="CS101" s="38">
        <f>Inputs!$B$33</f>
        <v>2500</v>
      </c>
      <c r="CT101" s="38">
        <f t="shared" si="86"/>
        <v>0</v>
      </c>
      <c r="CU101" s="38">
        <f t="shared" si="87"/>
        <v>0</v>
      </c>
      <c r="CV101" s="38">
        <f>Inputs!$B$19*(1-Inputs!$C$73*$H101)+Inputs!$B$21+Inputs!$B$73*$J101</f>
        <v>583500</v>
      </c>
      <c r="CW101" s="38">
        <f t="shared" si="88"/>
        <v>-583500</v>
      </c>
      <c r="CX101" s="38">
        <f t="shared" si="89"/>
        <v>1</v>
      </c>
      <c r="CY101" s="38">
        <f>MAX(0,MIN(Inputs!$C$36,DD100,CZ101+DA101+DB101+Inputs!$C$6-DC100))</f>
        <v>0</v>
      </c>
      <c r="CZ101" s="38">
        <f>Inputs!$C$27*(1+Inputs!$C$28)^($A101/12)*IF(Inputs!$B$73=1,$G101,1)*(1-Inputs!$C$73*$H101*(1-Inputs!$E$54*Inputs!$B$73))*(1+$I101)*IF(Inputs!$C$29=0,1,(MAX(DC100,0)/Inputs!$C$6)^Inputs!$C$29)</f>
        <v>0</v>
      </c>
      <c r="DA101" s="38">
        <f>Inputs!$C$32*DC100/Inputs!$C$6</f>
        <v>0</v>
      </c>
      <c r="DB101" s="38">
        <f>Inputs!$C$33</f>
        <v>2000</v>
      </c>
      <c r="DC101" s="38">
        <f t="shared" si="90"/>
        <v>0</v>
      </c>
      <c r="DD101" s="38">
        <f t="shared" si="91"/>
        <v>0</v>
      </c>
      <c r="DE101" s="38">
        <f>Inputs!$C$19*(1-Inputs!$C$73*$H101)+Inputs!$C$21+Inputs!$B$73*$J101</f>
        <v>486000</v>
      </c>
      <c r="DF101" s="38">
        <f t="shared" si="92"/>
        <v>-486000</v>
      </c>
      <c r="DG101" s="38">
        <f t="shared" si="93"/>
        <v>1</v>
      </c>
      <c r="DH101" s="38">
        <f>MAX(0,MIN(Inputs!$D$36,DM100,DI101+DJ101+DK101+Inputs!$D$6-DL100))</f>
        <v>0</v>
      </c>
      <c r="DI101" s="38">
        <f>Inputs!$D$27*(1+Inputs!$D$28)^($A101/12)*IF(Inputs!$B$73=1,$G101,1)*(1-Inputs!$C$73*$H101*(1-Inputs!$E$54*Inputs!$B$73))*(1+$I101)*IF(Inputs!$D$29=0,1,(MAX(DL100,0)/Inputs!$D$6)^Inputs!$D$29)</f>
        <v>4545.8545703422251</v>
      </c>
      <c r="DJ101" s="38">
        <f>Inputs!$D$32*DL100/Inputs!$D$6</f>
        <v>2902.9147084979882</v>
      </c>
      <c r="DK101" s="38">
        <f>Inputs!$D$33</f>
        <v>1500</v>
      </c>
      <c r="DL101" s="38">
        <f t="shared" si="94"/>
        <v>599280.97916835733</v>
      </c>
      <c r="DM101" s="38">
        <f t="shared" si="95"/>
        <v>0</v>
      </c>
      <c r="DN101" s="38">
        <f>Inputs!$D$19*(1-Inputs!$C$73*$H101)+Inputs!$D$21+Inputs!$B$73*$J101</f>
        <v>398150</v>
      </c>
      <c r="DO101" s="38">
        <f t="shared" si="96"/>
        <v>201130.97916835733</v>
      </c>
      <c r="DP101" s="38">
        <f t="shared" si="97"/>
        <v>0</v>
      </c>
    </row>
    <row r="102" spans="1:120" x14ac:dyDescent="0.35">
      <c r="A102" s="29">
        <v>97</v>
      </c>
      <c r="B102" s="34">
        <f>EDATE(Inputs!$B$67,$A102)</f>
        <v>49218</v>
      </c>
      <c r="C102" s="35">
        <f>IF(Inputs!$E$47&lt;=0,Inputs!$E$46,Inputs!$E$44+(Inputs!$E$46-Inputs!$E$44)*MIN($A102/Inputs!$E$47,1))</f>
        <v>0.7</v>
      </c>
      <c r="D102" s="35">
        <f>MIN(Inputs!$E$57,Inputs!$E$55*(1+Inputs!$E$56)^($A102/12))*Inputs!$E$58*(1+Inputs!$E$59)^($A102/12)/Inputs!$E$45</f>
        <v>1.5</v>
      </c>
      <c r="E102" s="35">
        <f>MAX(Inputs!$E$44,MIN(C102,D102))</f>
        <v>0.7</v>
      </c>
      <c r="F102" s="35">
        <f>IF(Inputs!$E$50&lt;=0,Inputs!$E$49,Inputs!$E$48+(Inputs!$E$49-Inputs!$E$48)*MIN($A102/Inputs!$E$50,1))</f>
        <v>0.12</v>
      </c>
      <c r="G102" s="36">
        <f>(Inputs!$E$41*(1-E102*Inputs!$E$51)+Inputs!$E$42*(1-F102*Inputs!$E$51))/(Inputs!$E$41*(1-Inputs!$E$44*Inputs!$E$51)+Inputs!$E$42*(1-Inputs!$E$48*Inputs!$E$51))</f>
        <v>0.8423127463863338</v>
      </c>
      <c r="H102" s="35">
        <f>IF(Inputs!$E$53&lt;=0,Inputs!$E$52,Inputs!$E$52*MIN($A102/Inputs!$E$53,1))</f>
        <v>0.1</v>
      </c>
      <c r="I102" s="35">
        <f>IF(Inputs!$E$64&lt;=0,Inputs!$E$63,Inputs!$E$62+(Inputs!$E$63-Inputs!$E$62)*MIN($A102/Inputs!$E$64,1))</f>
        <v>0.03</v>
      </c>
      <c r="J102" s="37">
        <f>(E102-Inputs!$E$44)*Inputs!$E$45/Inputs!$E$60*Inputs!$E$61</f>
        <v>5999.9999999999991</v>
      </c>
      <c r="K102" s="29">
        <f t="shared" si="49"/>
        <v>0</v>
      </c>
      <c r="L102" s="29"/>
      <c r="M102" s="38">
        <f>MAX(0,MIN(Inputs!$B$36,R101,N102+O102+P102+Inputs!$B$6-Q101))</f>
        <v>0</v>
      </c>
      <c r="N102" s="38">
        <f>Inputs!$B$27*(1+Inputs!$B$28)^($A102/12)*IF(Inputs!$B$70=1,$G102,1)*(1-Inputs!$C$70*$H102*(1-Inputs!$E$54*Inputs!$B$70))*(1+$I102)*IF(Inputs!$B$29=0,1,(MAX(Q101,0)/Inputs!$B$6)^Inputs!$B$29)</f>
        <v>22919.68535334662</v>
      </c>
      <c r="O102" s="38">
        <f>Inputs!$B$32*Q101/Inputs!$B$6</f>
        <v>0</v>
      </c>
      <c r="P102" s="38">
        <f>Inputs!$B$33</f>
        <v>2500</v>
      </c>
      <c r="Q102" s="38">
        <f t="shared" si="50"/>
        <v>0</v>
      </c>
      <c r="R102" s="38">
        <f t="shared" si="51"/>
        <v>0</v>
      </c>
      <c r="S102" s="38">
        <f>Inputs!$B$19*(1-Inputs!$C$70*$H102)+Inputs!$B$21+Inputs!$B$70*$J102</f>
        <v>595000</v>
      </c>
      <c r="T102" s="38">
        <f t="shared" si="52"/>
        <v>-595000</v>
      </c>
      <c r="U102" s="38">
        <f t="shared" si="53"/>
        <v>1</v>
      </c>
      <c r="V102" s="38">
        <f>MAX(0,MIN(Inputs!$C$36,AA101,W102+X102+Y102+Inputs!$C$6-Z101))</f>
        <v>0</v>
      </c>
      <c r="W102" s="38">
        <f>Inputs!$C$27*(1+Inputs!$C$28)^($A102/12)*IF(Inputs!$B$70=1,$G102,1)*(1-Inputs!$C$70*$H102*(1-Inputs!$E$54*Inputs!$B$70))*(1+$I102)*IF(Inputs!$C$29=0,1,(MAX(Z101,0)/Inputs!$C$6)^Inputs!$C$29)</f>
        <v>0</v>
      </c>
      <c r="X102" s="38">
        <f>Inputs!$C$32*Z101/Inputs!$C$6</f>
        <v>0</v>
      </c>
      <c r="Y102" s="38">
        <f>Inputs!$C$33</f>
        <v>2000</v>
      </c>
      <c r="Z102" s="38">
        <f t="shared" si="54"/>
        <v>0</v>
      </c>
      <c r="AA102" s="38">
        <f t="shared" si="55"/>
        <v>0</v>
      </c>
      <c r="AB102" s="38">
        <f>Inputs!$C$19*(1-Inputs!$C$70*$H102)+Inputs!$C$21+Inputs!$B$70*$J102</f>
        <v>495000</v>
      </c>
      <c r="AC102" s="38">
        <f t="shared" si="56"/>
        <v>-495000</v>
      </c>
      <c r="AD102" s="38">
        <f t="shared" si="57"/>
        <v>1</v>
      </c>
      <c r="AE102" s="38">
        <f>MAX(0,MIN(Inputs!$D$36,AJ101,AF102+AG102+AH102+Inputs!$D$6-AI101))</f>
        <v>0</v>
      </c>
      <c r="AF102" s="38">
        <f>Inputs!$D$27*(1+Inputs!$D$28)^($A102/12)*IF(Inputs!$B$70=1,$G102,1)*(1-Inputs!$C$70*$H102*(1-Inputs!$E$54*Inputs!$B$70))*(1+$I102)*IF(Inputs!$D$29=0,1,(MAX(AI101,0)/Inputs!$D$6)^Inputs!$D$29)</f>
        <v>5122.3776445327376</v>
      </c>
      <c r="AG102" s="38">
        <f>Inputs!$D$32*AI101/Inputs!$D$6</f>
        <v>2380.4171783168267</v>
      </c>
      <c r="AH102" s="38">
        <f>Inputs!$D$33</f>
        <v>1500</v>
      </c>
      <c r="AI102" s="38">
        <f t="shared" si="58"/>
        <v>489751.2806340094</v>
      </c>
      <c r="AJ102" s="38">
        <f t="shared" si="59"/>
        <v>0</v>
      </c>
      <c r="AK102" s="38">
        <f>Inputs!$D$19*(1-Inputs!$C$70*$H102)+Inputs!$D$21+Inputs!$B$70*$J102</f>
        <v>404800</v>
      </c>
      <c r="AL102" s="38">
        <f t="shared" si="60"/>
        <v>84951.280634009396</v>
      </c>
      <c r="AM102" s="38">
        <f t="shared" si="61"/>
        <v>0</v>
      </c>
      <c r="AN102" s="38">
        <f>MAX(0,MIN(Inputs!$B$36,AS101,AO102+AP102+AQ102+Inputs!$B$6-AR101))</f>
        <v>0</v>
      </c>
      <c r="AO102" s="38">
        <f>Inputs!$B$27*(1+Inputs!$B$28)^($A102/12)*IF(Inputs!$B$71=1,$G102,1)*(1-Inputs!$C$71*$H102*(1-Inputs!$E$54*Inputs!$B$71))*(1+$I102)*IF(Inputs!$B$29=0,1,(MAX(AR101,0)/Inputs!$B$6)^Inputs!$B$29)</f>
        <v>19305.543116288023</v>
      </c>
      <c r="AP102" s="38">
        <f>Inputs!$B$32*AR101/Inputs!$B$6</f>
        <v>0</v>
      </c>
      <c r="AQ102" s="38">
        <f>Inputs!$B$33</f>
        <v>2500</v>
      </c>
      <c r="AR102" s="38">
        <f t="shared" si="62"/>
        <v>0</v>
      </c>
      <c r="AS102" s="38">
        <f t="shared" si="63"/>
        <v>0</v>
      </c>
      <c r="AT102" s="38">
        <f>Inputs!$B$19*(1-Inputs!$C$71*$H102)+Inputs!$B$21+Inputs!$B$71*$J102</f>
        <v>601000</v>
      </c>
      <c r="AU102" s="38">
        <f t="shared" si="64"/>
        <v>-601000</v>
      </c>
      <c r="AV102" s="38">
        <f t="shared" si="65"/>
        <v>1</v>
      </c>
      <c r="AW102" s="38">
        <f>MAX(0,MIN(Inputs!$C$36,BB101,AX102+AY102+AZ102+Inputs!$C$6-BA101))</f>
        <v>0</v>
      </c>
      <c r="AX102" s="38">
        <f>Inputs!$C$27*(1+Inputs!$C$28)^($A102/12)*IF(Inputs!$B$71=1,$G102,1)*(1-Inputs!$C$71*$H102*(1-Inputs!$E$54*Inputs!$B$71))*(1+$I102)*IF(Inputs!$C$29=0,1,(MAX(BA101,0)/Inputs!$C$6)^Inputs!$C$29)</f>
        <v>0</v>
      </c>
      <c r="AY102" s="38">
        <f>Inputs!$C$32*BA101/Inputs!$C$6</f>
        <v>0</v>
      </c>
      <c r="AZ102" s="38">
        <f>Inputs!$C$33</f>
        <v>2000</v>
      </c>
      <c r="BA102" s="38">
        <f t="shared" si="66"/>
        <v>0</v>
      </c>
      <c r="BB102" s="38">
        <f t="shared" si="67"/>
        <v>0</v>
      </c>
      <c r="BC102" s="38">
        <f>Inputs!$C$19*(1-Inputs!$C$71*$H102)+Inputs!$C$21+Inputs!$B$71*$J102</f>
        <v>501000</v>
      </c>
      <c r="BD102" s="38">
        <f t="shared" si="68"/>
        <v>-501000</v>
      </c>
      <c r="BE102" s="38">
        <f t="shared" si="69"/>
        <v>1</v>
      </c>
      <c r="BF102" s="38">
        <f>MAX(0,MIN(Inputs!$D$36,BK101,BG102+BH102+BI102+Inputs!$D$6-BJ101))</f>
        <v>0</v>
      </c>
      <c r="BG102" s="38">
        <f>Inputs!$D$27*(1+Inputs!$D$28)^($A102/12)*IF(Inputs!$B$71=1,$G102,1)*(1-Inputs!$C$71*$H102*(1-Inputs!$E$54*Inputs!$B$71))*(1+$I102)*IF(Inputs!$D$29=0,1,(MAX(BJ101,0)/Inputs!$D$6)^Inputs!$D$29)</f>
        <v>4650.8907676506442</v>
      </c>
      <c r="BH102" s="38">
        <f>Inputs!$D$32*BJ101/Inputs!$D$6</f>
        <v>2765.8933020436521</v>
      </c>
      <c r="BI102" s="38">
        <f>Inputs!$D$33</f>
        <v>1500</v>
      </c>
      <c r="BJ102" s="38">
        <f t="shared" si="70"/>
        <v>570603.71731088031</v>
      </c>
      <c r="BK102" s="38">
        <f t="shared" si="71"/>
        <v>0</v>
      </c>
      <c r="BL102" s="38">
        <f>Inputs!$D$19*(1-Inputs!$C$71*$H102)+Inputs!$D$21+Inputs!$B$71*$J102</f>
        <v>410800</v>
      </c>
      <c r="BM102" s="38">
        <f t="shared" si="72"/>
        <v>159803.71731088031</v>
      </c>
      <c r="BN102" s="38">
        <f t="shared" si="73"/>
        <v>0</v>
      </c>
      <c r="BO102" s="38">
        <f>MAX(0,MIN(Inputs!$B$36,BT101,BP102+BQ102+BR102+Inputs!$B$6-BS101))</f>
        <v>0</v>
      </c>
      <c r="BP102" s="38">
        <f>Inputs!$B$27*(1+Inputs!$B$28)^($A102/12)*IF(Inputs!$B$72=1,$G102,1)*(1-Inputs!$C$72*$H102*(1-Inputs!$E$54*Inputs!$B$72))*(1+$I102)*IF(Inputs!$B$29=0,1,(MAX(BS101,0)/Inputs!$B$6)^Inputs!$B$29)</f>
        <v>20627.716818011959</v>
      </c>
      <c r="BQ102" s="38">
        <f>Inputs!$B$32*BS101/Inputs!$B$6</f>
        <v>0</v>
      </c>
      <c r="BR102" s="38">
        <f>Inputs!$B$33</f>
        <v>2500</v>
      </c>
      <c r="BS102" s="38">
        <f t="shared" si="74"/>
        <v>0</v>
      </c>
      <c r="BT102" s="38">
        <f t="shared" si="75"/>
        <v>0</v>
      </c>
      <c r="BU102" s="38">
        <f>Inputs!$B$19*(1-Inputs!$C$72*$H102)+Inputs!$B$21+Inputs!$B$72*$J102</f>
        <v>577500</v>
      </c>
      <c r="BV102" s="38">
        <f t="shared" si="76"/>
        <v>-577500</v>
      </c>
      <c r="BW102" s="38">
        <f t="shared" si="77"/>
        <v>1</v>
      </c>
      <c r="BX102" s="38">
        <f>MAX(0,MIN(Inputs!$C$36,CC101,BY102+BZ102+CA102+Inputs!$C$6-CB101))</f>
        <v>0</v>
      </c>
      <c r="BY102" s="38">
        <f>Inputs!$C$27*(1+Inputs!$C$28)^($A102/12)*IF(Inputs!$B$72=1,$G102,1)*(1-Inputs!$C$72*$H102*(1-Inputs!$E$54*Inputs!$B$72))*(1+$I102)*IF(Inputs!$C$29=0,1,(MAX(CB101,0)/Inputs!$C$6)^Inputs!$C$29)</f>
        <v>0</v>
      </c>
      <c r="BZ102" s="38">
        <f>Inputs!$C$32*CB101/Inputs!$C$6</f>
        <v>0</v>
      </c>
      <c r="CA102" s="38">
        <f>Inputs!$C$33</f>
        <v>2000</v>
      </c>
      <c r="CB102" s="38">
        <f t="shared" si="78"/>
        <v>0</v>
      </c>
      <c r="CC102" s="38">
        <f t="shared" si="79"/>
        <v>0</v>
      </c>
      <c r="CD102" s="38">
        <f>Inputs!$C$19*(1-Inputs!$C$72*$H102)+Inputs!$C$21+Inputs!$B$72*$J102</f>
        <v>480000</v>
      </c>
      <c r="CE102" s="38">
        <f t="shared" si="80"/>
        <v>-480000</v>
      </c>
      <c r="CF102" s="38">
        <f t="shared" si="81"/>
        <v>1</v>
      </c>
      <c r="CG102" s="38">
        <f>MAX(0,MIN(Inputs!$D$36,CL101,CH102+CI102+CJ102+Inputs!$D$6-CK101))</f>
        <v>0</v>
      </c>
      <c r="CH102" s="38">
        <f>Inputs!$D$27*(1+Inputs!$D$28)^($A102/12)*IF(Inputs!$B$72=1,$G102,1)*(1-Inputs!$C$72*$H102*(1-Inputs!$E$54*Inputs!$B$72))*(1+$I102)*IF(Inputs!$D$29=0,1,(MAX(CK101,0)/Inputs!$D$6)^Inputs!$D$29)</f>
        <v>4807.7536313811979</v>
      </c>
      <c r="CI102" s="38">
        <f>Inputs!$D$32*CK101/Inputs!$D$6</f>
        <v>2588.8642545649018</v>
      </c>
      <c r="CJ102" s="38">
        <f>Inputs!$D$33</f>
        <v>1500</v>
      </c>
      <c r="CK102" s="38">
        <f t="shared" si="82"/>
        <v>533532.0830705096</v>
      </c>
      <c r="CL102" s="38">
        <f t="shared" si="83"/>
        <v>0</v>
      </c>
      <c r="CM102" s="38">
        <f>Inputs!$D$19*(1-Inputs!$C$72*$H102)+Inputs!$D$21+Inputs!$B$72*$J102</f>
        <v>392150</v>
      </c>
      <c r="CN102" s="38">
        <f t="shared" si="84"/>
        <v>141382.0830705096</v>
      </c>
      <c r="CO102" s="38">
        <f t="shared" si="85"/>
        <v>0</v>
      </c>
      <c r="CP102" s="38">
        <f>MAX(0,MIN(Inputs!$B$36,CU101,CQ102+CR102+CS102+Inputs!$B$6-CT101))</f>
        <v>0</v>
      </c>
      <c r="CQ102" s="38">
        <f>Inputs!$B$27*(1+Inputs!$B$28)^($A102/12)*IF(Inputs!$B$73=1,$G102,1)*(1-Inputs!$C$73*$H102*(1-Inputs!$E$54*Inputs!$B$73))*(1+$I102)*IF(Inputs!$B$29=0,1,(MAX(CT101,0)/Inputs!$B$6)^Inputs!$B$29)</f>
        <v>18340.265960473622</v>
      </c>
      <c r="CR102" s="38">
        <f>Inputs!$B$32*CT101/Inputs!$B$6</f>
        <v>0</v>
      </c>
      <c r="CS102" s="38">
        <f>Inputs!$B$33</f>
        <v>2500</v>
      </c>
      <c r="CT102" s="38">
        <f t="shared" si="86"/>
        <v>0</v>
      </c>
      <c r="CU102" s="38">
        <f t="shared" si="87"/>
        <v>0</v>
      </c>
      <c r="CV102" s="38">
        <f>Inputs!$B$19*(1-Inputs!$C$73*$H102)+Inputs!$B$21+Inputs!$B$73*$J102</f>
        <v>583500</v>
      </c>
      <c r="CW102" s="38">
        <f t="shared" si="88"/>
        <v>-583500</v>
      </c>
      <c r="CX102" s="38">
        <f t="shared" si="89"/>
        <v>1</v>
      </c>
      <c r="CY102" s="38">
        <f>MAX(0,MIN(Inputs!$C$36,DD101,CZ102+DA102+DB102+Inputs!$C$6-DC101))</f>
        <v>0</v>
      </c>
      <c r="CZ102" s="38">
        <f>Inputs!$C$27*(1+Inputs!$C$28)^($A102/12)*IF(Inputs!$B$73=1,$G102,1)*(1-Inputs!$C$73*$H102*(1-Inputs!$E$54*Inputs!$B$73))*(1+$I102)*IF(Inputs!$C$29=0,1,(MAX(DC101,0)/Inputs!$C$6)^Inputs!$C$29)</f>
        <v>0</v>
      </c>
      <c r="DA102" s="38">
        <f>Inputs!$C$32*DC101/Inputs!$C$6</f>
        <v>0</v>
      </c>
      <c r="DB102" s="38">
        <f>Inputs!$C$33</f>
        <v>2000</v>
      </c>
      <c r="DC102" s="38">
        <f t="shared" si="90"/>
        <v>0</v>
      </c>
      <c r="DD102" s="38">
        <f t="shared" si="91"/>
        <v>0</v>
      </c>
      <c r="DE102" s="38">
        <f>Inputs!$C$19*(1-Inputs!$C$73*$H102)+Inputs!$C$21+Inputs!$B$73*$J102</f>
        <v>486000</v>
      </c>
      <c r="DF102" s="38">
        <f t="shared" si="92"/>
        <v>-486000</v>
      </c>
      <c r="DG102" s="38">
        <f t="shared" si="93"/>
        <v>1</v>
      </c>
      <c r="DH102" s="38">
        <f>MAX(0,MIN(Inputs!$D$36,DM101,DI102+DJ102+DK102+Inputs!$D$6-DL101))</f>
        <v>0</v>
      </c>
      <c r="DI102" s="38">
        <f>Inputs!$D$27*(1+Inputs!$D$28)^($A102/12)*IF(Inputs!$B$73=1,$G102,1)*(1-Inputs!$C$73*$H102*(1-Inputs!$E$54*Inputs!$B$73))*(1+$I102)*IF(Inputs!$D$29=0,1,(MAX(DL101,0)/Inputs!$D$6)^Inputs!$D$29)</f>
        <v>4493.0431512336518</v>
      </c>
      <c r="DJ102" s="38">
        <f>Inputs!$D$32*DL101/Inputs!$D$6</f>
        <v>2860.2046733035236</v>
      </c>
      <c r="DK102" s="38">
        <f>Inputs!$D$33</f>
        <v>1500</v>
      </c>
      <c r="DL102" s="38">
        <f t="shared" si="94"/>
        <v>590427.73134382011</v>
      </c>
      <c r="DM102" s="38">
        <f t="shared" si="95"/>
        <v>0</v>
      </c>
      <c r="DN102" s="38">
        <f>Inputs!$D$19*(1-Inputs!$C$73*$H102)+Inputs!$D$21+Inputs!$B$73*$J102</f>
        <v>398150</v>
      </c>
      <c r="DO102" s="38">
        <f t="shared" si="96"/>
        <v>192277.73134382011</v>
      </c>
      <c r="DP102" s="38">
        <f t="shared" si="97"/>
        <v>0</v>
      </c>
    </row>
    <row r="103" spans="1:120" x14ac:dyDescent="0.35">
      <c r="A103" s="29">
        <v>98</v>
      </c>
      <c r="B103" s="34">
        <f>EDATE(Inputs!$B$67,$A103)</f>
        <v>49249</v>
      </c>
      <c r="C103" s="35">
        <f>IF(Inputs!$E$47&lt;=0,Inputs!$E$46,Inputs!$E$44+(Inputs!$E$46-Inputs!$E$44)*MIN($A103/Inputs!$E$47,1))</f>
        <v>0.7</v>
      </c>
      <c r="D103" s="35">
        <f>MIN(Inputs!$E$57,Inputs!$E$55*(1+Inputs!$E$56)^($A103/12))*Inputs!$E$58*(1+Inputs!$E$59)^($A103/12)/Inputs!$E$45</f>
        <v>1.5</v>
      </c>
      <c r="E103" s="35">
        <f>MAX(Inputs!$E$44,MIN(C103,D103))</f>
        <v>0.7</v>
      </c>
      <c r="F103" s="35">
        <f>IF(Inputs!$E$50&lt;=0,Inputs!$E$49,Inputs!$E$48+(Inputs!$E$49-Inputs!$E$48)*MIN($A103/Inputs!$E$50,1))</f>
        <v>0.12</v>
      </c>
      <c r="G103" s="36">
        <f>(Inputs!$E$41*(1-E103*Inputs!$E$51)+Inputs!$E$42*(1-F103*Inputs!$E$51))/(Inputs!$E$41*(1-Inputs!$E$44*Inputs!$E$51)+Inputs!$E$42*(1-Inputs!$E$48*Inputs!$E$51))</f>
        <v>0.8423127463863338</v>
      </c>
      <c r="H103" s="35">
        <f>IF(Inputs!$E$53&lt;=0,Inputs!$E$52,Inputs!$E$52*MIN($A103/Inputs!$E$53,1))</f>
        <v>0.1</v>
      </c>
      <c r="I103" s="35">
        <f>IF(Inputs!$E$64&lt;=0,Inputs!$E$63,Inputs!$E$62+(Inputs!$E$63-Inputs!$E$62)*MIN($A103/Inputs!$E$64,1))</f>
        <v>0.03</v>
      </c>
      <c r="J103" s="37">
        <f>(E103-Inputs!$E$44)*Inputs!$E$45/Inputs!$E$60*Inputs!$E$61</f>
        <v>5999.9999999999991</v>
      </c>
      <c r="K103" s="29">
        <f t="shared" si="49"/>
        <v>0</v>
      </c>
      <c r="L103" s="29"/>
      <c r="M103" s="38">
        <f>MAX(0,MIN(Inputs!$B$36,R102,N103+O103+P103+Inputs!$B$6-Q102))</f>
        <v>0</v>
      </c>
      <c r="N103" s="38">
        <f>Inputs!$B$27*(1+Inputs!$B$28)^($A103/12)*IF(Inputs!$B$70=1,$G103,1)*(1-Inputs!$C$70*$H103*(1-Inputs!$E$54*Inputs!$B$70))*(1+$I103)*IF(Inputs!$B$29=0,1,(MAX(Q102,0)/Inputs!$B$6)^Inputs!$B$29)</f>
        <v>23013.062988558424</v>
      </c>
      <c r="O103" s="38">
        <f>Inputs!$B$32*Q102/Inputs!$B$6</f>
        <v>0</v>
      </c>
      <c r="P103" s="38">
        <f>Inputs!$B$33</f>
        <v>2500</v>
      </c>
      <c r="Q103" s="38">
        <f t="shared" si="50"/>
        <v>0</v>
      </c>
      <c r="R103" s="38">
        <f t="shared" si="51"/>
        <v>0</v>
      </c>
      <c r="S103" s="38">
        <f>Inputs!$B$19*(1-Inputs!$C$70*$H103)+Inputs!$B$21+Inputs!$B$70*$J103</f>
        <v>595000</v>
      </c>
      <c r="T103" s="38">
        <f t="shared" si="52"/>
        <v>-595000</v>
      </c>
      <c r="U103" s="38">
        <f t="shared" si="53"/>
        <v>1</v>
      </c>
      <c r="V103" s="38">
        <f>MAX(0,MIN(Inputs!$C$36,AA102,W103+X103+Y103+Inputs!$C$6-Z102))</f>
        <v>0</v>
      </c>
      <c r="W103" s="38">
        <f>Inputs!$C$27*(1+Inputs!$C$28)^($A103/12)*IF(Inputs!$B$70=1,$G103,1)*(1-Inputs!$C$70*$H103*(1-Inputs!$E$54*Inputs!$B$70))*(1+$I103)*IF(Inputs!$C$29=0,1,(MAX(Z102,0)/Inputs!$C$6)^Inputs!$C$29)</f>
        <v>0</v>
      </c>
      <c r="X103" s="38">
        <f>Inputs!$C$32*Z102/Inputs!$C$6</f>
        <v>0</v>
      </c>
      <c r="Y103" s="38">
        <f>Inputs!$C$33</f>
        <v>2000</v>
      </c>
      <c r="Z103" s="38">
        <f t="shared" si="54"/>
        <v>0</v>
      </c>
      <c r="AA103" s="38">
        <f t="shared" si="55"/>
        <v>0</v>
      </c>
      <c r="AB103" s="38">
        <f>Inputs!$C$19*(1-Inputs!$C$70*$H103)+Inputs!$C$21+Inputs!$B$70*$J103</f>
        <v>495000</v>
      </c>
      <c r="AC103" s="38">
        <f t="shared" si="56"/>
        <v>-495000</v>
      </c>
      <c r="AD103" s="38">
        <f t="shared" si="57"/>
        <v>1</v>
      </c>
      <c r="AE103" s="38">
        <f>MAX(0,MIN(Inputs!$D$36,AJ102,AF103+AG103+AH103+Inputs!$D$6-AI102))</f>
        <v>0</v>
      </c>
      <c r="AF103" s="38">
        <f>Inputs!$D$27*(1+Inputs!$D$28)^($A103/12)*IF(Inputs!$B$70=1,$G103,1)*(1-Inputs!$C$70*$H103*(1-Inputs!$E$54*Inputs!$B$70))*(1+$I103)*IF(Inputs!$D$29=0,1,(MAX(AI102,0)/Inputs!$D$6)^Inputs!$D$29)</f>
        <v>5054.2857151544495</v>
      </c>
      <c r="AG103" s="38">
        <f>Inputs!$D$32*AI102/Inputs!$D$6</f>
        <v>2337.4492939350448</v>
      </c>
      <c r="AH103" s="38">
        <f>Inputs!$D$33</f>
        <v>1500</v>
      </c>
      <c r="AI103" s="38">
        <f t="shared" si="58"/>
        <v>480859.54562491993</v>
      </c>
      <c r="AJ103" s="38">
        <f t="shared" si="59"/>
        <v>0</v>
      </c>
      <c r="AK103" s="38">
        <f>Inputs!$D$19*(1-Inputs!$C$70*$H103)+Inputs!$D$21+Inputs!$B$70*$J103</f>
        <v>404800</v>
      </c>
      <c r="AL103" s="38">
        <f t="shared" si="60"/>
        <v>76059.545624919934</v>
      </c>
      <c r="AM103" s="38">
        <f t="shared" si="61"/>
        <v>0</v>
      </c>
      <c r="AN103" s="38">
        <f>MAX(0,MIN(Inputs!$B$36,AS102,AO103+AP103+AQ103+Inputs!$B$6-AR102))</f>
        <v>0</v>
      </c>
      <c r="AO103" s="38">
        <f>Inputs!$B$27*(1+Inputs!$B$28)^($A103/12)*IF(Inputs!$B$71=1,$G103,1)*(1-Inputs!$C$71*$H103*(1-Inputs!$E$54*Inputs!$B$71))*(1+$I103)*IF(Inputs!$B$29=0,1,(MAX(AR102,0)/Inputs!$B$6)^Inputs!$B$29)</f>
        <v>19384.196288654337</v>
      </c>
      <c r="AP103" s="38">
        <f>Inputs!$B$32*AR102/Inputs!$B$6</f>
        <v>0</v>
      </c>
      <c r="AQ103" s="38">
        <f>Inputs!$B$33</f>
        <v>2500</v>
      </c>
      <c r="AR103" s="38">
        <f t="shared" si="62"/>
        <v>0</v>
      </c>
      <c r="AS103" s="38">
        <f t="shared" si="63"/>
        <v>0</v>
      </c>
      <c r="AT103" s="38">
        <f>Inputs!$B$19*(1-Inputs!$C$71*$H103)+Inputs!$B$21+Inputs!$B$71*$J103</f>
        <v>601000</v>
      </c>
      <c r="AU103" s="38">
        <f t="shared" si="64"/>
        <v>-601000</v>
      </c>
      <c r="AV103" s="38">
        <f t="shared" si="65"/>
        <v>1</v>
      </c>
      <c r="AW103" s="38">
        <f>MAX(0,MIN(Inputs!$C$36,BB102,AX103+AY103+AZ103+Inputs!$C$6-BA102))</f>
        <v>0</v>
      </c>
      <c r="AX103" s="38">
        <f>Inputs!$C$27*(1+Inputs!$C$28)^($A103/12)*IF(Inputs!$B$71=1,$G103,1)*(1-Inputs!$C$71*$H103*(1-Inputs!$E$54*Inputs!$B$71))*(1+$I103)*IF(Inputs!$C$29=0,1,(MAX(BA102,0)/Inputs!$C$6)^Inputs!$C$29)</f>
        <v>0</v>
      </c>
      <c r="AY103" s="38">
        <f>Inputs!$C$32*BA102/Inputs!$C$6</f>
        <v>0</v>
      </c>
      <c r="AZ103" s="38">
        <f>Inputs!$C$33</f>
        <v>2000</v>
      </c>
      <c r="BA103" s="38">
        <f t="shared" si="66"/>
        <v>0</v>
      </c>
      <c r="BB103" s="38">
        <f t="shared" si="67"/>
        <v>0</v>
      </c>
      <c r="BC103" s="38">
        <f>Inputs!$C$19*(1-Inputs!$C$71*$H103)+Inputs!$C$21+Inputs!$B$71*$J103</f>
        <v>501000</v>
      </c>
      <c r="BD103" s="38">
        <f t="shared" si="68"/>
        <v>-501000</v>
      </c>
      <c r="BE103" s="38">
        <f t="shared" si="69"/>
        <v>1</v>
      </c>
      <c r="BF103" s="38">
        <f>MAX(0,MIN(Inputs!$D$36,BK102,BG103+BH103+BI103+Inputs!$D$6-BJ102))</f>
        <v>0</v>
      </c>
      <c r="BG103" s="38">
        <f>Inputs!$D$27*(1+Inputs!$D$28)^($A103/12)*IF(Inputs!$B$71=1,$G103,1)*(1-Inputs!$C$71*$H103*(1-Inputs!$E$54*Inputs!$B$71))*(1+$I103)*IF(Inputs!$D$29=0,1,(MAX(BJ102,0)/Inputs!$D$6)^Inputs!$D$29)</f>
        <v>4595.2873067697992</v>
      </c>
      <c r="BH103" s="38">
        <f>Inputs!$D$32*BJ102/Inputs!$D$6</f>
        <v>2723.3359235292019</v>
      </c>
      <c r="BI103" s="38">
        <f>Inputs!$D$33</f>
        <v>1500</v>
      </c>
      <c r="BJ103" s="38">
        <f t="shared" si="70"/>
        <v>561785.09408058133</v>
      </c>
      <c r="BK103" s="38">
        <f t="shared" si="71"/>
        <v>0</v>
      </c>
      <c r="BL103" s="38">
        <f>Inputs!$D$19*(1-Inputs!$C$71*$H103)+Inputs!$D$21+Inputs!$B$71*$J103</f>
        <v>410800</v>
      </c>
      <c r="BM103" s="38">
        <f t="shared" si="72"/>
        <v>150985.09408058133</v>
      </c>
      <c r="BN103" s="38">
        <f t="shared" si="73"/>
        <v>0</v>
      </c>
      <c r="BO103" s="38">
        <f>MAX(0,MIN(Inputs!$B$36,BT102,BP103+BQ103+BR103+Inputs!$B$6-BS102))</f>
        <v>0</v>
      </c>
      <c r="BP103" s="38">
        <f>Inputs!$B$27*(1+Inputs!$B$28)^($A103/12)*IF(Inputs!$B$72=1,$G103,1)*(1-Inputs!$C$72*$H103*(1-Inputs!$E$54*Inputs!$B$72))*(1+$I103)*IF(Inputs!$B$29=0,1,(MAX(BS102,0)/Inputs!$B$6)^Inputs!$B$29)</f>
        <v>20711.756689702583</v>
      </c>
      <c r="BQ103" s="38">
        <f>Inputs!$B$32*BS102/Inputs!$B$6</f>
        <v>0</v>
      </c>
      <c r="BR103" s="38">
        <f>Inputs!$B$33</f>
        <v>2500</v>
      </c>
      <c r="BS103" s="38">
        <f t="shared" si="74"/>
        <v>0</v>
      </c>
      <c r="BT103" s="38">
        <f t="shared" si="75"/>
        <v>0</v>
      </c>
      <c r="BU103" s="38">
        <f>Inputs!$B$19*(1-Inputs!$C$72*$H103)+Inputs!$B$21+Inputs!$B$72*$J103</f>
        <v>577500</v>
      </c>
      <c r="BV103" s="38">
        <f t="shared" si="76"/>
        <v>-577500</v>
      </c>
      <c r="BW103" s="38">
        <f t="shared" si="77"/>
        <v>1</v>
      </c>
      <c r="BX103" s="38">
        <f>MAX(0,MIN(Inputs!$C$36,CC102,BY103+BZ103+CA103+Inputs!$C$6-CB102))</f>
        <v>0</v>
      </c>
      <c r="BY103" s="38">
        <f>Inputs!$C$27*(1+Inputs!$C$28)^($A103/12)*IF(Inputs!$B$72=1,$G103,1)*(1-Inputs!$C$72*$H103*(1-Inputs!$E$54*Inputs!$B$72))*(1+$I103)*IF(Inputs!$C$29=0,1,(MAX(CB102,0)/Inputs!$C$6)^Inputs!$C$29)</f>
        <v>0</v>
      </c>
      <c r="BZ103" s="38">
        <f>Inputs!$C$32*CB102/Inputs!$C$6</f>
        <v>0</v>
      </c>
      <c r="CA103" s="38">
        <f>Inputs!$C$33</f>
        <v>2000</v>
      </c>
      <c r="CB103" s="38">
        <f t="shared" si="78"/>
        <v>0</v>
      </c>
      <c r="CC103" s="38">
        <f t="shared" si="79"/>
        <v>0</v>
      </c>
      <c r="CD103" s="38">
        <f>Inputs!$C$19*(1-Inputs!$C$72*$H103)+Inputs!$C$21+Inputs!$B$72*$J103</f>
        <v>480000</v>
      </c>
      <c r="CE103" s="38">
        <f t="shared" si="80"/>
        <v>-480000</v>
      </c>
      <c r="CF103" s="38">
        <f t="shared" si="81"/>
        <v>1</v>
      </c>
      <c r="CG103" s="38">
        <f>MAX(0,MIN(Inputs!$D$36,CL102,CH103+CI103+CJ103+Inputs!$D$6-CK102))</f>
        <v>0</v>
      </c>
      <c r="CH103" s="38">
        <f>Inputs!$D$27*(1+Inputs!$D$28)^($A103/12)*IF(Inputs!$B$72=1,$G103,1)*(1-Inputs!$C$72*$H103*(1-Inputs!$E$54*Inputs!$B$72))*(1+$I103)*IF(Inputs!$D$29=0,1,(MAX(CK102,0)/Inputs!$D$6)^Inputs!$D$29)</f>
        <v>4747.8258206542005</v>
      </c>
      <c r="CI103" s="38">
        <f>Inputs!$D$32*CK102/Inputs!$D$6</f>
        <v>2546.4031237456138</v>
      </c>
      <c r="CJ103" s="38">
        <f>Inputs!$D$33</f>
        <v>1500</v>
      </c>
      <c r="CK103" s="38">
        <f t="shared" si="82"/>
        <v>524737.85412610986</v>
      </c>
      <c r="CL103" s="38">
        <f t="shared" si="83"/>
        <v>0</v>
      </c>
      <c r="CM103" s="38">
        <f>Inputs!$D$19*(1-Inputs!$C$72*$H103)+Inputs!$D$21+Inputs!$B$72*$J103</f>
        <v>392150</v>
      </c>
      <c r="CN103" s="38">
        <f t="shared" si="84"/>
        <v>132587.85412610986</v>
      </c>
      <c r="CO103" s="38">
        <f t="shared" si="85"/>
        <v>0</v>
      </c>
      <c r="CP103" s="38">
        <f>MAX(0,MIN(Inputs!$B$36,CU102,CQ103+CR103+CS103+Inputs!$B$6-CT102))</f>
        <v>0</v>
      </c>
      <c r="CQ103" s="38">
        <f>Inputs!$B$27*(1+Inputs!$B$28)^($A103/12)*IF(Inputs!$B$73=1,$G103,1)*(1-Inputs!$C$73*$H103*(1-Inputs!$E$54*Inputs!$B$73))*(1+$I103)*IF(Inputs!$B$29=0,1,(MAX(CT102,0)/Inputs!$B$6)^Inputs!$B$29)</f>
        <v>18414.986474221616</v>
      </c>
      <c r="CR103" s="38">
        <f>Inputs!$B$32*CT102/Inputs!$B$6</f>
        <v>0</v>
      </c>
      <c r="CS103" s="38">
        <f>Inputs!$B$33</f>
        <v>2500</v>
      </c>
      <c r="CT103" s="38">
        <f t="shared" si="86"/>
        <v>0</v>
      </c>
      <c r="CU103" s="38">
        <f t="shared" si="87"/>
        <v>0</v>
      </c>
      <c r="CV103" s="38">
        <f>Inputs!$B$19*(1-Inputs!$C$73*$H103)+Inputs!$B$21+Inputs!$B$73*$J103</f>
        <v>583500</v>
      </c>
      <c r="CW103" s="38">
        <f t="shared" si="88"/>
        <v>-583500</v>
      </c>
      <c r="CX103" s="38">
        <f t="shared" si="89"/>
        <v>1</v>
      </c>
      <c r="CY103" s="38">
        <f>MAX(0,MIN(Inputs!$C$36,DD102,CZ103+DA103+DB103+Inputs!$C$6-DC102))</f>
        <v>0</v>
      </c>
      <c r="CZ103" s="38">
        <f>Inputs!$C$27*(1+Inputs!$C$28)^($A103/12)*IF(Inputs!$B$73=1,$G103,1)*(1-Inputs!$C$73*$H103*(1-Inputs!$E$54*Inputs!$B$73))*(1+$I103)*IF(Inputs!$C$29=0,1,(MAX(DC102,0)/Inputs!$C$6)^Inputs!$C$29)</f>
        <v>0</v>
      </c>
      <c r="DA103" s="38">
        <f>Inputs!$C$32*DC102/Inputs!$C$6</f>
        <v>0</v>
      </c>
      <c r="DB103" s="38">
        <f>Inputs!$C$33</f>
        <v>2000</v>
      </c>
      <c r="DC103" s="38">
        <f t="shared" si="90"/>
        <v>0</v>
      </c>
      <c r="DD103" s="38">
        <f t="shared" si="91"/>
        <v>0</v>
      </c>
      <c r="DE103" s="38">
        <f>Inputs!$C$19*(1-Inputs!$C$73*$H103)+Inputs!$C$21+Inputs!$B$73*$J103</f>
        <v>486000</v>
      </c>
      <c r="DF103" s="38">
        <f t="shared" si="92"/>
        <v>-486000</v>
      </c>
      <c r="DG103" s="38">
        <f t="shared" si="93"/>
        <v>1</v>
      </c>
      <c r="DH103" s="38">
        <f>MAX(0,MIN(Inputs!$D$36,DM102,DI103+DJ103+DK103+Inputs!$D$6-DL102))</f>
        <v>0</v>
      </c>
      <c r="DI103" s="38">
        <f>Inputs!$D$27*(1+Inputs!$D$28)^($A103/12)*IF(Inputs!$B$73=1,$G103,1)*(1-Inputs!$C$73*$H103*(1-Inputs!$E$54*Inputs!$B$73))*(1+$I103)*IF(Inputs!$D$29=0,1,(MAX(DL102,0)/Inputs!$D$6)^Inputs!$D$29)</f>
        <v>4440.7093623629135</v>
      </c>
      <c r="DJ103" s="38">
        <f>Inputs!$D$32*DL102/Inputs!$D$6</f>
        <v>2817.9505359591412</v>
      </c>
      <c r="DK103" s="38">
        <f>Inputs!$D$33</f>
        <v>1500</v>
      </c>
      <c r="DL103" s="38">
        <f t="shared" si="94"/>
        <v>581669.07144549815</v>
      </c>
      <c r="DM103" s="38">
        <f t="shared" si="95"/>
        <v>0</v>
      </c>
      <c r="DN103" s="38">
        <f>Inputs!$D$19*(1-Inputs!$C$73*$H103)+Inputs!$D$21+Inputs!$B$73*$J103</f>
        <v>398150</v>
      </c>
      <c r="DO103" s="38">
        <f t="shared" si="96"/>
        <v>183519.07144549815</v>
      </c>
      <c r="DP103" s="38">
        <f t="shared" si="97"/>
        <v>0</v>
      </c>
    </row>
    <row r="104" spans="1:120" x14ac:dyDescent="0.35">
      <c r="A104" s="29">
        <v>99</v>
      </c>
      <c r="B104" s="34">
        <f>EDATE(Inputs!$B$67,$A104)</f>
        <v>49279</v>
      </c>
      <c r="C104" s="35">
        <f>IF(Inputs!$E$47&lt;=0,Inputs!$E$46,Inputs!$E$44+(Inputs!$E$46-Inputs!$E$44)*MIN($A104/Inputs!$E$47,1))</f>
        <v>0.7</v>
      </c>
      <c r="D104" s="35">
        <f>MIN(Inputs!$E$57,Inputs!$E$55*(1+Inputs!$E$56)^($A104/12))*Inputs!$E$58*(1+Inputs!$E$59)^($A104/12)/Inputs!$E$45</f>
        <v>1.5</v>
      </c>
      <c r="E104" s="35">
        <f>MAX(Inputs!$E$44,MIN(C104,D104))</f>
        <v>0.7</v>
      </c>
      <c r="F104" s="35">
        <f>IF(Inputs!$E$50&lt;=0,Inputs!$E$49,Inputs!$E$48+(Inputs!$E$49-Inputs!$E$48)*MIN($A104/Inputs!$E$50,1))</f>
        <v>0.12</v>
      </c>
      <c r="G104" s="36">
        <f>(Inputs!$E$41*(1-E104*Inputs!$E$51)+Inputs!$E$42*(1-F104*Inputs!$E$51))/(Inputs!$E$41*(1-Inputs!$E$44*Inputs!$E$51)+Inputs!$E$42*(1-Inputs!$E$48*Inputs!$E$51))</f>
        <v>0.8423127463863338</v>
      </c>
      <c r="H104" s="35">
        <f>IF(Inputs!$E$53&lt;=0,Inputs!$E$52,Inputs!$E$52*MIN($A104/Inputs!$E$53,1))</f>
        <v>0.1</v>
      </c>
      <c r="I104" s="35">
        <f>IF(Inputs!$E$64&lt;=0,Inputs!$E$63,Inputs!$E$62+(Inputs!$E$63-Inputs!$E$62)*MIN($A104/Inputs!$E$64,1))</f>
        <v>0.03</v>
      </c>
      <c r="J104" s="37">
        <f>(E104-Inputs!$E$44)*Inputs!$E$45/Inputs!$E$60*Inputs!$E$61</f>
        <v>5999.9999999999991</v>
      </c>
      <c r="K104" s="29">
        <f t="shared" si="49"/>
        <v>0</v>
      </c>
      <c r="L104" s="29"/>
      <c r="M104" s="38">
        <f>MAX(0,MIN(Inputs!$B$36,R103,N104+O104+P104+Inputs!$B$6-Q103))</f>
        <v>0</v>
      </c>
      <c r="N104" s="38">
        <f>Inputs!$B$27*(1+Inputs!$B$28)^($A104/12)*IF(Inputs!$B$70=1,$G104,1)*(1-Inputs!$C$70*$H104*(1-Inputs!$E$54*Inputs!$B$70))*(1+$I104)*IF(Inputs!$B$29=0,1,(MAX(Q103,0)/Inputs!$B$6)^Inputs!$B$29)</f>
        <v>23106.821055814711</v>
      </c>
      <c r="O104" s="38">
        <f>Inputs!$B$32*Q103/Inputs!$B$6</f>
        <v>0</v>
      </c>
      <c r="P104" s="38">
        <f>Inputs!$B$33</f>
        <v>2500</v>
      </c>
      <c r="Q104" s="38">
        <f t="shared" si="50"/>
        <v>0</v>
      </c>
      <c r="R104" s="38">
        <f t="shared" si="51"/>
        <v>0</v>
      </c>
      <c r="S104" s="38">
        <f>Inputs!$B$19*(1-Inputs!$C$70*$H104)+Inputs!$B$21+Inputs!$B$70*$J104</f>
        <v>595000</v>
      </c>
      <c r="T104" s="38">
        <f t="shared" si="52"/>
        <v>-595000</v>
      </c>
      <c r="U104" s="38">
        <f t="shared" si="53"/>
        <v>1</v>
      </c>
      <c r="V104" s="38">
        <f>MAX(0,MIN(Inputs!$C$36,AA103,W104+X104+Y104+Inputs!$C$6-Z103))</f>
        <v>0</v>
      </c>
      <c r="W104" s="38">
        <f>Inputs!$C$27*(1+Inputs!$C$28)^($A104/12)*IF(Inputs!$B$70=1,$G104,1)*(1-Inputs!$C$70*$H104*(1-Inputs!$E$54*Inputs!$B$70))*(1+$I104)*IF(Inputs!$C$29=0,1,(MAX(Z103,0)/Inputs!$C$6)^Inputs!$C$29)</f>
        <v>0</v>
      </c>
      <c r="X104" s="38">
        <f>Inputs!$C$32*Z103/Inputs!$C$6</f>
        <v>0</v>
      </c>
      <c r="Y104" s="38">
        <f>Inputs!$C$33</f>
        <v>2000</v>
      </c>
      <c r="Z104" s="38">
        <f t="shared" si="54"/>
        <v>0</v>
      </c>
      <c r="AA104" s="38">
        <f t="shared" si="55"/>
        <v>0</v>
      </c>
      <c r="AB104" s="38">
        <f>Inputs!$C$19*(1-Inputs!$C$70*$H104)+Inputs!$C$21+Inputs!$B$70*$J104</f>
        <v>495000</v>
      </c>
      <c r="AC104" s="38">
        <f t="shared" si="56"/>
        <v>-495000</v>
      </c>
      <c r="AD104" s="38">
        <f t="shared" si="57"/>
        <v>1</v>
      </c>
      <c r="AE104" s="38">
        <f>MAX(0,MIN(Inputs!$D$36,AJ103,AF104+AG104+AH104+Inputs!$D$6-AI103))</f>
        <v>0</v>
      </c>
      <c r="AF104" s="38">
        <f>Inputs!$D$27*(1+Inputs!$D$28)^($A104/12)*IF(Inputs!$B$70=1,$G104,1)*(1-Inputs!$C$70*$H104*(1-Inputs!$E$54*Inputs!$B$70))*(1+$I104)*IF(Inputs!$D$29=0,1,(MAX(AI103,0)/Inputs!$D$6)^Inputs!$D$29)</f>
        <v>4986.8321778128011</v>
      </c>
      <c r="AG104" s="38">
        <f>Inputs!$D$32*AI103/Inputs!$D$6</f>
        <v>2295.0114677552997</v>
      </c>
      <c r="AH104" s="38">
        <f>Inputs!$D$33</f>
        <v>1500</v>
      </c>
      <c r="AI104" s="38">
        <f t="shared" si="58"/>
        <v>472077.70197935181</v>
      </c>
      <c r="AJ104" s="38">
        <f t="shared" si="59"/>
        <v>0</v>
      </c>
      <c r="AK104" s="38">
        <f>Inputs!$D$19*(1-Inputs!$C$70*$H104)+Inputs!$D$21+Inputs!$B$70*$J104</f>
        <v>404800</v>
      </c>
      <c r="AL104" s="38">
        <f t="shared" si="60"/>
        <v>67277.701979351812</v>
      </c>
      <c r="AM104" s="38">
        <f t="shared" si="61"/>
        <v>0</v>
      </c>
      <c r="AN104" s="38">
        <f>MAX(0,MIN(Inputs!$B$36,AS103,AO104+AP104+AQ104+Inputs!$B$6-AR103))</f>
        <v>0</v>
      </c>
      <c r="AO104" s="38">
        <f>Inputs!$B$27*(1+Inputs!$B$28)^($A104/12)*IF(Inputs!$B$71=1,$G104,1)*(1-Inputs!$C$71*$H104*(1-Inputs!$E$54*Inputs!$B$71))*(1+$I104)*IF(Inputs!$B$29=0,1,(MAX(AR103,0)/Inputs!$B$6)^Inputs!$B$29)</f>
        <v>19463.169903780854</v>
      </c>
      <c r="AP104" s="38">
        <f>Inputs!$B$32*AR103/Inputs!$B$6</f>
        <v>0</v>
      </c>
      <c r="AQ104" s="38">
        <f>Inputs!$B$33</f>
        <v>2500</v>
      </c>
      <c r="AR104" s="38">
        <f t="shared" si="62"/>
        <v>0</v>
      </c>
      <c r="AS104" s="38">
        <f t="shared" si="63"/>
        <v>0</v>
      </c>
      <c r="AT104" s="38">
        <f>Inputs!$B$19*(1-Inputs!$C$71*$H104)+Inputs!$B$21+Inputs!$B$71*$J104</f>
        <v>601000</v>
      </c>
      <c r="AU104" s="38">
        <f t="shared" si="64"/>
        <v>-601000</v>
      </c>
      <c r="AV104" s="38">
        <f t="shared" si="65"/>
        <v>1</v>
      </c>
      <c r="AW104" s="38">
        <f>MAX(0,MIN(Inputs!$C$36,BB103,AX104+AY104+AZ104+Inputs!$C$6-BA103))</f>
        <v>0</v>
      </c>
      <c r="AX104" s="38">
        <f>Inputs!$C$27*(1+Inputs!$C$28)^($A104/12)*IF(Inputs!$B$71=1,$G104,1)*(1-Inputs!$C$71*$H104*(1-Inputs!$E$54*Inputs!$B$71))*(1+$I104)*IF(Inputs!$C$29=0,1,(MAX(BA103,0)/Inputs!$C$6)^Inputs!$C$29)</f>
        <v>0</v>
      </c>
      <c r="AY104" s="38">
        <f>Inputs!$C$32*BA103/Inputs!$C$6</f>
        <v>0</v>
      </c>
      <c r="AZ104" s="38">
        <f>Inputs!$C$33</f>
        <v>2000</v>
      </c>
      <c r="BA104" s="38">
        <f t="shared" si="66"/>
        <v>0</v>
      </c>
      <c r="BB104" s="38">
        <f t="shared" si="67"/>
        <v>0</v>
      </c>
      <c r="BC104" s="38">
        <f>Inputs!$C$19*(1-Inputs!$C$71*$H104)+Inputs!$C$21+Inputs!$B$71*$J104</f>
        <v>501000</v>
      </c>
      <c r="BD104" s="38">
        <f t="shared" si="68"/>
        <v>-501000</v>
      </c>
      <c r="BE104" s="38">
        <f t="shared" si="69"/>
        <v>1</v>
      </c>
      <c r="BF104" s="38">
        <f>MAX(0,MIN(Inputs!$D$36,BK103,BG104+BH104+BI104+Inputs!$D$6-BJ103))</f>
        <v>0</v>
      </c>
      <c r="BG104" s="38">
        <f>Inputs!$D$27*(1+Inputs!$D$28)^($A104/12)*IF(Inputs!$B$71=1,$G104,1)*(1-Inputs!$C$71*$H104*(1-Inputs!$E$54*Inputs!$B$71))*(1+$I104)*IF(Inputs!$D$29=0,1,(MAX(BJ103,0)/Inputs!$D$6)^Inputs!$D$29)</f>
        <v>4540.1908690250903</v>
      </c>
      <c r="BH104" s="38">
        <f>Inputs!$D$32*BJ103/Inputs!$D$6</f>
        <v>2681.2470399300473</v>
      </c>
      <c r="BI104" s="38">
        <f>Inputs!$D$33</f>
        <v>1500</v>
      </c>
      <c r="BJ104" s="38">
        <f t="shared" si="70"/>
        <v>553063.65617162618</v>
      </c>
      <c r="BK104" s="38">
        <f t="shared" si="71"/>
        <v>0</v>
      </c>
      <c r="BL104" s="38">
        <f>Inputs!$D$19*(1-Inputs!$C$71*$H104)+Inputs!$D$21+Inputs!$B$71*$J104</f>
        <v>410800</v>
      </c>
      <c r="BM104" s="38">
        <f t="shared" si="72"/>
        <v>142263.65617162618</v>
      </c>
      <c r="BN104" s="38">
        <f t="shared" si="73"/>
        <v>0</v>
      </c>
      <c r="BO104" s="38">
        <f>MAX(0,MIN(Inputs!$B$36,BT103,BP104+BQ104+BR104+Inputs!$B$6-BS103))</f>
        <v>0</v>
      </c>
      <c r="BP104" s="38">
        <f>Inputs!$B$27*(1+Inputs!$B$28)^($A104/12)*IF(Inputs!$B$72=1,$G104,1)*(1-Inputs!$C$72*$H104*(1-Inputs!$E$54*Inputs!$B$72))*(1+$I104)*IF(Inputs!$B$29=0,1,(MAX(BS103,0)/Inputs!$B$6)^Inputs!$B$29)</f>
        <v>20796.138950233239</v>
      </c>
      <c r="BQ104" s="38">
        <f>Inputs!$B$32*BS103/Inputs!$B$6</f>
        <v>0</v>
      </c>
      <c r="BR104" s="38">
        <f>Inputs!$B$33</f>
        <v>2500</v>
      </c>
      <c r="BS104" s="38">
        <f t="shared" si="74"/>
        <v>0</v>
      </c>
      <c r="BT104" s="38">
        <f t="shared" si="75"/>
        <v>0</v>
      </c>
      <c r="BU104" s="38">
        <f>Inputs!$B$19*(1-Inputs!$C$72*$H104)+Inputs!$B$21+Inputs!$B$72*$J104</f>
        <v>577500</v>
      </c>
      <c r="BV104" s="38">
        <f t="shared" si="76"/>
        <v>-577500</v>
      </c>
      <c r="BW104" s="38">
        <f t="shared" si="77"/>
        <v>1</v>
      </c>
      <c r="BX104" s="38">
        <f>MAX(0,MIN(Inputs!$C$36,CC103,BY104+BZ104+CA104+Inputs!$C$6-CB103))</f>
        <v>0</v>
      </c>
      <c r="BY104" s="38">
        <f>Inputs!$C$27*(1+Inputs!$C$28)^($A104/12)*IF(Inputs!$B$72=1,$G104,1)*(1-Inputs!$C$72*$H104*(1-Inputs!$E$54*Inputs!$B$72))*(1+$I104)*IF(Inputs!$C$29=0,1,(MAX(CB103,0)/Inputs!$C$6)^Inputs!$C$29)</f>
        <v>0</v>
      </c>
      <c r="BZ104" s="38">
        <f>Inputs!$C$32*CB103/Inputs!$C$6</f>
        <v>0</v>
      </c>
      <c r="CA104" s="38">
        <f>Inputs!$C$33</f>
        <v>2000</v>
      </c>
      <c r="CB104" s="38">
        <f t="shared" si="78"/>
        <v>0</v>
      </c>
      <c r="CC104" s="38">
        <f t="shared" si="79"/>
        <v>0</v>
      </c>
      <c r="CD104" s="38">
        <f>Inputs!$C$19*(1-Inputs!$C$72*$H104)+Inputs!$C$21+Inputs!$B$72*$J104</f>
        <v>480000</v>
      </c>
      <c r="CE104" s="38">
        <f t="shared" si="80"/>
        <v>-480000</v>
      </c>
      <c r="CF104" s="38">
        <f t="shared" si="81"/>
        <v>1</v>
      </c>
      <c r="CG104" s="38">
        <f>MAX(0,MIN(Inputs!$D$36,CL103,CH104+CI104+CJ104+Inputs!$D$6-CK103))</f>
        <v>0</v>
      </c>
      <c r="CH104" s="38">
        <f>Inputs!$D$27*(1+Inputs!$D$28)^($A104/12)*IF(Inputs!$B$72=1,$G104,1)*(1-Inputs!$C$72*$H104*(1-Inputs!$E$54*Inputs!$B$72))*(1+$I104)*IF(Inputs!$D$29=0,1,(MAX(CK103,0)/Inputs!$D$6)^Inputs!$D$29)</f>
        <v>4688.4505434935882</v>
      </c>
      <c r="CI104" s="38">
        <f>Inputs!$D$32*CK103/Inputs!$D$6</f>
        <v>2504.4306674200698</v>
      </c>
      <c r="CJ104" s="38">
        <f>Inputs!$D$33</f>
        <v>1500</v>
      </c>
      <c r="CK104" s="38">
        <f t="shared" si="82"/>
        <v>516044.97291519615</v>
      </c>
      <c r="CL104" s="38">
        <f t="shared" si="83"/>
        <v>0</v>
      </c>
      <c r="CM104" s="38">
        <f>Inputs!$D$19*(1-Inputs!$C$72*$H104)+Inputs!$D$21+Inputs!$B$72*$J104</f>
        <v>392150</v>
      </c>
      <c r="CN104" s="38">
        <f t="shared" si="84"/>
        <v>123894.97291519615</v>
      </c>
      <c r="CO104" s="38">
        <f t="shared" si="85"/>
        <v>0</v>
      </c>
      <c r="CP104" s="38">
        <f>MAX(0,MIN(Inputs!$B$36,CU103,CQ104+CR104+CS104+Inputs!$B$6-CT103))</f>
        <v>0</v>
      </c>
      <c r="CQ104" s="38">
        <f>Inputs!$B$27*(1+Inputs!$B$28)^($A104/12)*IF(Inputs!$B$73=1,$G104,1)*(1-Inputs!$C$73*$H104*(1-Inputs!$E$54*Inputs!$B$73))*(1+$I104)*IF(Inputs!$B$29=0,1,(MAX(CT103,0)/Inputs!$B$6)^Inputs!$B$29)</f>
        <v>18490.011408591814</v>
      </c>
      <c r="CR104" s="38">
        <f>Inputs!$B$32*CT103/Inputs!$B$6</f>
        <v>0</v>
      </c>
      <c r="CS104" s="38">
        <f>Inputs!$B$33</f>
        <v>2500</v>
      </c>
      <c r="CT104" s="38">
        <f t="shared" si="86"/>
        <v>0</v>
      </c>
      <c r="CU104" s="38">
        <f t="shared" si="87"/>
        <v>0</v>
      </c>
      <c r="CV104" s="38">
        <f>Inputs!$B$19*(1-Inputs!$C$73*$H104)+Inputs!$B$21+Inputs!$B$73*$J104</f>
        <v>583500</v>
      </c>
      <c r="CW104" s="38">
        <f t="shared" si="88"/>
        <v>-583500</v>
      </c>
      <c r="CX104" s="38">
        <f t="shared" si="89"/>
        <v>1</v>
      </c>
      <c r="CY104" s="38">
        <f>MAX(0,MIN(Inputs!$C$36,DD103,CZ104+DA104+DB104+Inputs!$C$6-DC103))</f>
        <v>0</v>
      </c>
      <c r="CZ104" s="38">
        <f>Inputs!$C$27*(1+Inputs!$C$28)^($A104/12)*IF(Inputs!$B$73=1,$G104,1)*(1-Inputs!$C$73*$H104*(1-Inputs!$E$54*Inputs!$B$73))*(1+$I104)*IF(Inputs!$C$29=0,1,(MAX(DC103,0)/Inputs!$C$6)^Inputs!$C$29)</f>
        <v>0</v>
      </c>
      <c r="DA104" s="38">
        <f>Inputs!$C$32*DC103/Inputs!$C$6</f>
        <v>0</v>
      </c>
      <c r="DB104" s="38">
        <f>Inputs!$C$33</f>
        <v>2000</v>
      </c>
      <c r="DC104" s="38">
        <f t="shared" si="90"/>
        <v>0</v>
      </c>
      <c r="DD104" s="38">
        <f t="shared" si="91"/>
        <v>0</v>
      </c>
      <c r="DE104" s="38">
        <f>Inputs!$C$19*(1-Inputs!$C$73*$H104)+Inputs!$C$21+Inputs!$B$73*$J104</f>
        <v>486000</v>
      </c>
      <c r="DF104" s="38">
        <f t="shared" si="92"/>
        <v>-486000</v>
      </c>
      <c r="DG104" s="38">
        <f t="shared" si="93"/>
        <v>1</v>
      </c>
      <c r="DH104" s="38">
        <f>MAX(0,MIN(Inputs!$D$36,DM103,DI104+DJ104+DK104+Inputs!$D$6-DL103))</f>
        <v>0</v>
      </c>
      <c r="DI104" s="38">
        <f>Inputs!$D$27*(1+Inputs!$D$28)^($A104/12)*IF(Inputs!$B$73=1,$G104,1)*(1-Inputs!$C$73*$H104*(1-Inputs!$E$54*Inputs!$B$73))*(1+$I104)*IF(Inputs!$D$29=0,1,(MAX(DL103,0)/Inputs!$D$6)^Inputs!$D$29)</f>
        <v>4388.8485684739408</v>
      </c>
      <c r="DJ104" s="38">
        <f>Inputs!$D$32*DL103/Inputs!$D$6</f>
        <v>2776.1478409898773</v>
      </c>
      <c r="DK104" s="38">
        <f>Inputs!$D$33</f>
        <v>1500</v>
      </c>
      <c r="DL104" s="38">
        <f t="shared" si="94"/>
        <v>573004.07503603434</v>
      </c>
      <c r="DM104" s="38">
        <f t="shared" si="95"/>
        <v>0</v>
      </c>
      <c r="DN104" s="38">
        <f>Inputs!$D$19*(1-Inputs!$C$73*$H104)+Inputs!$D$21+Inputs!$B$73*$J104</f>
        <v>398150</v>
      </c>
      <c r="DO104" s="38">
        <f t="shared" si="96"/>
        <v>174854.07503603434</v>
      </c>
      <c r="DP104" s="38">
        <f t="shared" si="97"/>
        <v>0</v>
      </c>
    </row>
    <row r="105" spans="1:120" x14ac:dyDescent="0.35">
      <c r="A105" s="29">
        <v>100</v>
      </c>
      <c r="B105" s="34">
        <f>EDATE(Inputs!$B$67,$A105)</f>
        <v>49310</v>
      </c>
      <c r="C105" s="35">
        <f>IF(Inputs!$E$47&lt;=0,Inputs!$E$46,Inputs!$E$44+(Inputs!$E$46-Inputs!$E$44)*MIN($A105/Inputs!$E$47,1))</f>
        <v>0.7</v>
      </c>
      <c r="D105" s="35">
        <f>MIN(Inputs!$E$57,Inputs!$E$55*(1+Inputs!$E$56)^($A105/12))*Inputs!$E$58*(1+Inputs!$E$59)^($A105/12)/Inputs!$E$45</f>
        <v>1.5</v>
      </c>
      <c r="E105" s="35">
        <f>MAX(Inputs!$E$44,MIN(C105,D105))</f>
        <v>0.7</v>
      </c>
      <c r="F105" s="35">
        <f>IF(Inputs!$E$50&lt;=0,Inputs!$E$49,Inputs!$E$48+(Inputs!$E$49-Inputs!$E$48)*MIN($A105/Inputs!$E$50,1))</f>
        <v>0.12</v>
      </c>
      <c r="G105" s="36">
        <f>(Inputs!$E$41*(1-E105*Inputs!$E$51)+Inputs!$E$42*(1-F105*Inputs!$E$51))/(Inputs!$E$41*(1-Inputs!$E$44*Inputs!$E$51)+Inputs!$E$42*(1-Inputs!$E$48*Inputs!$E$51))</f>
        <v>0.8423127463863338</v>
      </c>
      <c r="H105" s="35">
        <f>IF(Inputs!$E$53&lt;=0,Inputs!$E$52,Inputs!$E$52*MIN($A105/Inputs!$E$53,1))</f>
        <v>0.1</v>
      </c>
      <c r="I105" s="35">
        <f>IF(Inputs!$E$64&lt;=0,Inputs!$E$63,Inputs!$E$62+(Inputs!$E$63-Inputs!$E$62)*MIN($A105/Inputs!$E$64,1))</f>
        <v>0.03</v>
      </c>
      <c r="J105" s="37">
        <f>(E105-Inputs!$E$44)*Inputs!$E$45/Inputs!$E$60*Inputs!$E$61</f>
        <v>5999.9999999999991</v>
      </c>
      <c r="K105" s="29">
        <f t="shared" si="49"/>
        <v>0</v>
      </c>
      <c r="L105" s="29"/>
      <c r="M105" s="38">
        <f>MAX(0,MIN(Inputs!$B$36,R104,N105+O105+P105+Inputs!$B$6-Q104))</f>
        <v>0</v>
      </c>
      <c r="N105" s="38">
        <f>Inputs!$B$27*(1+Inputs!$B$28)^($A105/12)*IF(Inputs!$B$70=1,$G105,1)*(1-Inputs!$C$70*$H105*(1-Inputs!$E$54*Inputs!$B$70))*(1+$I105)*IF(Inputs!$B$29=0,1,(MAX(Q104,0)/Inputs!$B$6)^Inputs!$B$29)</f>
        <v>23200.961105042708</v>
      </c>
      <c r="O105" s="38">
        <f>Inputs!$B$32*Q104/Inputs!$B$6</f>
        <v>0</v>
      </c>
      <c r="P105" s="38">
        <f>Inputs!$B$33</f>
        <v>2500</v>
      </c>
      <c r="Q105" s="38">
        <f t="shared" si="50"/>
        <v>0</v>
      </c>
      <c r="R105" s="38">
        <f t="shared" si="51"/>
        <v>0</v>
      </c>
      <c r="S105" s="38">
        <f>Inputs!$B$19*(1-Inputs!$C$70*$H105)+Inputs!$B$21+Inputs!$B$70*$J105</f>
        <v>595000</v>
      </c>
      <c r="T105" s="38">
        <f t="shared" si="52"/>
        <v>-595000</v>
      </c>
      <c r="U105" s="38">
        <f t="shared" si="53"/>
        <v>1</v>
      </c>
      <c r="V105" s="38">
        <f>MAX(0,MIN(Inputs!$C$36,AA104,W105+X105+Y105+Inputs!$C$6-Z104))</f>
        <v>0</v>
      </c>
      <c r="W105" s="38">
        <f>Inputs!$C$27*(1+Inputs!$C$28)^($A105/12)*IF(Inputs!$B$70=1,$G105,1)*(1-Inputs!$C$70*$H105*(1-Inputs!$E$54*Inputs!$B$70))*(1+$I105)*IF(Inputs!$C$29=0,1,(MAX(Z104,0)/Inputs!$C$6)^Inputs!$C$29)</f>
        <v>0</v>
      </c>
      <c r="X105" s="38">
        <f>Inputs!$C$32*Z104/Inputs!$C$6</f>
        <v>0</v>
      </c>
      <c r="Y105" s="38">
        <f>Inputs!$C$33</f>
        <v>2000</v>
      </c>
      <c r="Z105" s="38">
        <f t="shared" si="54"/>
        <v>0</v>
      </c>
      <c r="AA105" s="38">
        <f t="shared" si="55"/>
        <v>0</v>
      </c>
      <c r="AB105" s="38">
        <f>Inputs!$C$19*(1-Inputs!$C$70*$H105)+Inputs!$C$21+Inputs!$B$70*$J105</f>
        <v>495000</v>
      </c>
      <c r="AC105" s="38">
        <f t="shared" si="56"/>
        <v>-495000</v>
      </c>
      <c r="AD105" s="38">
        <f t="shared" si="57"/>
        <v>1</v>
      </c>
      <c r="AE105" s="38">
        <f>MAX(0,MIN(Inputs!$D$36,AJ104,AF105+AG105+AH105+Inputs!$D$6-AI104))</f>
        <v>0</v>
      </c>
      <c r="AF105" s="38">
        <f>Inputs!$D$27*(1+Inputs!$D$28)^($A105/12)*IF(Inputs!$B$70=1,$G105,1)*(1-Inputs!$C$70*$H105*(1-Inputs!$E$54*Inputs!$B$70))*(1+$I105)*IF(Inputs!$D$29=0,1,(MAX(AI104,0)/Inputs!$D$6)^Inputs!$D$29)</f>
        <v>4920.0102756085817</v>
      </c>
      <c r="AG105" s="38">
        <f>Inputs!$D$32*AI104/Inputs!$D$6</f>
        <v>2253.0981230832699</v>
      </c>
      <c r="AH105" s="38">
        <f>Inputs!$D$33</f>
        <v>1500</v>
      </c>
      <c r="AI105" s="38">
        <f t="shared" si="58"/>
        <v>463404.59358065994</v>
      </c>
      <c r="AJ105" s="38">
        <f t="shared" si="59"/>
        <v>0</v>
      </c>
      <c r="AK105" s="38">
        <f>Inputs!$D$19*(1-Inputs!$C$70*$H105)+Inputs!$D$21+Inputs!$B$70*$J105</f>
        <v>404800</v>
      </c>
      <c r="AL105" s="38">
        <f t="shared" si="60"/>
        <v>58604.593580659945</v>
      </c>
      <c r="AM105" s="38">
        <f t="shared" si="61"/>
        <v>0</v>
      </c>
      <c r="AN105" s="38">
        <f>MAX(0,MIN(Inputs!$B$36,AS104,AO105+AP105+AQ105+Inputs!$B$6-AR104))</f>
        <v>0</v>
      </c>
      <c r="AO105" s="38">
        <f>Inputs!$B$27*(1+Inputs!$B$28)^($A105/12)*IF(Inputs!$B$71=1,$G105,1)*(1-Inputs!$C$71*$H105*(1-Inputs!$E$54*Inputs!$B$71))*(1+$I105)*IF(Inputs!$B$29=0,1,(MAX(AR104,0)/Inputs!$B$6)^Inputs!$B$29)</f>
        <v>19542.465267191033</v>
      </c>
      <c r="AP105" s="38">
        <f>Inputs!$B$32*AR104/Inputs!$B$6</f>
        <v>0</v>
      </c>
      <c r="AQ105" s="38">
        <f>Inputs!$B$33</f>
        <v>2500</v>
      </c>
      <c r="AR105" s="38">
        <f t="shared" si="62"/>
        <v>0</v>
      </c>
      <c r="AS105" s="38">
        <f t="shared" si="63"/>
        <v>0</v>
      </c>
      <c r="AT105" s="38">
        <f>Inputs!$B$19*(1-Inputs!$C$71*$H105)+Inputs!$B$21+Inputs!$B$71*$J105</f>
        <v>601000</v>
      </c>
      <c r="AU105" s="38">
        <f t="shared" si="64"/>
        <v>-601000</v>
      </c>
      <c r="AV105" s="38">
        <f t="shared" si="65"/>
        <v>1</v>
      </c>
      <c r="AW105" s="38">
        <f>MAX(0,MIN(Inputs!$C$36,BB104,AX105+AY105+AZ105+Inputs!$C$6-BA104))</f>
        <v>0</v>
      </c>
      <c r="AX105" s="38">
        <f>Inputs!$C$27*(1+Inputs!$C$28)^($A105/12)*IF(Inputs!$B$71=1,$G105,1)*(1-Inputs!$C$71*$H105*(1-Inputs!$E$54*Inputs!$B$71))*(1+$I105)*IF(Inputs!$C$29=0,1,(MAX(BA104,0)/Inputs!$C$6)^Inputs!$C$29)</f>
        <v>0</v>
      </c>
      <c r="AY105" s="38">
        <f>Inputs!$C$32*BA104/Inputs!$C$6</f>
        <v>0</v>
      </c>
      <c r="AZ105" s="38">
        <f>Inputs!$C$33</f>
        <v>2000</v>
      </c>
      <c r="BA105" s="38">
        <f t="shared" si="66"/>
        <v>0</v>
      </c>
      <c r="BB105" s="38">
        <f t="shared" si="67"/>
        <v>0</v>
      </c>
      <c r="BC105" s="38">
        <f>Inputs!$C$19*(1-Inputs!$C$71*$H105)+Inputs!$C$21+Inputs!$B$71*$J105</f>
        <v>501000</v>
      </c>
      <c r="BD105" s="38">
        <f t="shared" si="68"/>
        <v>-501000</v>
      </c>
      <c r="BE105" s="38">
        <f t="shared" si="69"/>
        <v>1</v>
      </c>
      <c r="BF105" s="38">
        <f>MAX(0,MIN(Inputs!$D$36,BK104,BG105+BH105+BI105+Inputs!$D$6-BJ104))</f>
        <v>0</v>
      </c>
      <c r="BG105" s="38">
        <f>Inputs!$D$27*(1+Inputs!$D$28)^($A105/12)*IF(Inputs!$B$71=1,$G105,1)*(1-Inputs!$C$71*$H105*(1-Inputs!$E$54*Inputs!$B$71))*(1+$I105)*IF(Inputs!$D$29=0,1,(MAX(BJ104,0)/Inputs!$D$6)^Inputs!$D$29)</f>
        <v>4485.5964455785952</v>
      </c>
      <c r="BH105" s="38">
        <f>Inputs!$D$32*BJ104/Inputs!$D$6</f>
        <v>2639.6219953645791</v>
      </c>
      <c r="BI105" s="38">
        <f>Inputs!$D$33</f>
        <v>1500</v>
      </c>
      <c r="BJ105" s="38">
        <f t="shared" si="70"/>
        <v>544438.43773068301</v>
      </c>
      <c r="BK105" s="38">
        <f t="shared" si="71"/>
        <v>0</v>
      </c>
      <c r="BL105" s="38">
        <f>Inputs!$D$19*(1-Inputs!$C$71*$H105)+Inputs!$D$21+Inputs!$B$71*$J105</f>
        <v>410800</v>
      </c>
      <c r="BM105" s="38">
        <f t="shared" si="72"/>
        <v>133638.43773068301</v>
      </c>
      <c r="BN105" s="38">
        <f t="shared" si="73"/>
        <v>0</v>
      </c>
      <c r="BO105" s="38">
        <f>MAX(0,MIN(Inputs!$B$36,BT104,BP105+BQ105+BR105+Inputs!$B$6-BS104))</f>
        <v>0</v>
      </c>
      <c r="BP105" s="38">
        <f>Inputs!$B$27*(1+Inputs!$B$28)^($A105/12)*IF(Inputs!$B$72=1,$G105,1)*(1-Inputs!$C$72*$H105*(1-Inputs!$E$54*Inputs!$B$72))*(1+$I105)*IF(Inputs!$B$29=0,1,(MAX(BS104,0)/Inputs!$B$6)^Inputs!$B$29)</f>
        <v>20880.864994538439</v>
      </c>
      <c r="BQ105" s="38">
        <f>Inputs!$B$32*BS104/Inputs!$B$6</f>
        <v>0</v>
      </c>
      <c r="BR105" s="38">
        <f>Inputs!$B$33</f>
        <v>2500</v>
      </c>
      <c r="BS105" s="38">
        <f t="shared" si="74"/>
        <v>0</v>
      </c>
      <c r="BT105" s="38">
        <f t="shared" si="75"/>
        <v>0</v>
      </c>
      <c r="BU105" s="38">
        <f>Inputs!$B$19*(1-Inputs!$C$72*$H105)+Inputs!$B$21+Inputs!$B$72*$J105</f>
        <v>577500</v>
      </c>
      <c r="BV105" s="38">
        <f t="shared" si="76"/>
        <v>-577500</v>
      </c>
      <c r="BW105" s="38">
        <f t="shared" si="77"/>
        <v>1</v>
      </c>
      <c r="BX105" s="38">
        <f>MAX(0,MIN(Inputs!$C$36,CC104,BY105+BZ105+CA105+Inputs!$C$6-CB104))</f>
        <v>0</v>
      </c>
      <c r="BY105" s="38">
        <f>Inputs!$C$27*(1+Inputs!$C$28)^($A105/12)*IF(Inputs!$B$72=1,$G105,1)*(1-Inputs!$C$72*$H105*(1-Inputs!$E$54*Inputs!$B$72))*(1+$I105)*IF(Inputs!$C$29=0,1,(MAX(CB104,0)/Inputs!$C$6)^Inputs!$C$29)</f>
        <v>0</v>
      </c>
      <c r="BZ105" s="38">
        <f>Inputs!$C$32*CB104/Inputs!$C$6</f>
        <v>0</v>
      </c>
      <c r="CA105" s="38">
        <f>Inputs!$C$33</f>
        <v>2000</v>
      </c>
      <c r="CB105" s="38">
        <f t="shared" si="78"/>
        <v>0</v>
      </c>
      <c r="CC105" s="38">
        <f t="shared" si="79"/>
        <v>0</v>
      </c>
      <c r="CD105" s="38">
        <f>Inputs!$C$19*(1-Inputs!$C$72*$H105)+Inputs!$C$21+Inputs!$B$72*$J105</f>
        <v>480000</v>
      </c>
      <c r="CE105" s="38">
        <f t="shared" si="80"/>
        <v>-480000</v>
      </c>
      <c r="CF105" s="38">
        <f t="shared" si="81"/>
        <v>1</v>
      </c>
      <c r="CG105" s="38">
        <f>MAX(0,MIN(Inputs!$D$36,CL104,CH105+CI105+CJ105+Inputs!$D$6-CK104))</f>
        <v>0</v>
      </c>
      <c r="CH105" s="38">
        <f>Inputs!$D$27*(1+Inputs!$D$28)^($A105/12)*IF(Inputs!$B$72=1,$G105,1)*(1-Inputs!$C$72*$H105*(1-Inputs!$E$54*Inputs!$B$72))*(1+$I105)*IF(Inputs!$D$29=0,1,(MAX(CK104,0)/Inputs!$D$6)^Inputs!$D$29)</f>
        <v>4629.6221939662619</v>
      </c>
      <c r="CI105" s="38">
        <f>Inputs!$D$32*CK104/Inputs!$D$6</f>
        <v>2462.9419161861638</v>
      </c>
      <c r="CJ105" s="38">
        <f>Inputs!$D$33</f>
        <v>1500</v>
      </c>
      <c r="CK105" s="38">
        <f t="shared" si="82"/>
        <v>507452.40880504373</v>
      </c>
      <c r="CL105" s="38">
        <f t="shared" si="83"/>
        <v>0</v>
      </c>
      <c r="CM105" s="38">
        <f>Inputs!$D$19*(1-Inputs!$C$72*$H105)+Inputs!$D$21+Inputs!$B$72*$J105</f>
        <v>392150</v>
      </c>
      <c r="CN105" s="38">
        <f t="shared" si="84"/>
        <v>115302.40880504373</v>
      </c>
      <c r="CO105" s="38">
        <f t="shared" si="85"/>
        <v>0</v>
      </c>
      <c r="CP105" s="38">
        <f>MAX(0,MIN(Inputs!$B$36,CU104,CQ105+CR105+CS105+Inputs!$B$6-CT104))</f>
        <v>0</v>
      </c>
      <c r="CQ105" s="38">
        <f>Inputs!$B$27*(1+Inputs!$B$28)^($A105/12)*IF(Inputs!$B$73=1,$G105,1)*(1-Inputs!$C$73*$H105*(1-Inputs!$E$54*Inputs!$B$73))*(1+$I105)*IF(Inputs!$B$29=0,1,(MAX(CT104,0)/Inputs!$B$6)^Inputs!$B$29)</f>
        <v>18565.34200383148</v>
      </c>
      <c r="CR105" s="38">
        <f>Inputs!$B$32*CT104/Inputs!$B$6</f>
        <v>0</v>
      </c>
      <c r="CS105" s="38">
        <f>Inputs!$B$33</f>
        <v>2500</v>
      </c>
      <c r="CT105" s="38">
        <f t="shared" si="86"/>
        <v>0</v>
      </c>
      <c r="CU105" s="38">
        <f t="shared" si="87"/>
        <v>0</v>
      </c>
      <c r="CV105" s="38">
        <f>Inputs!$B$19*(1-Inputs!$C$73*$H105)+Inputs!$B$21+Inputs!$B$73*$J105</f>
        <v>583500</v>
      </c>
      <c r="CW105" s="38">
        <f t="shared" si="88"/>
        <v>-583500</v>
      </c>
      <c r="CX105" s="38">
        <f t="shared" si="89"/>
        <v>1</v>
      </c>
      <c r="CY105" s="38">
        <f>MAX(0,MIN(Inputs!$C$36,DD104,CZ105+DA105+DB105+Inputs!$C$6-DC104))</f>
        <v>0</v>
      </c>
      <c r="CZ105" s="38">
        <f>Inputs!$C$27*(1+Inputs!$C$28)^($A105/12)*IF(Inputs!$B$73=1,$G105,1)*(1-Inputs!$C$73*$H105*(1-Inputs!$E$54*Inputs!$B$73))*(1+$I105)*IF(Inputs!$C$29=0,1,(MAX(DC104,0)/Inputs!$C$6)^Inputs!$C$29)</f>
        <v>0</v>
      </c>
      <c r="DA105" s="38">
        <f>Inputs!$C$32*DC104/Inputs!$C$6</f>
        <v>0</v>
      </c>
      <c r="DB105" s="38">
        <f>Inputs!$C$33</f>
        <v>2000</v>
      </c>
      <c r="DC105" s="38">
        <f t="shared" si="90"/>
        <v>0</v>
      </c>
      <c r="DD105" s="38">
        <f t="shared" si="91"/>
        <v>0</v>
      </c>
      <c r="DE105" s="38">
        <f>Inputs!$C$19*(1-Inputs!$C$73*$H105)+Inputs!$C$21+Inputs!$B$73*$J105</f>
        <v>486000</v>
      </c>
      <c r="DF105" s="38">
        <f t="shared" si="92"/>
        <v>-486000</v>
      </c>
      <c r="DG105" s="38">
        <f t="shared" si="93"/>
        <v>1</v>
      </c>
      <c r="DH105" s="38">
        <f>MAX(0,MIN(Inputs!$D$36,DM104,DI105+DJ105+DK105+Inputs!$D$6-DL104))</f>
        <v>0</v>
      </c>
      <c r="DI105" s="38">
        <f>Inputs!$D$27*(1+Inputs!$D$28)^($A105/12)*IF(Inputs!$B$73=1,$G105,1)*(1-Inputs!$C$73*$H105*(1-Inputs!$E$54*Inputs!$B$73))*(1+$I105)*IF(Inputs!$D$29=0,1,(MAX(DL104,0)/Inputs!$D$6)^Inputs!$D$29)</f>
        <v>4337.4561707566563</v>
      </c>
      <c r="DJ105" s="38">
        <f>Inputs!$D$32*DL104/Inputs!$D$6</f>
        <v>2734.7921763083459</v>
      </c>
      <c r="DK105" s="38">
        <f>Inputs!$D$33</f>
        <v>1500</v>
      </c>
      <c r="DL105" s="38">
        <f t="shared" si="94"/>
        <v>564431.82668896939</v>
      </c>
      <c r="DM105" s="38">
        <f t="shared" si="95"/>
        <v>0</v>
      </c>
      <c r="DN105" s="38">
        <f>Inputs!$D$19*(1-Inputs!$C$73*$H105)+Inputs!$D$21+Inputs!$B$73*$J105</f>
        <v>398150</v>
      </c>
      <c r="DO105" s="38">
        <f t="shared" si="96"/>
        <v>166281.82668896939</v>
      </c>
      <c r="DP105" s="38">
        <f t="shared" si="97"/>
        <v>0</v>
      </c>
    </row>
    <row r="106" spans="1:120" x14ac:dyDescent="0.35">
      <c r="A106" s="29">
        <v>101</v>
      </c>
      <c r="B106" s="34">
        <f>EDATE(Inputs!$B$67,$A106)</f>
        <v>49341</v>
      </c>
      <c r="C106" s="35">
        <f>IF(Inputs!$E$47&lt;=0,Inputs!$E$46,Inputs!$E$44+(Inputs!$E$46-Inputs!$E$44)*MIN($A106/Inputs!$E$47,1))</f>
        <v>0.7</v>
      </c>
      <c r="D106" s="35">
        <f>MIN(Inputs!$E$57,Inputs!$E$55*(1+Inputs!$E$56)^($A106/12))*Inputs!$E$58*(1+Inputs!$E$59)^($A106/12)/Inputs!$E$45</f>
        <v>1.5</v>
      </c>
      <c r="E106" s="35">
        <f>MAX(Inputs!$E$44,MIN(C106,D106))</f>
        <v>0.7</v>
      </c>
      <c r="F106" s="35">
        <f>IF(Inputs!$E$50&lt;=0,Inputs!$E$49,Inputs!$E$48+(Inputs!$E$49-Inputs!$E$48)*MIN($A106/Inputs!$E$50,1))</f>
        <v>0.12</v>
      </c>
      <c r="G106" s="36">
        <f>(Inputs!$E$41*(1-E106*Inputs!$E$51)+Inputs!$E$42*(1-F106*Inputs!$E$51))/(Inputs!$E$41*(1-Inputs!$E$44*Inputs!$E$51)+Inputs!$E$42*(1-Inputs!$E$48*Inputs!$E$51))</f>
        <v>0.8423127463863338</v>
      </c>
      <c r="H106" s="35">
        <f>IF(Inputs!$E$53&lt;=0,Inputs!$E$52,Inputs!$E$52*MIN($A106/Inputs!$E$53,1))</f>
        <v>0.1</v>
      </c>
      <c r="I106" s="35">
        <f>IF(Inputs!$E$64&lt;=0,Inputs!$E$63,Inputs!$E$62+(Inputs!$E$63-Inputs!$E$62)*MIN($A106/Inputs!$E$64,1))</f>
        <v>0.03</v>
      </c>
      <c r="J106" s="37">
        <f>(E106-Inputs!$E$44)*Inputs!$E$45/Inputs!$E$60*Inputs!$E$61</f>
        <v>5999.9999999999991</v>
      </c>
      <c r="K106" s="29">
        <f t="shared" si="49"/>
        <v>0</v>
      </c>
      <c r="L106" s="29"/>
      <c r="M106" s="38">
        <f>MAX(0,MIN(Inputs!$B$36,R105,N106+O106+P106+Inputs!$B$6-Q105))</f>
        <v>0</v>
      </c>
      <c r="N106" s="38">
        <f>Inputs!$B$27*(1+Inputs!$B$28)^($A106/12)*IF(Inputs!$B$70=1,$G106,1)*(1-Inputs!$C$70*$H106*(1-Inputs!$E$54*Inputs!$B$70))*(1+$I106)*IF(Inputs!$B$29=0,1,(MAX(Q105,0)/Inputs!$B$6)^Inputs!$B$29)</f>
        <v>23295.48469248426</v>
      </c>
      <c r="O106" s="38">
        <f>Inputs!$B$32*Q105/Inputs!$B$6</f>
        <v>0</v>
      </c>
      <c r="P106" s="38">
        <f>Inputs!$B$33</f>
        <v>2500</v>
      </c>
      <c r="Q106" s="38">
        <f t="shared" si="50"/>
        <v>0</v>
      </c>
      <c r="R106" s="38">
        <f t="shared" si="51"/>
        <v>0</v>
      </c>
      <c r="S106" s="38">
        <f>Inputs!$B$19*(1-Inputs!$C$70*$H106)+Inputs!$B$21+Inputs!$B$70*$J106</f>
        <v>595000</v>
      </c>
      <c r="T106" s="38">
        <f t="shared" si="52"/>
        <v>-595000</v>
      </c>
      <c r="U106" s="38">
        <f t="shared" si="53"/>
        <v>1</v>
      </c>
      <c r="V106" s="38">
        <f>MAX(0,MIN(Inputs!$C$36,AA105,W106+X106+Y106+Inputs!$C$6-Z105))</f>
        <v>0</v>
      </c>
      <c r="W106" s="38">
        <f>Inputs!$C$27*(1+Inputs!$C$28)^($A106/12)*IF(Inputs!$B$70=1,$G106,1)*(1-Inputs!$C$70*$H106*(1-Inputs!$E$54*Inputs!$B$70))*(1+$I106)*IF(Inputs!$C$29=0,1,(MAX(Z105,0)/Inputs!$C$6)^Inputs!$C$29)</f>
        <v>0</v>
      </c>
      <c r="X106" s="38">
        <f>Inputs!$C$32*Z105/Inputs!$C$6</f>
        <v>0</v>
      </c>
      <c r="Y106" s="38">
        <f>Inputs!$C$33</f>
        <v>2000</v>
      </c>
      <c r="Z106" s="38">
        <f t="shared" si="54"/>
        <v>0</v>
      </c>
      <c r="AA106" s="38">
        <f t="shared" si="55"/>
        <v>0</v>
      </c>
      <c r="AB106" s="38">
        <f>Inputs!$C$19*(1-Inputs!$C$70*$H106)+Inputs!$C$21+Inputs!$B$70*$J106</f>
        <v>495000</v>
      </c>
      <c r="AC106" s="38">
        <f t="shared" si="56"/>
        <v>-495000</v>
      </c>
      <c r="AD106" s="38">
        <f t="shared" si="57"/>
        <v>1</v>
      </c>
      <c r="AE106" s="38">
        <f>MAX(0,MIN(Inputs!$D$36,AJ105,AF106+AG106+AH106+Inputs!$D$6-AI105))</f>
        <v>0</v>
      </c>
      <c r="AF106" s="38">
        <f>Inputs!$D$27*(1+Inputs!$D$28)^($A106/12)*IF(Inputs!$B$70=1,$G106,1)*(1-Inputs!$C$70*$H106*(1-Inputs!$E$54*Inputs!$B$70))*(1+$I106)*IF(Inputs!$D$29=0,1,(MAX(AI105,0)/Inputs!$D$6)^Inputs!$D$29)</f>
        <v>4853.8132967266547</v>
      </c>
      <c r="AG106" s="38">
        <f>Inputs!$D$32*AI105/Inputs!$D$6</f>
        <v>2211.7037420895135</v>
      </c>
      <c r="AH106" s="38">
        <f>Inputs!$D$33</f>
        <v>1500</v>
      </c>
      <c r="AI106" s="38">
        <f t="shared" si="58"/>
        <v>454839.07654184377</v>
      </c>
      <c r="AJ106" s="38">
        <f t="shared" si="59"/>
        <v>0</v>
      </c>
      <c r="AK106" s="38">
        <f>Inputs!$D$19*(1-Inputs!$C$70*$H106)+Inputs!$D$21+Inputs!$B$70*$J106</f>
        <v>404800</v>
      </c>
      <c r="AL106" s="38">
        <f t="shared" si="60"/>
        <v>50039.076541843766</v>
      </c>
      <c r="AM106" s="38">
        <f t="shared" si="61"/>
        <v>0</v>
      </c>
      <c r="AN106" s="38">
        <f>MAX(0,MIN(Inputs!$B$36,AS105,AO106+AP106+AQ106+Inputs!$B$6-AR105))</f>
        <v>0</v>
      </c>
      <c r="AO106" s="38">
        <f>Inputs!$B$27*(1+Inputs!$B$28)^($A106/12)*IF(Inputs!$B$71=1,$G106,1)*(1-Inputs!$C$71*$H106*(1-Inputs!$E$54*Inputs!$B$71))*(1+$I106)*IF(Inputs!$B$29=0,1,(MAX(AR105,0)/Inputs!$B$6)^Inputs!$B$29)</f>
        <v>19622.083689727213</v>
      </c>
      <c r="AP106" s="38">
        <f>Inputs!$B$32*AR105/Inputs!$B$6</f>
        <v>0</v>
      </c>
      <c r="AQ106" s="38">
        <f>Inputs!$B$33</f>
        <v>2500</v>
      </c>
      <c r="AR106" s="38">
        <f t="shared" si="62"/>
        <v>0</v>
      </c>
      <c r="AS106" s="38">
        <f t="shared" si="63"/>
        <v>0</v>
      </c>
      <c r="AT106" s="38">
        <f>Inputs!$B$19*(1-Inputs!$C$71*$H106)+Inputs!$B$21+Inputs!$B$71*$J106</f>
        <v>601000</v>
      </c>
      <c r="AU106" s="38">
        <f t="shared" si="64"/>
        <v>-601000</v>
      </c>
      <c r="AV106" s="38">
        <f t="shared" si="65"/>
        <v>1</v>
      </c>
      <c r="AW106" s="38">
        <f>MAX(0,MIN(Inputs!$C$36,BB105,AX106+AY106+AZ106+Inputs!$C$6-BA105))</f>
        <v>0</v>
      </c>
      <c r="AX106" s="38">
        <f>Inputs!$C$27*(1+Inputs!$C$28)^($A106/12)*IF(Inputs!$B$71=1,$G106,1)*(1-Inputs!$C$71*$H106*(1-Inputs!$E$54*Inputs!$B$71))*(1+$I106)*IF(Inputs!$C$29=0,1,(MAX(BA105,0)/Inputs!$C$6)^Inputs!$C$29)</f>
        <v>0</v>
      </c>
      <c r="AY106" s="38">
        <f>Inputs!$C$32*BA105/Inputs!$C$6</f>
        <v>0</v>
      </c>
      <c r="AZ106" s="38">
        <f>Inputs!$C$33</f>
        <v>2000</v>
      </c>
      <c r="BA106" s="38">
        <f t="shared" si="66"/>
        <v>0</v>
      </c>
      <c r="BB106" s="38">
        <f t="shared" si="67"/>
        <v>0</v>
      </c>
      <c r="BC106" s="38">
        <f>Inputs!$C$19*(1-Inputs!$C$71*$H106)+Inputs!$C$21+Inputs!$B$71*$J106</f>
        <v>501000</v>
      </c>
      <c r="BD106" s="38">
        <f t="shared" si="68"/>
        <v>-501000</v>
      </c>
      <c r="BE106" s="38">
        <f t="shared" si="69"/>
        <v>1</v>
      </c>
      <c r="BF106" s="38">
        <f>MAX(0,MIN(Inputs!$D$36,BK105,BG106+BH106+BI106+Inputs!$D$6-BJ105))</f>
        <v>0</v>
      </c>
      <c r="BG106" s="38">
        <f>Inputs!$D$27*(1+Inputs!$D$28)^($A106/12)*IF(Inputs!$B$71=1,$G106,1)*(1-Inputs!$C$71*$H106*(1-Inputs!$E$54*Inputs!$B$71))*(1+$I106)*IF(Inputs!$D$29=0,1,(MAX(BJ105,0)/Inputs!$D$6)^Inputs!$D$29)</f>
        <v>4431.4990660524018</v>
      </c>
      <c r="BH106" s="38">
        <f>Inputs!$D$32*BJ105/Inputs!$D$6</f>
        <v>2598.4561800782599</v>
      </c>
      <c r="BI106" s="38">
        <f>Inputs!$D$33</f>
        <v>1500</v>
      </c>
      <c r="BJ106" s="38">
        <f t="shared" si="70"/>
        <v>535908.48248455243</v>
      </c>
      <c r="BK106" s="38">
        <f t="shared" si="71"/>
        <v>0</v>
      </c>
      <c r="BL106" s="38">
        <f>Inputs!$D$19*(1-Inputs!$C$71*$H106)+Inputs!$D$21+Inputs!$B$71*$J106</f>
        <v>410800</v>
      </c>
      <c r="BM106" s="38">
        <f t="shared" si="72"/>
        <v>125108.48248455243</v>
      </c>
      <c r="BN106" s="38">
        <f t="shared" si="73"/>
        <v>0</v>
      </c>
      <c r="BO106" s="38">
        <f>MAX(0,MIN(Inputs!$B$36,BT105,BP106+BQ106+BR106+Inputs!$B$6-BS105))</f>
        <v>0</v>
      </c>
      <c r="BP106" s="38">
        <f>Inputs!$B$27*(1+Inputs!$B$28)^($A106/12)*IF(Inputs!$B$72=1,$G106,1)*(1-Inputs!$C$72*$H106*(1-Inputs!$E$54*Inputs!$B$72))*(1+$I106)*IF(Inputs!$B$29=0,1,(MAX(BS105,0)/Inputs!$B$6)^Inputs!$B$29)</f>
        <v>20965.936223235836</v>
      </c>
      <c r="BQ106" s="38">
        <f>Inputs!$B$32*BS105/Inputs!$B$6</f>
        <v>0</v>
      </c>
      <c r="BR106" s="38">
        <f>Inputs!$B$33</f>
        <v>2500</v>
      </c>
      <c r="BS106" s="38">
        <f t="shared" si="74"/>
        <v>0</v>
      </c>
      <c r="BT106" s="38">
        <f t="shared" si="75"/>
        <v>0</v>
      </c>
      <c r="BU106" s="38">
        <f>Inputs!$B$19*(1-Inputs!$C$72*$H106)+Inputs!$B$21+Inputs!$B$72*$J106</f>
        <v>577500</v>
      </c>
      <c r="BV106" s="38">
        <f t="shared" si="76"/>
        <v>-577500</v>
      </c>
      <c r="BW106" s="38">
        <f t="shared" si="77"/>
        <v>1</v>
      </c>
      <c r="BX106" s="38">
        <f>MAX(0,MIN(Inputs!$C$36,CC105,BY106+BZ106+CA106+Inputs!$C$6-CB105))</f>
        <v>0</v>
      </c>
      <c r="BY106" s="38">
        <f>Inputs!$C$27*(1+Inputs!$C$28)^($A106/12)*IF(Inputs!$B$72=1,$G106,1)*(1-Inputs!$C$72*$H106*(1-Inputs!$E$54*Inputs!$B$72))*(1+$I106)*IF(Inputs!$C$29=0,1,(MAX(CB105,0)/Inputs!$C$6)^Inputs!$C$29)</f>
        <v>0</v>
      </c>
      <c r="BZ106" s="38">
        <f>Inputs!$C$32*CB105/Inputs!$C$6</f>
        <v>0</v>
      </c>
      <c r="CA106" s="38">
        <f>Inputs!$C$33</f>
        <v>2000</v>
      </c>
      <c r="CB106" s="38">
        <f t="shared" si="78"/>
        <v>0</v>
      </c>
      <c r="CC106" s="38">
        <f t="shared" si="79"/>
        <v>0</v>
      </c>
      <c r="CD106" s="38">
        <f>Inputs!$C$19*(1-Inputs!$C$72*$H106)+Inputs!$C$21+Inputs!$B$72*$J106</f>
        <v>480000</v>
      </c>
      <c r="CE106" s="38">
        <f t="shared" si="80"/>
        <v>-480000</v>
      </c>
      <c r="CF106" s="38">
        <f t="shared" si="81"/>
        <v>1</v>
      </c>
      <c r="CG106" s="38">
        <f>MAX(0,MIN(Inputs!$D$36,CL105,CH106+CI106+CJ106+Inputs!$D$6-CK105))</f>
        <v>0</v>
      </c>
      <c r="CH106" s="38">
        <f>Inputs!$D$27*(1+Inputs!$D$28)^($A106/12)*IF(Inputs!$B$72=1,$G106,1)*(1-Inputs!$C$72*$H106*(1-Inputs!$E$54*Inputs!$B$72))*(1+$I106)*IF(Inputs!$D$29=0,1,(MAX(CK105,0)/Inputs!$D$6)^Inputs!$D$29)</f>
        <v>4571.3352072828538</v>
      </c>
      <c r="CI106" s="38">
        <f>Inputs!$D$32*CK105/Inputs!$D$6</f>
        <v>2421.9319511149815</v>
      </c>
      <c r="CJ106" s="38">
        <f>Inputs!$D$33</f>
        <v>1500</v>
      </c>
      <c r="CK106" s="38">
        <f t="shared" si="82"/>
        <v>498959.1416466459</v>
      </c>
      <c r="CL106" s="38">
        <f t="shared" si="83"/>
        <v>0</v>
      </c>
      <c r="CM106" s="38">
        <f>Inputs!$D$19*(1-Inputs!$C$72*$H106)+Inputs!$D$21+Inputs!$B$72*$J106</f>
        <v>392150</v>
      </c>
      <c r="CN106" s="38">
        <f t="shared" si="84"/>
        <v>106809.1416466459</v>
      </c>
      <c r="CO106" s="38">
        <f t="shared" si="85"/>
        <v>0</v>
      </c>
      <c r="CP106" s="38">
        <f>MAX(0,MIN(Inputs!$B$36,CU105,CQ106+CR106+CS106+Inputs!$B$6-CT105))</f>
        <v>0</v>
      </c>
      <c r="CQ106" s="38">
        <f>Inputs!$B$27*(1+Inputs!$B$28)^($A106/12)*IF(Inputs!$B$73=1,$G106,1)*(1-Inputs!$C$73*$H106*(1-Inputs!$E$54*Inputs!$B$73))*(1+$I106)*IF(Inputs!$B$29=0,1,(MAX(CT105,0)/Inputs!$B$6)^Inputs!$B$29)</f>
        <v>18640.979505240852</v>
      </c>
      <c r="CR106" s="38">
        <f>Inputs!$B$32*CT105/Inputs!$B$6</f>
        <v>0</v>
      </c>
      <c r="CS106" s="38">
        <f>Inputs!$B$33</f>
        <v>2500</v>
      </c>
      <c r="CT106" s="38">
        <f t="shared" si="86"/>
        <v>0</v>
      </c>
      <c r="CU106" s="38">
        <f t="shared" si="87"/>
        <v>0</v>
      </c>
      <c r="CV106" s="38">
        <f>Inputs!$B$19*(1-Inputs!$C$73*$H106)+Inputs!$B$21+Inputs!$B$73*$J106</f>
        <v>583500</v>
      </c>
      <c r="CW106" s="38">
        <f t="shared" si="88"/>
        <v>-583500</v>
      </c>
      <c r="CX106" s="38">
        <f t="shared" si="89"/>
        <v>1</v>
      </c>
      <c r="CY106" s="38">
        <f>MAX(0,MIN(Inputs!$C$36,DD105,CZ106+DA106+DB106+Inputs!$C$6-DC105))</f>
        <v>0</v>
      </c>
      <c r="CZ106" s="38">
        <f>Inputs!$C$27*(1+Inputs!$C$28)^($A106/12)*IF(Inputs!$B$73=1,$G106,1)*(1-Inputs!$C$73*$H106*(1-Inputs!$E$54*Inputs!$B$73))*(1+$I106)*IF(Inputs!$C$29=0,1,(MAX(DC105,0)/Inputs!$C$6)^Inputs!$C$29)</f>
        <v>0</v>
      </c>
      <c r="DA106" s="38">
        <f>Inputs!$C$32*DC105/Inputs!$C$6</f>
        <v>0</v>
      </c>
      <c r="DB106" s="38">
        <f>Inputs!$C$33</f>
        <v>2000</v>
      </c>
      <c r="DC106" s="38">
        <f t="shared" si="90"/>
        <v>0</v>
      </c>
      <c r="DD106" s="38">
        <f t="shared" si="91"/>
        <v>0</v>
      </c>
      <c r="DE106" s="38">
        <f>Inputs!$C$19*(1-Inputs!$C$73*$H106)+Inputs!$C$21+Inputs!$B$73*$J106</f>
        <v>486000</v>
      </c>
      <c r="DF106" s="38">
        <f t="shared" si="92"/>
        <v>-486000</v>
      </c>
      <c r="DG106" s="38">
        <f t="shared" si="93"/>
        <v>1</v>
      </c>
      <c r="DH106" s="38">
        <f>MAX(0,MIN(Inputs!$D$36,DM105,DI106+DJ106+DK106+Inputs!$D$6-DL105))</f>
        <v>0</v>
      </c>
      <c r="DI106" s="38">
        <f>Inputs!$D$27*(1+Inputs!$D$28)^($A106/12)*IF(Inputs!$B$73=1,$G106,1)*(1-Inputs!$C$73*$H106*(1-Inputs!$E$54*Inputs!$B$73))*(1+$I106)*IF(Inputs!$D$29=0,1,(MAX(DL105,0)/Inputs!$D$6)^Inputs!$D$29)</f>
        <v>4286.5276063775455</v>
      </c>
      <c r="DJ106" s="38">
        <f>Inputs!$D$32*DL105/Inputs!$D$6</f>
        <v>2693.8791728337173</v>
      </c>
      <c r="DK106" s="38">
        <f>Inputs!$D$33</f>
        <v>1500</v>
      </c>
      <c r="DL106" s="38">
        <f t="shared" si="94"/>
        <v>555951.41990975814</v>
      </c>
      <c r="DM106" s="38">
        <f t="shared" si="95"/>
        <v>0</v>
      </c>
      <c r="DN106" s="38">
        <f>Inputs!$D$19*(1-Inputs!$C$73*$H106)+Inputs!$D$21+Inputs!$B$73*$J106</f>
        <v>398150</v>
      </c>
      <c r="DO106" s="38">
        <f t="shared" si="96"/>
        <v>157801.41990975814</v>
      </c>
      <c r="DP106" s="38">
        <f t="shared" si="97"/>
        <v>0</v>
      </c>
    </row>
    <row r="107" spans="1:120" x14ac:dyDescent="0.35">
      <c r="A107" s="29">
        <v>102</v>
      </c>
      <c r="B107" s="34">
        <f>EDATE(Inputs!$B$67,$A107)</f>
        <v>49369</v>
      </c>
      <c r="C107" s="35">
        <f>IF(Inputs!$E$47&lt;=0,Inputs!$E$46,Inputs!$E$44+(Inputs!$E$46-Inputs!$E$44)*MIN($A107/Inputs!$E$47,1))</f>
        <v>0.7</v>
      </c>
      <c r="D107" s="35">
        <f>MIN(Inputs!$E$57,Inputs!$E$55*(1+Inputs!$E$56)^($A107/12))*Inputs!$E$58*(1+Inputs!$E$59)^($A107/12)/Inputs!$E$45</f>
        <v>1.5</v>
      </c>
      <c r="E107" s="35">
        <f>MAX(Inputs!$E$44,MIN(C107,D107))</f>
        <v>0.7</v>
      </c>
      <c r="F107" s="35">
        <f>IF(Inputs!$E$50&lt;=0,Inputs!$E$49,Inputs!$E$48+(Inputs!$E$49-Inputs!$E$48)*MIN($A107/Inputs!$E$50,1))</f>
        <v>0.12</v>
      </c>
      <c r="G107" s="36">
        <f>(Inputs!$E$41*(1-E107*Inputs!$E$51)+Inputs!$E$42*(1-F107*Inputs!$E$51))/(Inputs!$E$41*(1-Inputs!$E$44*Inputs!$E$51)+Inputs!$E$42*(1-Inputs!$E$48*Inputs!$E$51))</f>
        <v>0.8423127463863338</v>
      </c>
      <c r="H107" s="35">
        <f>IF(Inputs!$E$53&lt;=0,Inputs!$E$52,Inputs!$E$52*MIN($A107/Inputs!$E$53,1))</f>
        <v>0.1</v>
      </c>
      <c r="I107" s="35">
        <f>IF(Inputs!$E$64&lt;=0,Inputs!$E$63,Inputs!$E$62+(Inputs!$E$63-Inputs!$E$62)*MIN($A107/Inputs!$E$64,1))</f>
        <v>0.03</v>
      </c>
      <c r="J107" s="37">
        <f>(E107-Inputs!$E$44)*Inputs!$E$45/Inputs!$E$60*Inputs!$E$61</f>
        <v>5999.9999999999991</v>
      </c>
      <c r="K107" s="29">
        <f t="shared" si="49"/>
        <v>0</v>
      </c>
      <c r="L107" s="29"/>
      <c r="M107" s="38">
        <f>MAX(0,MIN(Inputs!$B$36,R106,N107+O107+P107+Inputs!$B$6-Q106))</f>
        <v>0</v>
      </c>
      <c r="N107" s="38">
        <f>Inputs!$B$27*(1+Inputs!$B$28)^($A107/12)*IF(Inputs!$B$70=1,$G107,1)*(1-Inputs!$C$70*$H107*(1-Inputs!$E$54*Inputs!$B$70))*(1+$I107)*IF(Inputs!$B$29=0,1,(MAX(Q106,0)/Inputs!$B$6)^Inputs!$B$29)</f>
        <v>23390.393380721525</v>
      </c>
      <c r="O107" s="38">
        <f>Inputs!$B$32*Q106/Inputs!$B$6</f>
        <v>0</v>
      </c>
      <c r="P107" s="38">
        <f>Inputs!$B$33</f>
        <v>2500</v>
      </c>
      <c r="Q107" s="38">
        <f t="shared" si="50"/>
        <v>0</v>
      </c>
      <c r="R107" s="38">
        <f t="shared" si="51"/>
        <v>0</v>
      </c>
      <c r="S107" s="38">
        <f>Inputs!$B$19*(1-Inputs!$C$70*$H107)+Inputs!$B$21+Inputs!$B$70*$J107</f>
        <v>595000</v>
      </c>
      <c r="T107" s="38">
        <f t="shared" si="52"/>
        <v>-595000</v>
      </c>
      <c r="U107" s="38">
        <f t="shared" si="53"/>
        <v>1</v>
      </c>
      <c r="V107" s="38">
        <f>MAX(0,MIN(Inputs!$C$36,AA106,W107+X107+Y107+Inputs!$C$6-Z106))</f>
        <v>0</v>
      </c>
      <c r="W107" s="38">
        <f>Inputs!$C$27*(1+Inputs!$C$28)^($A107/12)*IF(Inputs!$B$70=1,$G107,1)*(1-Inputs!$C$70*$H107*(1-Inputs!$E$54*Inputs!$B$70))*(1+$I107)*IF(Inputs!$C$29=0,1,(MAX(Z106,0)/Inputs!$C$6)^Inputs!$C$29)</f>
        <v>0</v>
      </c>
      <c r="X107" s="38">
        <f>Inputs!$C$32*Z106/Inputs!$C$6</f>
        <v>0</v>
      </c>
      <c r="Y107" s="38">
        <f>Inputs!$C$33</f>
        <v>2000</v>
      </c>
      <c r="Z107" s="38">
        <f t="shared" si="54"/>
        <v>0</v>
      </c>
      <c r="AA107" s="38">
        <f t="shared" si="55"/>
        <v>0</v>
      </c>
      <c r="AB107" s="38">
        <f>Inputs!$C$19*(1-Inputs!$C$70*$H107)+Inputs!$C$21+Inputs!$B$70*$J107</f>
        <v>495000</v>
      </c>
      <c r="AC107" s="38">
        <f t="shared" si="56"/>
        <v>-495000</v>
      </c>
      <c r="AD107" s="38">
        <f t="shared" si="57"/>
        <v>1</v>
      </c>
      <c r="AE107" s="38">
        <f>MAX(0,MIN(Inputs!$D$36,AJ106,AF107+AG107+AH107+Inputs!$D$6-AI106))</f>
        <v>0</v>
      </c>
      <c r="AF107" s="38">
        <f>Inputs!$D$27*(1+Inputs!$D$28)^($A107/12)*IF(Inputs!$B$70=1,$G107,1)*(1-Inputs!$C$70*$H107*(1-Inputs!$E$54*Inputs!$B$70))*(1+$I107)*IF(Inputs!$D$29=0,1,(MAX(AI106,0)/Inputs!$D$6)^Inputs!$D$29)</f>
        <v>4788.2345734120563</v>
      </c>
      <c r="AG107" s="38">
        <f>Inputs!$D$32*AI106/Inputs!$D$6</f>
        <v>2170.8228653133451</v>
      </c>
      <c r="AH107" s="38">
        <f>Inputs!$D$33</f>
        <v>1500</v>
      </c>
      <c r="AI107" s="38">
        <f t="shared" si="58"/>
        <v>446380.01910311839</v>
      </c>
      <c r="AJ107" s="38">
        <f t="shared" si="59"/>
        <v>0</v>
      </c>
      <c r="AK107" s="38">
        <f>Inputs!$D$19*(1-Inputs!$C$70*$H107)+Inputs!$D$21+Inputs!$B$70*$J107</f>
        <v>404800</v>
      </c>
      <c r="AL107" s="38">
        <f t="shared" si="60"/>
        <v>41580.019103118393</v>
      </c>
      <c r="AM107" s="38">
        <f t="shared" si="61"/>
        <v>0</v>
      </c>
      <c r="AN107" s="38">
        <f>MAX(0,MIN(Inputs!$B$36,AS106,AO107+AP107+AQ107+Inputs!$B$6-AR106))</f>
        <v>0</v>
      </c>
      <c r="AO107" s="38">
        <f>Inputs!$B$27*(1+Inputs!$B$28)^($A107/12)*IF(Inputs!$B$71=1,$G107,1)*(1-Inputs!$C$71*$H107*(1-Inputs!$E$54*Inputs!$B$71))*(1+$I107)*IF(Inputs!$B$29=0,1,(MAX(AR106,0)/Inputs!$B$6)^Inputs!$B$29)</f>
        <v>19702.026487572271</v>
      </c>
      <c r="AP107" s="38">
        <f>Inputs!$B$32*AR106/Inputs!$B$6</f>
        <v>0</v>
      </c>
      <c r="AQ107" s="38">
        <f>Inputs!$B$33</f>
        <v>2500</v>
      </c>
      <c r="AR107" s="38">
        <f t="shared" si="62"/>
        <v>0</v>
      </c>
      <c r="AS107" s="38">
        <f t="shared" si="63"/>
        <v>0</v>
      </c>
      <c r="AT107" s="38">
        <f>Inputs!$B$19*(1-Inputs!$C$71*$H107)+Inputs!$B$21+Inputs!$B$71*$J107</f>
        <v>601000</v>
      </c>
      <c r="AU107" s="38">
        <f t="shared" si="64"/>
        <v>-601000</v>
      </c>
      <c r="AV107" s="38">
        <f t="shared" si="65"/>
        <v>1</v>
      </c>
      <c r="AW107" s="38">
        <f>MAX(0,MIN(Inputs!$C$36,BB106,AX107+AY107+AZ107+Inputs!$C$6-BA106))</f>
        <v>0</v>
      </c>
      <c r="AX107" s="38">
        <f>Inputs!$C$27*(1+Inputs!$C$28)^($A107/12)*IF(Inputs!$B$71=1,$G107,1)*(1-Inputs!$C$71*$H107*(1-Inputs!$E$54*Inputs!$B$71))*(1+$I107)*IF(Inputs!$C$29=0,1,(MAX(BA106,0)/Inputs!$C$6)^Inputs!$C$29)</f>
        <v>0</v>
      </c>
      <c r="AY107" s="38">
        <f>Inputs!$C$32*BA106/Inputs!$C$6</f>
        <v>0</v>
      </c>
      <c r="AZ107" s="38">
        <f>Inputs!$C$33</f>
        <v>2000</v>
      </c>
      <c r="BA107" s="38">
        <f t="shared" si="66"/>
        <v>0</v>
      </c>
      <c r="BB107" s="38">
        <f t="shared" si="67"/>
        <v>0</v>
      </c>
      <c r="BC107" s="38">
        <f>Inputs!$C$19*(1-Inputs!$C$71*$H107)+Inputs!$C$21+Inputs!$B$71*$J107</f>
        <v>501000</v>
      </c>
      <c r="BD107" s="38">
        <f t="shared" si="68"/>
        <v>-501000</v>
      </c>
      <c r="BE107" s="38">
        <f t="shared" si="69"/>
        <v>1</v>
      </c>
      <c r="BF107" s="38">
        <f>MAX(0,MIN(Inputs!$D$36,BK106,BG107+BH107+BI107+Inputs!$D$6-BJ106))</f>
        <v>0</v>
      </c>
      <c r="BG107" s="38">
        <f>Inputs!$D$27*(1+Inputs!$D$28)^($A107/12)*IF(Inputs!$B$71=1,$G107,1)*(1-Inputs!$C$71*$H107*(1-Inputs!$E$54*Inputs!$B$71))*(1+$I107)*IF(Inputs!$D$29=0,1,(MAX(BJ106,0)/Inputs!$D$6)^Inputs!$D$29)</f>
        <v>4377.8937979838092</v>
      </c>
      <c r="BH107" s="38">
        <f>Inputs!$D$32*BJ106/Inputs!$D$6</f>
        <v>2557.7450300399091</v>
      </c>
      <c r="BI107" s="38">
        <f>Inputs!$D$33</f>
        <v>1500</v>
      </c>
      <c r="BJ107" s="38">
        <f t="shared" si="70"/>
        <v>527472.84365652874</v>
      </c>
      <c r="BK107" s="38">
        <f t="shared" si="71"/>
        <v>0</v>
      </c>
      <c r="BL107" s="38">
        <f>Inputs!$D$19*(1-Inputs!$C$71*$H107)+Inputs!$D$21+Inputs!$B$71*$J107</f>
        <v>410800</v>
      </c>
      <c r="BM107" s="38">
        <f t="shared" si="72"/>
        <v>116672.84365652874</v>
      </c>
      <c r="BN107" s="38">
        <f t="shared" si="73"/>
        <v>0</v>
      </c>
      <c r="BO107" s="38">
        <f>MAX(0,MIN(Inputs!$B$36,BT106,BP107+BQ107+BR107+Inputs!$B$6-BS106))</f>
        <v>0</v>
      </c>
      <c r="BP107" s="38">
        <f>Inputs!$B$27*(1+Inputs!$B$28)^($A107/12)*IF(Inputs!$B$72=1,$G107,1)*(1-Inputs!$C$72*$H107*(1-Inputs!$E$54*Inputs!$B$72))*(1+$I107)*IF(Inputs!$B$29=0,1,(MAX(BS106,0)/Inputs!$B$6)^Inputs!$B$29)</f>
        <v>21051.354042649371</v>
      </c>
      <c r="BQ107" s="38">
        <f>Inputs!$B$32*BS106/Inputs!$B$6</f>
        <v>0</v>
      </c>
      <c r="BR107" s="38">
        <f>Inputs!$B$33</f>
        <v>2500</v>
      </c>
      <c r="BS107" s="38">
        <f t="shared" si="74"/>
        <v>0</v>
      </c>
      <c r="BT107" s="38">
        <f t="shared" si="75"/>
        <v>0</v>
      </c>
      <c r="BU107" s="38">
        <f>Inputs!$B$19*(1-Inputs!$C$72*$H107)+Inputs!$B$21+Inputs!$B$72*$J107</f>
        <v>577500</v>
      </c>
      <c r="BV107" s="38">
        <f t="shared" si="76"/>
        <v>-577500</v>
      </c>
      <c r="BW107" s="38">
        <f t="shared" si="77"/>
        <v>1</v>
      </c>
      <c r="BX107" s="38">
        <f>MAX(0,MIN(Inputs!$C$36,CC106,BY107+BZ107+CA107+Inputs!$C$6-CB106))</f>
        <v>0</v>
      </c>
      <c r="BY107" s="38">
        <f>Inputs!$C$27*(1+Inputs!$C$28)^($A107/12)*IF(Inputs!$B$72=1,$G107,1)*(1-Inputs!$C$72*$H107*(1-Inputs!$E$54*Inputs!$B$72))*(1+$I107)*IF(Inputs!$C$29=0,1,(MAX(CB106,0)/Inputs!$C$6)^Inputs!$C$29)</f>
        <v>0</v>
      </c>
      <c r="BZ107" s="38">
        <f>Inputs!$C$32*CB106/Inputs!$C$6</f>
        <v>0</v>
      </c>
      <c r="CA107" s="38">
        <f>Inputs!$C$33</f>
        <v>2000</v>
      </c>
      <c r="CB107" s="38">
        <f t="shared" si="78"/>
        <v>0</v>
      </c>
      <c r="CC107" s="38">
        <f t="shared" si="79"/>
        <v>0</v>
      </c>
      <c r="CD107" s="38">
        <f>Inputs!$C$19*(1-Inputs!$C$72*$H107)+Inputs!$C$21+Inputs!$B$72*$J107</f>
        <v>480000</v>
      </c>
      <c r="CE107" s="38">
        <f t="shared" si="80"/>
        <v>-480000</v>
      </c>
      <c r="CF107" s="38">
        <f t="shared" si="81"/>
        <v>1</v>
      </c>
      <c r="CG107" s="38">
        <f>MAX(0,MIN(Inputs!$D$36,CL106,CH107+CI107+CJ107+Inputs!$D$6-CK106))</f>
        <v>0</v>
      </c>
      <c r="CH107" s="38">
        <f>Inputs!$D$27*(1+Inputs!$D$28)^($A107/12)*IF(Inputs!$B$72=1,$G107,1)*(1-Inputs!$C$72*$H107*(1-Inputs!$E$54*Inputs!$B$72))*(1+$I107)*IF(Inputs!$D$29=0,1,(MAX(CK106,0)/Inputs!$D$6)^Inputs!$D$29)</f>
        <v>4513.5840591105471</v>
      </c>
      <c r="CI107" s="38">
        <f>Inputs!$D$32*CK106/Inputs!$D$6</f>
        <v>2381.3959033135375</v>
      </c>
      <c r="CJ107" s="38">
        <f>Inputs!$D$33</f>
        <v>1500</v>
      </c>
      <c r="CK107" s="38">
        <f t="shared" si="82"/>
        <v>490564.16168422182</v>
      </c>
      <c r="CL107" s="38">
        <f t="shared" si="83"/>
        <v>0</v>
      </c>
      <c r="CM107" s="38">
        <f>Inputs!$D$19*(1-Inputs!$C$72*$H107)+Inputs!$D$21+Inputs!$B$72*$J107</f>
        <v>392150</v>
      </c>
      <c r="CN107" s="38">
        <f t="shared" si="84"/>
        <v>98414.161684221821</v>
      </c>
      <c r="CO107" s="38">
        <f t="shared" si="85"/>
        <v>0</v>
      </c>
      <c r="CP107" s="38">
        <f>MAX(0,MIN(Inputs!$B$36,CU106,CQ107+CR107+CS107+Inputs!$B$6-CT106))</f>
        <v>0</v>
      </c>
      <c r="CQ107" s="38">
        <f>Inputs!$B$27*(1+Inputs!$B$28)^($A107/12)*IF(Inputs!$B$73=1,$G107,1)*(1-Inputs!$C$73*$H107*(1-Inputs!$E$54*Inputs!$B$73))*(1+$I107)*IF(Inputs!$B$29=0,1,(MAX(CT106,0)/Inputs!$B$6)^Inputs!$B$29)</f>
        <v>18716.92516319366</v>
      </c>
      <c r="CR107" s="38">
        <f>Inputs!$B$32*CT106/Inputs!$B$6</f>
        <v>0</v>
      </c>
      <c r="CS107" s="38">
        <f>Inputs!$B$33</f>
        <v>2500</v>
      </c>
      <c r="CT107" s="38">
        <f t="shared" si="86"/>
        <v>0</v>
      </c>
      <c r="CU107" s="38">
        <f t="shared" si="87"/>
        <v>0</v>
      </c>
      <c r="CV107" s="38">
        <f>Inputs!$B$19*(1-Inputs!$C$73*$H107)+Inputs!$B$21+Inputs!$B$73*$J107</f>
        <v>583500</v>
      </c>
      <c r="CW107" s="38">
        <f t="shared" si="88"/>
        <v>-583500</v>
      </c>
      <c r="CX107" s="38">
        <f t="shared" si="89"/>
        <v>1</v>
      </c>
      <c r="CY107" s="38">
        <f>MAX(0,MIN(Inputs!$C$36,DD106,CZ107+DA107+DB107+Inputs!$C$6-DC106))</f>
        <v>0</v>
      </c>
      <c r="CZ107" s="38">
        <f>Inputs!$C$27*(1+Inputs!$C$28)^($A107/12)*IF(Inputs!$B$73=1,$G107,1)*(1-Inputs!$C$73*$H107*(1-Inputs!$E$54*Inputs!$B$73))*(1+$I107)*IF(Inputs!$C$29=0,1,(MAX(DC106,0)/Inputs!$C$6)^Inputs!$C$29)</f>
        <v>0</v>
      </c>
      <c r="DA107" s="38">
        <f>Inputs!$C$32*DC106/Inputs!$C$6</f>
        <v>0</v>
      </c>
      <c r="DB107" s="38">
        <f>Inputs!$C$33</f>
        <v>2000</v>
      </c>
      <c r="DC107" s="38">
        <f t="shared" si="90"/>
        <v>0</v>
      </c>
      <c r="DD107" s="38">
        <f t="shared" si="91"/>
        <v>0</v>
      </c>
      <c r="DE107" s="38">
        <f>Inputs!$C$19*(1-Inputs!$C$73*$H107)+Inputs!$C$21+Inputs!$B$73*$J107</f>
        <v>486000</v>
      </c>
      <c r="DF107" s="38">
        <f t="shared" si="92"/>
        <v>-486000</v>
      </c>
      <c r="DG107" s="38">
        <f t="shared" si="93"/>
        <v>1</v>
      </c>
      <c r="DH107" s="38">
        <f>MAX(0,MIN(Inputs!$D$36,DM106,DI107+DJ107+DK107+Inputs!$D$6-DL106))</f>
        <v>0</v>
      </c>
      <c r="DI107" s="38">
        <f>Inputs!$D$27*(1+Inputs!$D$28)^($A107/12)*IF(Inputs!$B$73=1,$G107,1)*(1-Inputs!$C$73*$H107*(1-Inputs!$E$54*Inputs!$B$73))*(1+$I107)*IF(Inputs!$D$29=0,1,(MAX(DL106,0)/Inputs!$D$6)^Inputs!$D$29)</f>
        <v>4236.0583480090354</v>
      </c>
      <c r="DJ107" s="38">
        <f>Inputs!$D$32*DL106/Inputs!$D$6</f>
        <v>2653.4045041147547</v>
      </c>
      <c r="DK107" s="38">
        <f>Inputs!$D$33</f>
        <v>1500</v>
      </c>
      <c r="DL107" s="38">
        <f t="shared" si="94"/>
        <v>547561.95705763437</v>
      </c>
      <c r="DM107" s="38">
        <f t="shared" si="95"/>
        <v>0</v>
      </c>
      <c r="DN107" s="38">
        <f>Inputs!$D$19*(1-Inputs!$C$73*$H107)+Inputs!$D$21+Inputs!$B$73*$J107</f>
        <v>398150</v>
      </c>
      <c r="DO107" s="38">
        <f t="shared" si="96"/>
        <v>149411.95705763437</v>
      </c>
      <c r="DP107" s="38">
        <f t="shared" si="97"/>
        <v>0</v>
      </c>
    </row>
    <row r="108" spans="1:120" x14ac:dyDescent="0.35">
      <c r="A108" s="29">
        <v>103</v>
      </c>
      <c r="B108" s="34">
        <f>EDATE(Inputs!$B$67,$A108)</f>
        <v>49400</v>
      </c>
      <c r="C108" s="35">
        <f>IF(Inputs!$E$47&lt;=0,Inputs!$E$46,Inputs!$E$44+(Inputs!$E$46-Inputs!$E$44)*MIN($A108/Inputs!$E$47,1))</f>
        <v>0.7</v>
      </c>
      <c r="D108" s="35">
        <f>MIN(Inputs!$E$57,Inputs!$E$55*(1+Inputs!$E$56)^($A108/12))*Inputs!$E$58*(1+Inputs!$E$59)^($A108/12)/Inputs!$E$45</f>
        <v>1.5</v>
      </c>
      <c r="E108" s="35">
        <f>MAX(Inputs!$E$44,MIN(C108,D108))</f>
        <v>0.7</v>
      </c>
      <c r="F108" s="35">
        <f>IF(Inputs!$E$50&lt;=0,Inputs!$E$49,Inputs!$E$48+(Inputs!$E$49-Inputs!$E$48)*MIN($A108/Inputs!$E$50,1))</f>
        <v>0.12</v>
      </c>
      <c r="G108" s="36">
        <f>(Inputs!$E$41*(1-E108*Inputs!$E$51)+Inputs!$E$42*(1-F108*Inputs!$E$51))/(Inputs!$E$41*(1-Inputs!$E$44*Inputs!$E$51)+Inputs!$E$42*(1-Inputs!$E$48*Inputs!$E$51))</f>
        <v>0.8423127463863338</v>
      </c>
      <c r="H108" s="35">
        <f>IF(Inputs!$E$53&lt;=0,Inputs!$E$52,Inputs!$E$52*MIN($A108/Inputs!$E$53,1))</f>
        <v>0.1</v>
      </c>
      <c r="I108" s="35">
        <f>IF(Inputs!$E$64&lt;=0,Inputs!$E$63,Inputs!$E$62+(Inputs!$E$63-Inputs!$E$62)*MIN($A108/Inputs!$E$64,1))</f>
        <v>0.03</v>
      </c>
      <c r="J108" s="37">
        <f>(E108-Inputs!$E$44)*Inputs!$E$45/Inputs!$E$60*Inputs!$E$61</f>
        <v>5999.9999999999991</v>
      </c>
      <c r="K108" s="29">
        <f t="shared" si="49"/>
        <v>0</v>
      </c>
      <c r="L108" s="29"/>
      <c r="M108" s="38">
        <f>MAX(0,MIN(Inputs!$B$36,R107,N108+O108+P108+Inputs!$B$6-Q107))</f>
        <v>0</v>
      </c>
      <c r="N108" s="38">
        <f>Inputs!$B$27*(1+Inputs!$B$28)^($A108/12)*IF(Inputs!$B$70=1,$G108,1)*(1-Inputs!$C$70*$H108*(1-Inputs!$E$54*Inputs!$B$70))*(1+$I108)*IF(Inputs!$B$29=0,1,(MAX(Q107,0)/Inputs!$B$6)^Inputs!$B$29)</f>
        <v>23485.688738702815</v>
      </c>
      <c r="O108" s="38">
        <f>Inputs!$B$32*Q107/Inputs!$B$6</f>
        <v>0</v>
      </c>
      <c r="P108" s="38">
        <f>Inputs!$B$33</f>
        <v>2500</v>
      </c>
      <c r="Q108" s="38">
        <f t="shared" si="50"/>
        <v>0</v>
      </c>
      <c r="R108" s="38">
        <f t="shared" si="51"/>
        <v>0</v>
      </c>
      <c r="S108" s="38">
        <f>Inputs!$B$19*(1-Inputs!$C$70*$H108)+Inputs!$B$21+Inputs!$B$70*$J108</f>
        <v>595000</v>
      </c>
      <c r="T108" s="38">
        <f t="shared" si="52"/>
        <v>-595000</v>
      </c>
      <c r="U108" s="38">
        <f t="shared" si="53"/>
        <v>1</v>
      </c>
      <c r="V108" s="38">
        <f>MAX(0,MIN(Inputs!$C$36,AA107,W108+X108+Y108+Inputs!$C$6-Z107))</f>
        <v>0</v>
      </c>
      <c r="W108" s="38">
        <f>Inputs!$C$27*(1+Inputs!$C$28)^($A108/12)*IF(Inputs!$B$70=1,$G108,1)*(1-Inputs!$C$70*$H108*(1-Inputs!$E$54*Inputs!$B$70))*(1+$I108)*IF(Inputs!$C$29=0,1,(MAX(Z107,0)/Inputs!$C$6)^Inputs!$C$29)</f>
        <v>0</v>
      </c>
      <c r="X108" s="38">
        <f>Inputs!$C$32*Z107/Inputs!$C$6</f>
        <v>0</v>
      </c>
      <c r="Y108" s="38">
        <f>Inputs!$C$33</f>
        <v>2000</v>
      </c>
      <c r="Z108" s="38">
        <f t="shared" si="54"/>
        <v>0</v>
      </c>
      <c r="AA108" s="38">
        <f t="shared" si="55"/>
        <v>0</v>
      </c>
      <c r="AB108" s="38">
        <f>Inputs!$C$19*(1-Inputs!$C$70*$H108)+Inputs!$C$21+Inputs!$B$70*$J108</f>
        <v>495000</v>
      </c>
      <c r="AC108" s="38">
        <f t="shared" si="56"/>
        <v>-495000</v>
      </c>
      <c r="AD108" s="38">
        <f t="shared" si="57"/>
        <v>1</v>
      </c>
      <c r="AE108" s="38">
        <f>MAX(0,MIN(Inputs!$D$36,AJ107,AF108+AG108+AH108+Inputs!$D$6-AI107))</f>
        <v>0</v>
      </c>
      <c r="AF108" s="38">
        <f>Inputs!$D$27*(1+Inputs!$D$28)^($A108/12)*IF(Inputs!$B$70=1,$G108,1)*(1-Inputs!$C$70*$H108*(1-Inputs!$E$54*Inputs!$B$70))*(1+$I108)*IF(Inputs!$D$29=0,1,(MAX(AI107,0)/Inputs!$D$6)^Inputs!$D$29)</f>
        <v>4723.2674809264099</v>
      </c>
      <c r="AG108" s="38">
        <f>Inputs!$D$32*AI107/Inputs!$D$6</f>
        <v>2130.4500911739742</v>
      </c>
      <c r="AH108" s="38">
        <f>Inputs!$D$33</f>
        <v>1500</v>
      </c>
      <c r="AI108" s="38">
        <f t="shared" si="58"/>
        <v>438026.30153101799</v>
      </c>
      <c r="AJ108" s="38">
        <f t="shared" si="59"/>
        <v>0</v>
      </c>
      <c r="AK108" s="38">
        <f>Inputs!$D$19*(1-Inputs!$C$70*$H108)+Inputs!$D$21+Inputs!$B$70*$J108</f>
        <v>404800</v>
      </c>
      <c r="AL108" s="38">
        <f t="shared" si="60"/>
        <v>33226.301531017991</v>
      </c>
      <c r="AM108" s="38">
        <f t="shared" si="61"/>
        <v>0</v>
      </c>
      <c r="AN108" s="38">
        <f>MAX(0,MIN(Inputs!$B$36,AS107,AO108+AP108+AQ108+Inputs!$B$6-AR107))</f>
        <v>0</v>
      </c>
      <c r="AO108" s="38">
        <f>Inputs!$B$27*(1+Inputs!$B$28)^($A108/12)*IF(Inputs!$B$71=1,$G108,1)*(1-Inputs!$C$71*$H108*(1-Inputs!$E$54*Inputs!$B$71))*(1+$I108)*IF(Inputs!$B$29=0,1,(MAX(AR107,0)/Inputs!$B$6)^Inputs!$B$29)</f>
        <v>19782.29498227136</v>
      </c>
      <c r="AP108" s="38">
        <f>Inputs!$B$32*AR107/Inputs!$B$6</f>
        <v>0</v>
      </c>
      <c r="AQ108" s="38">
        <f>Inputs!$B$33</f>
        <v>2500</v>
      </c>
      <c r="AR108" s="38">
        <f t="shared" si="62"/>
        <v>0</v>
      </c>
      <c r="AS108" s="38">
        <f t="shared" si="63"/>
        <v>0</v>
      </c>
      <c r="AT108" s="38">
        <f>Inputs!$B$19*(1-Inputs!$C$71*$H108)+Inputs!$B$21+Inputs!$B$71*$J108</f>
        <v>601000</v>
      </c>
      <c r="AU108" s="38">
        <f t="shared" si="64"/>
        <v>-601000</v>
      </c>
      <c r="AV108" s="38">
        <f t="shared" si="65"/>
        <v>1</v>
      </c>
      <c r="AW108" s="38">
        <f>MAX(0,MIN(Inputs!$C$36,BB107,AX108+AY108+AZ108+Inputs!$C$6-BA107))</f>
        <v>0</v>
      </c>
      <c r="AX108" s="38">
        <f>Inputs!$C$27*(1+Inputs!$C$28)^($A108/12)*IF(Inputs!$B$71=1,$G108,1)*(1-Inputs!$C$71*$H108*(1-Inputs!$E$54*Inputs!$B$71))*(1+$I108)*IF(Inputs!$C$29=0,1,(MAX(BA107,0)/Inputs!$C$6)^Inputs!$C$29)</f>
        <v>0</v>
      </c>
      <c r="AY108" s="38">
        <f>Inputs!$C$32*BA107/Inputs!$C$6</f>
        <v>0</v>
      </c>
      <c r="AZ108" s="38">
        <f>Inputs!$C$33</f>
        <v>2000</v>
      </c>
      <c r="BA108" s="38">
        <f t="shared" si="66"/>
        <v>0</v>
      </c>
      <c r="BB108" s="38">
        <f t="shared" si="67"/>
        <v>0</v>
      </c>
      <c r="BC108" s="38">
        <f>Inputs!$C$19*(1-Inputs!$C$71*$H108)+Inputs!$C$21+Inputs!$B$71*$J108</f>
        <v>501000</v>
      </c>
      <c r="BD108" s="38">
        <f t="shared" si="68"/>
        <v>-501000</v>
      </c>
      <c r="BE108" s="38">
        <f t="shared" si="69"/>
        <v>1</v>
      </c>
      <c r="BF108" s="38">
        <f>MAX(0,MIN(Inputs!$D$36,BK107,BG108+BH108+BI108+Inputs!$D$6-BJ107))</f>
        <v>0</v>
      </c>
      <c r="BG108" s="38">
        <f>Inputs!$D$27*(1+Inputs!$D$28)^($A108/12)*IF(Inputs!$B$71=1,$G108,1)*(1-Inputs!$C$71*$H108*(1-Inputs!$E$54*Inputs!$B$71))*(1+$I108)*IF(Inputs!$D$29=0,1,(MAX(BJ107,0)/Inputs!$D$6)^Inputs!$D$29)</f>
        <v>4324.7757462775453</v>
      </c>
      <c r="BH108" s="38">
        <f>Inputs!$D$32*BJ107/Inputs!$D$6</f>
        <v>2517.4840265425237</v>
      </c>
      <c r="BI108" s="38">
        <f>Inputs!$D$33</f>
        <v>1500</v>
      </c>
      <c r="BJ108" s="38">
        <f t="shared" si="70"/>
        <v>519130.58388370869</v>
      </c>
      <c r="BK108" s="38">
        <f t="shared" si="71"/>
        <v>0</v>
      </c>
      <c r="BL108" s="38">
        <f>Inputs!$D$19*(1-Inputs!$C$71*$H108)+Inputs!$D$21+Inputs!$B$71*$J108</f>
        <v>410800</v>
      </c>
      <c r="BM108" s="38">
        <f t="shared" si="72"/>
        <v>108330.58388370869</v>
      </c>
      <c r="BN108" s="38">
        <f t="shared" si="73"/>
        <v>0</v>
      </c>
      <c r="BO108" s="38">
        <f>MAX(0,MIN(Inputs!$B$36,BT107,BP108+BQ108+BR108+Inputs!$B$6-BS107))</f>
        <v>0</v>
      </c>
      <c r="BP108" s="38">
        <f>Inputs!$B$27*(1+Inputs!$B$28)^($A108/12)*IF(Inputs!$B$72=1,$G108,1)*(1-Inputs!$C$72*$H108*(1-Inputs!$E$54*Inputs!$B$72))*(1+$I108)*IF(Inputs!$B$29=0,1,(MAX(BS107,0)/Inputs!$B$6)^Inputs!$B$29)</f>
        <v>21137.119864832533</v>
      </c>
      <c r="BQ108" s="38">
        <f>Inputs!$B$32*BS107/Inputs!$B$6</f>
        <v>0</v>
      </c>
      <c r="BR108" s="38">
        <f>Inputs!$B$33</f>
        <v>2500</v>
      </c>
      <c r="BS108" s="38">
        <f t="shared" si="74"/>
        <v>0</v>
      </c>
      <c r="BT108" s="38">
        <f t="shared" si="75"/>
        <v>0</v>
      </c>
      <c r="BU108" s="38">
        <f>Inputs!$B$19*(1-Inputs!$C$72*$H108)+Inputs!$B$21+Inputs!$B$72*$J108</f>
        <v>577500</v>
      </c>
      <c r="BV108" s="38">
        <f t="shared" si="76"/>
        <v>-577500</v>
      </c>
      <c r="BW108" s="38">
        <f t="shared" si="77"/>
        <v>1</v>
      </c>
      <c r="BX108" s="38">
        <f>MAX(0,MIN(Inputs!$C$36,CC107,BY108+BZ108+CA108+Inputs!$C$6-CB107))</f>
        <v>0</v>
      </c>
      <c r="BY108" s="38">
        <f>Inputs!$C$27*(1+Inputs!$C$28)^($A108/12)*IF(Inputs!$B$72=1,$G108,1)*(1-Inputs!$C$72*$H108*(1-Inputs!$E$54*Inputs!$B$72))*(1+$I108)*IF(Inputs!$C$29=0,1,(MAX(CB107,0)/Inputs!$C$6)^Inputs!$C$29)</f>
        <v>0</v>
      </c>
      <c r="BZ108" s="38">
        <f>Inputs!$C$32*CB107/Inputs!$C$6</f>
        <v>0</v>
      </c>
      <c r="CA108" s="38">
        <f>Inputs!$C$33</f>
        <v>2000</v>
      </c>
      <c r="CB108" s="38">
        <f t="shared" si="78"/>
        <v>0</v>
      </c>
      <c r="CC108" s="38">
        <f t="shared" si="79"/>
        <v>0</v>
      </c>
      <c r="CD108" s="38">
        <f>Inputs!$C$19*(1-Inputs!$C$72*$H108)+Inputs!$C$21+Inputs!$B$72*$J108</f>
        <v>480000</v>
      </c>
      <c r="CE108" s="38">
        <f t="shared" si="80"/>
        <v>-480000</v>
      </c>
      <c r="CF108" s="38">
        <f t="shared" si="81"/>
        <v>1</v>
      </c>
      <c r="CG108" s="38">
        <f>MAX(0,MIN(Inputs!$D$36,CL107,CH108+CI108+CJ108+Inputs!$D$6-CK107))</f>
        <v>0</v>
      </c>
      <c r="CH108" s="38">
        <f>Inputs!$D$27*(1+Inputs!$D$28)^($A108/12)*IF(Inputs!$B$72=1,$G108,1)*(1-Inputs!$C$72*$H108*(1-Inputs!$E$54*Inputs!$B$72))*(1+$I108)*IF(Inputs!$D$29=0,1,(MAX(CK107,0)/Inputs!$D$6)^Inputs!$D$29)</f>
        <v>4456.3632648787207</v>
      </c>
      <c r="CI108" s="38">
        <f>Inputs!$D$32*CK107/Inputs!$D$6</f>
        <v>2341.3289534928767</v>
      </c>
      <c r="CJ108" s="38">
        <f>Inputs!$D$33</f>
        <v>1500</v>
      </c>
      <c r="CK108" s="38">
        <f t="shared" si="82"/>
        <v>482266.46946585021</v>
      </c>
      <c r="CL108" s="38">
        <f t="shared" si="83"/>
        <v>0</v>
      </c>
      <c r="CM108" s="38">
        <f>Inputs!$D$19*(1-Inputs!$C$72*$H108)+Inputs!$D$21+Inputs!$B$72*$J108</f>
        <v>392150</v>
      </c>
      <c r="CN108" s="38">
        <f t="shared" si="84"/>
        <v>90116.469465850212</v>
      </c>
      <c r="CO108" s="38">
        <f t="shared" si="85"/>
        <v>0</v>
      </c>
      <c r="CP108" s="38">
        <f>MAX(0,MIN(Inputs!$B$36,CU107,CQ108+CR108+CS108+Inputs!$B$6-CT107))</f>
        <v>0</v>
      </c>
      <c r="CQ108" s="38">
        <f>Inputs!$B$27*(1+Inputs!$B$28)^($A108/12)*IF(Inputs!$B$73=1,$G108,1)*(1-Inputs!$C$73*$H108*(1-Inputs!$E$54*Inputs!$B$73))*(1+$I108)*IF(Inputs!$B$29=0,1,(MAX(CT107,0)/Inputs!$B$6)^Inputs!$B$29)</f>
        <v>18793.180233157793</v>
      </c>
      <c r="CR108" s="38">
        <f>Inputs!$B$32*CT107/Inputs!$B$6</f>
        <v>0</v>
      </c>
      <c r="CS108" s="38">
        <f>Inputs!$B$33</f>
        <v>2500</v>
      </c>
      <c r="CT108" s="38">
        <f t="shared" si="86"/>
        <v>0</v>
      </c>
      <c r="CU108" s="38">
        <f t="shared" si="87"/>
        <v>0</v>
      </c>
      <c r="CV108" s="38">
        <f>Inputs!$B$19*(1-Inputs!$C$73*$H108)+Inputs!$B$21+Inputs!$B$73*$J108</f>
        <v>583500</v>
      </c>
      <c r="CW108" s="38">
        <f t="shared" si="88"/>
        <v>-583500</v>
      </c>
      <c r="CX108" s="38">
        <f t="shared" si="89"/>
        <v>1</v>
      </c>
      <c r="CY108" s="38">
        <f>MAX(0,MIN(Inputs!$C$36,DD107,CZ108+DA108+DB108+Inputs!$C$6-DC107))</f>
        <v>0</v>
      </c>
      <c r="CZ108" s="38">
        <f>Inputs!$C$27*(1+Inputs!$C$28)^($A108/12)*IF(Inputs!$B$73=1,$G108,1)*(1-Inputs!$C$73*$H108*(1-Inputs!$E$54*Inputs!$B$73))*(1+$I108)*IF(Inputs!$C$29=0,1,(MAX(DC107,0)/Inputs!$C$6)^Inputs!$C$29)</f>
        <v>0</v>
      </c>
      <c r="DA108" s="38">
        <f>Inputs!$C$32*DC107/Inputs!$C$6</f>
        <v>0</v>
      </c>
      <c r="DB108" s="38">
        <f>Inputs!$C$33</f>
        <v>2000</v>
      </c>
      <c r="DC108" s="38">
        <f t="shared" si="90"/>
        <v>0</v>
      </c>
      <c r="DD108" s="38">
        <f t="shared" si="91"/>
        <v>0</v>
      </c>
      <c r="DE108" s="38">
        <f>Inputs!$C$19*(1-Inputs!$C$73*$H108)+Inputs!$C$21+Inputs!$B$73*$J108</f>
        <v>486000</v>
      </c>
      <c r="DF108" s="38">
        <f t="shared" si="92"/>
        <v>-486000</v>
      </c>
      <c r="DG108" s="38">
        <f t="shared" si="93"/>
        <v>1</v>
      </c>
      <c r="DH108" s="38">
        <f>MAX(0,MIN(Inputs!$D$36,DM107,DI108+DJ108+DK108+Inputs!$D$6-DL107))</f>
        <v>0</v>
      </c>
      <c r="DI108" s="38">
        <f>Inputs!$D$27*(1+Inputs!$D$28)^($A108/12)*IF(Inputs!$B$73=1,$G108,1)*(1-Inputs!$C$73*$H108*(1-Inputs!$E$54*Inputs!$B$73))*(1+$I108)*IF(Inputs!$D$29=0,1,(MAX(DL107,0)/Inputs!$D$6)^Inputs!$D$29)</f>
        <v>4186.0439033574385</v>
      </c>
      <c r="DJ108" s="38">
        <f>Inputs!$D$32*DL107/Inputs!$D$6</f>
        <v>2613.3638859568914</v>
      </c>
      <c r="DK108" s="38">
        <f>Inputs!$D$33</f>
        <v>1500</v>
      </c>
      <c r="DL108" s="38">
        <f t="shared" si="94"/>
        <v>539262.54926831997</v>
      </c>
      <c r="DM108" s="38">
        <f t="shared" si="95"/>
        <v>0</v>
      </c>
      <c r="DN108" s="38">
        <f>Inputs!$D$19*(1-Inputs!$C$73*$H108)+Inputs!$D$21+Inputs!$B$73*$J108</f>
        <v>398150</v>
      </c>
      <c r="DO108" s="38">
        <f t="shared" si="96"/>
        <v>141112.54926831997</v>
      </c>
      <c r="DP108" s="38">
        <f t="shared" si="97"/>
        <v>0</v>
      </c>
    </row>
    <row r="109" spans="1:120" x14ac:dyDescent="0.35">
      <c r="A109" s="29">
        <v>104</v>
      </c>
      <c r="B109" s="34">
        <f>EDATE(Inputs!$B$67,$A109)</f>
        <v>49430</v>
      </c>
      <c r="C109" s="35">
        <f>IF(Inputs!$E$47&lt;=0,Inputs!$E$46,Inputs!$E$44+(Inputs!$E$46-Inputs!$E$44)*MIN($A109/Inputs!$E$47,1))</f>
        <v>0.7</v>
      </c>
      <c r="D109" s="35">
        <f>MIN(Inputs!$E$57,Inputs!$E$55*(1+Inputs!$E$56)^($A109/12))*Inputs!$E$58*(1+Inputs!$E$59)^($A109/12)/Inputs!$E$45</f>
        <v>1.5</v>
      </c>
      <c r="E109" s="35">
        <f>MAX(Inputs!$E$44,MIN(C109,D109))</f>
        <v>0.7</v>
      </c>
      <c r="F109" s="35">
        <f>IF(Inputs!$E$50&lt;=0,Inputs!$E$49,Inputs!$E$48+(Inputs!$E$49-Inputs!$E$48)*MIN($A109/Inputs!$E$50,1))</f>
        <v>0.12</v>
      </c>
      <c r="G109" s="36">
        <f>(Inputs!$E$41*(1-E109*Inputs!$E$51)+Inputs!$E$42*(1-F109*Inputs!$E$51))/(Inputs!$E$41*(1-Inputs!$E$44*Inputs!$E$51)+Inputs!$E$42*(1-Inputs!$E$48*Inputs!$E$51))</f>
        <v>0.8423127463863338</v>
      </c>
      <c r="H109" s="35">
        <f>IF(Inputs!$E$53&lt;=0,Inputs!$E$52,Inputs!$E$52*MIN($A109/Inputs!$E$53,1))</f>
        <v>0.1</v>
      </c>
      <c r="I109" s="35">
        <f>IF(Inputs!$E$64&lt;=0,Inputs!$E$63,Inputs!$E$62+(Inputs!$E$63-Inputs!$E$62)*MIN($A109/Inputs!$E$64,1))</f>
        <v>0.03</v>
      </c>
      <c r="J109" s="37">
        <f>(E109-Inputs!$E$44)*Inputs!$E$45/Inputs!$E$60*Inputs!$E$61</f>
        <v>5999.9999999999991</v>
      </c>
      <c r="K109" s="29">
        <f t="shared" si="49"/>
        <v>0</v>
      </c>
      <c r="L109" s="29"/>
      <c r="M109" s="38">
        <f>MAX(0,MIN(Inputs!$B$36,R108,N109+O109+P109+Inputs!$B$6-Q108))</f>
        <v>0</v>
      </c>
      <c r="N109" s="38">
        <f>Inputs!$B$27*(1+Inputs!$B$28)^($A109/12)*IF(Inputs!$B$70=1,$G109,1)*(1-Inputs!$C$70*$H109*(1-Inputs!$E$54*Inputs!$B$70))*(1+$I109)*IF(Inputs!$B$29=0,1,(MAX(Q108,0)/Inputs!$B$6)^Inputs!$B$29)</f>
        <v>23581.372341768525</v>
      </c>
      <c r="O109" s="38">
        <f>Inputs!$B$32*Q108/Inputs!$B$6</f>
        <v>0</v>
      </c>
      <c r="P109" s="38">
        <f>Inputs!$B$33</f>
        <v>2500</v>
      </c>
      <c r="Q109" s="38">
        <f t="shared" si="50"/>
        <v>0</v>
      </c>
      <c r="R109" s="38">
        <f t="shared" si="51"/>
        <v>0</v>
      </c>
      <c r="S109" s="38">
        <f>Inputs!$B$19*(1-Inputs!$C$70*$H109)+Inputs!$B$21+Inputs!$B$70*$J109</f>
        <v>595000</v>
      </c>
      <c r="T109" s="38">
        <f t="shared" si="52"/>
        <v>-595000</v>
      </c>
      <c r="U109" s="38">
        <f t="shared" si="53"/>
        <v>1</v>
      </c>
      <c r="V109" s="38">
        <f>MAX(0,MIN(Inputs!$C$36,AA108,W109+X109+Y109+Inputs!$C$6-Z108))</f>
        <v>0</v>
      </c>
      <c r="W109" s="38">
        <f>Inputs!$C$27*(1+Inputs!$C$28)^($A109/12)*IF(Inputs!$B$70=1,$G109,1)*(1-Inputs!$C$70*$H109*(1-Inputs!$E$54*Inputs!$B$70))*(1+$I109)*IF(Inputs!$C$29=0,1,(MAX(Z108,0)/Inputs!$C$6)^Inputs!$C$29)</f>
        <v>0</v>
      </c>
      <c r="X109" s="38">
        <f>Inputs!$C$32*Z108/Inputs!$C$6</f>
        <v>0</v>
      </c>
      <c r="Y109" s="38">
        <f>Inputs!$C$33</f>
        <v>2000</v>
      </c>
      <c r="Z109" s="38">
        <f t="shared" si="54"/>
        <v>0</v>
      </c>
      <c r="AA109" s="38">
        <f t="shared" si="55"/>
        <v>0</v>
      </c>
      <c r="AB109" s="38">
        <f>Inputs!$C$19*(1-Inputs!$C$70*$H109)+Inputs!$C$21+Inputs!$B$70*$J109</f>
        <v>495000</v>
      </c>
      <c r="AC109" s="38">
        <f t="shared" si="56"/>
        <v>-495000</v>
      </c>
      <c r="AD109" s="38">
        <f t="shared" si="57"/>
        <v>1</v>
      </c>
      <c r="AE109" s="38">
        <f>MAX(0,MIN(Inputs!$D$36,AJ108,AF109+AG109+AH109+Inputs!$D$6-AI108))</f>
        <v>0</v>
      </c>
      <c r="AF109" s="38">
        <f>Inputs!$D$27*(1+Inputs!$D$28)^($A109/12)*IF(Inputs!$B$70=1,$G109,1)*(1-Inputs!$C$70*$H109*(1-Inputs!$E$54*Inputs!$B$70))*(1+$I109)*IF(Inputs!$D$29=0,1,(MAX(AI108,0)/Inputs!$D$6)^Inputs!$D$29)</f>
        <v>4658.9054364831918</v>
      </c>
      <c r="AG109" s="38">
        <f>Inputs!$D$32*AI108/Inputs!$D$6</f>
        <v>2090.5800754889497</v>
      </c>
      <c r="AH109" s="38">
        <f>Inputs!$D$33</f>
        <v>1500</v>
      </c>
      <c r="AI109" s="38">
        <f t="shared" si="58"/>
        <v>429776.81601904583</v>
      </c>
      <c r="AJ109" s="38">
        <f t="shared" si="59"/>
        <v>0</v>
      </c>
      <c r="AK109" s="38">
        <f>Inputs!$D$19*(1-Inputs!$C$70*$H109)+Inputs!$D$21+Inputs!$B$70*$J109</f>
        <v>404800</v>
      </c>
      <c r="AL109" s="38">
        <f t="shared" si="60"/>
        <v>24976.816019045829</v>
      </c>
      <c r="AM109" s="38">
        <f t="shared" si="61"/>
        <v>0</v>
      </c>
      <c r="AN109" s="38">
        <f>MAX(0,MIN(Inputs!$B$36,AS108,AO109+AP109+AQ109+Inputs!$B$6-AR108))</f>
        <v>0</v>
      </c>
      <c r="AO109" s="38">
        <f>Inputs!$B$27*(1+Inputs!$B$28)^($A109/12)*IF(Inputs!$B$71=1,$G109,1)*(1-Inputs!$C$71*$H109*(1-Inputs!$E$54*Inputs!$B$71))*(1+$I109)*IF(Inputs!$B$29=0,1,(MAX(AR108,0)/Inputs!$B$6)^Inputs!$B$29)</f>
        <v>19862.890500753776</v>
      </c>
      <c r="AP109" s="38">
        <f>Inputs!$B$32*AR108/Inputs!$B$6</f>
        <v>0</v>
      </c>
      <c r="AQ109" s="38">
        <f>Inputs!$B$33</f>
        <v>2500</v>
      </c>
      <c r="AR109" s="38">
        <f t="shared" si="62"/>
        <v>0</v>
      </c>
      <c r="AS109" s="38">
        <f t="shared" si="63"/>
        <v>0</v>
      </c>
      <c r="AT109" s="38">
        <f>Inputs!$B$19*(1-Inputs!$C$71*$H109)+Inputs!$B$21+Inputs!$B$71*$J109</f>
        <v>601000</v>
      </c>
      <c r="AU109" s="38">
        <f t="shared" si="64"/>
        <v>-601000</v>
      </c>
      <c r="AV109" s="38">
        <f t="shared" si="65"/>
        <v>1</v>
      </c>
      <c r="AW109" s="38">
        <f>MAX(0,MIN(Inputs!$C$36,BB108,AX109+AY109+AZ109+Inputs!$C$6-BA108))</f>
        <v>0</v>
      </c>
      <c r="AX109" s="38">
        <f>Inputs!$C$27*(1+Inputs!$C$28)^($A109/12)*IF(Inputs!$B$71=1,$G109,1)*(1-Inputs!$C$71*$H109*(1-Inputs!$E$54*Inputs!$B$71))*(1+$I109)*IF(Inputs!$C$29=0,1,(MAX(BA108,0)/Inputs!$C$6)^Inputs!$C$29)</f>
        <v>0</v>
      </c>
      <c r="AY109" s="38">
        <f>Inputs!$C$32*BA108/Inputs!$C$6</f>
        <v>0</v>
      </c>
      <c r="AZ109" s="38">
        <f>Inputs!$C$33</f>
        <v>2000</v>
      </c>
      <c r="BA109" s="38">
        <f t="shared" si="66"/>
        <v>0</v>
      </c>
      <c r="BB109" s="38">
        <f t="shared" si="67"/>
        <v>0</v>
      </c>
      <c r="BC109" s="38">
        <f>Inputs!$C$19*(1-Inputs!$C$71*$H109)+Inputs!$C$21+Inputs!$B$71*$J109</f>
        <v>501000</v>
      </c>
      <c r="BD109" s="38">
        <f t="shared" si="68"/>
        <v>-501000</v>
      </c>
      <c r="BE109" s="38">
        <f t="shared" si="69"/>
        <v>1</v>
      </c>
      <c r="BF109" s="38">
        <f>MAX(0,MIN(Inputs!$D$36,BK108,BG109+BH109+BI109+Inputs!$D$6-BJ108))</f>
        <v>0</v>
      </c>
      <c r="BG109" s="38">
        <f>Inputs!$D$27*(1+Inputs!$D$28)^($A109/12)*IF(Inputs!$B$71=1,$G109,1)*(1-Inputs!$C$71*$H109*(1-Inputs!$E$54*Inputs!$B$71))*(1+$I109)*IF(Inputs!$D$29=0,1,(MAX(BJ108,0)/Inputs!$D$6)^Inputs!$D$29)</f>
        <v>4272.1400526546904</v>
      </c>
      <c r="BH109" s="38">
        <f>Inputs!$D$32*BJ108/Inputs!$D$6</f>
        <v>2477.6686958086093</v>
      </c>
      <c r="BI109" s="38">
        <f>Inputs!$D$33</f>
        <v>1500</v>
      </c>
      <c r="BJ109" s="38">
        <f t="shared" si="70"/>
        <v>510880.77513524541</v>
      </c>
      <c r="BK109" s="38">
        <f t="shared" si="71"/>
        <v>0</v>
      </c>
      <c r="BL109" s="38">
        <f>Inputs!$D$19*(1-Inputs!$C$71*$H109)+Inputs!$D$21+Inputs!$B$71*$J109</f>
        <v>410800</v>
      </c>
      <c r="BM109" s="38">
        <f t="shared" si="72"/>
        <v>100080.77513524541</v>
      </c>
      <c r="BN109" s="38">
        <f t="shared" si="73"/>
        <v>0</v>
      </c>
      <c r="BO109" s="38">
        <f>MAX(0,MIN(Inputs!$B$36,BT108,BP109+BQ109+BR109+Inputs!$B$6-BS108))</f>
        <v>0</v>
      </c>
      <c r="BP109" s="38">
        <f>Inputs!$B$27*(1+Inputs!$B$28)^($A109/12)*IF(Inputs!$B$72=1,$G109,1)*(1-Inputs!$C$72*$H109*(1-Inputs!$E$54*Inputs!$B$72))*(1+$I109)*IF(Inputs!$B$29=0,1,(MAX(BS108,0)/Inputs!$B$6)^Inputs!$B$29)</f>
        <v>21223.235107591674</v>
      </c>
      <c r="BQ109" s="38">
        <f>Inputs!$B$32*BS108/Inputs!$B$6</f>
        <v>0</v>
      </c>
      <c r="BR109" s="38">
        <f>Inputs!$B$33</f>
        <v>2500</v>
      </c>
      <c r="BS109" s="38">
        <f t="shared" si="74"/>
        <v>0</v>
      </c>
      <c r="BT109" s="38">
        <f t="shared" si="75"/>
        <v>0</v>
      </c>
      <c r="BU109" s="38">
        <f>Inputs!$B$19*(1-Inputs!$C$72*$H109)+Inputs!$B$21+Inputs!$B$72*$J109</f>
        <v>577500</v>
      </c>
      <c r="BV109" s="38">
        <f t="shared" si="76"/>
        <v>-577500</v>
      </c>
      <c r="BW109" s="38">
        <f t="shared" si="77"/>
        <v>1</v>
      </c>
      <c r="BX109" s="38">
        <f>MAX(0,MIN(Inputs!$C$36,CC108,BY109+BZ109+CA109+Inputs!$C$6-CB108))</f>
        <v>0</v>
      </c>
      <c r="BY109" s="38">
        <f>Inputs!$C$27*(1+Inputs!$C$28)^($A109/12)*IF(Inputs!$B$72=1,$G109,1)*(1-Inputs!$C$72*$H109*(1-Inputs!$E$54*Inputs!$B$72))*(1+$I109)*IF(Inputs!$C$29=0,1,(MAX(CB108,0)/Inputs!$C$6)^Inputs!$C$29)</f>
        <v>0</v>
      </c>
      <c r="BZ109" s="38">
        <f>Inputs!$C$32*CB108/Inputs!$C$6</f>
        <v>0</v>
      </c>
      <c r="CA109" s="38">
        <f>Inputs!$C$33</f>
        <v>2000</v>
      </c>
      <c r="CB109" s="38">
        <f t="shared" si="78"/>
        <v>0</v>
      </c>
      <c r="CC109" s="38">
        <f t="shared" si="79"/>
        <v>0</v>
      </c>
      <c r="CD109" s="38">
        <f>Inputs!$C$19*(1-Inputs!$C$72*$H109)+Inputs!$C$21+Inputs!$B$72*$J109</f>
        <v>480000</v>
      </c>
      <c r="CE109" s="38">
        <f t="shared" si="80"/>
        <v>-480000</v>
      </c>
      <c r="CF109" s="38">
        <f t="shared" si="81"/>
        <v>1</v>
      </c>
      <c r="CG109" s="38">
        <f>MAX(0,MIN(Inputs!$D$36,CL108,CH109+CI109+CJ109+Inputs!$D$6-CK108))</f>
        <v>0</v>
      </c>
      <c r="CH109" s="38">
        <f>Inputs!$D$27*(1+Inputs!$D$28)^($A109/12)*IF(Inputs!$B$72=1,$G109,1)*(1-Inputs!$C$72*$H109*(1-Inputs!$E$54*Inputs!$B$72))*(1+$I109)*IF(Inputs!$D$29=0,1,(MAX(CK108,0)/Inputs!$D$6)^Inputs!$D$29)</f>
        <v>4399.6673790768118</v>
      </c>
      <c r="CI109" s="38">
        <f>Inputs!$D$32*CK108/Inputs!$D$6</f>
        <v>2301.7263315415576</v>
      </c>
      <c r="CJ109" s="38">
        <f>Inputs!$D$33</f>
        <v>1500</v>
      </c>
      <c r="CK109" s="38">
        <f t="shared" si="82"/>
        <v>474065.07575523184</v>
      </c>
      <c r="CL109" s="38">
        <f t="shared" si="83"/>
        <v>0</v>
      </c>
      <c r="CM109" s="38">
        <f>Inputs!$D$19*(1-Inputs!$C$72*$H109)+Inputs!$D$21+Inputs!$B$72*$J109</f>
        <v>392150</v>
      </c>
      <c r="CN109" s="38">
        <f t="shared" si="84"/>
        <v>81915.075755231839</v>
      </c>
      <c r="CO109" s="38">
        <f t="shared" si="85"/>
        <v>0</v>
      </c>
      <c r="CP109" s="38">
        <f>MAX(0,MIN(Inputs!$B$36,CU108,CQ109+CR109+CS109+Inputs!$B$6-CT108))</f>
        <v>0</v>
      </c>
      <c r="CQ109" s="38">
        <f>Inputs!$B$27*(1+Inputs!$B$28)^($A109/12)*IF(Inputs!$B$73=1,$G109,1)*(1-Inputs!$C$73*$H109*(1-Inputs!$E$54*Inputs!$B$73))*(1+$I109)*IF(Inputs!$B$29=0,1,(MAX(CT108,0)/Inputs!$B$6)^Inputs!$B$29)</f>
        <v>18869.745975716087</v>
      </c>
      <c r="CR109" s="38">
        <f>Inputs!$B$32*CT108/Inputs!$B$6</f>
        <v>0</v>
      </c>
      <c r="CS109" s="38">
        <f>Inputs!$B$33</f>
        <v>2500</v>
      </c>
      <c r="CT109" s="38">
        <f t="shared" si="86"/>
        <v>0</v>
      </c>
      <c r="CU109" s="38">
        <f t="shared" si="87"/>
        <v>0</v>
      </c>
      <c r="CV109" s="38">
        <f>Inputs!$B$19*(1-Inputs!$C$73*$H109)+Inputs!$B$21+Inputs!$B$73*$J109</f>
        <v>583500</v>
      </c>
      <c r="CW109" s="38">
        <f t="shared" si="88"/>
        <v>-583500</v>
      </c>
      <c r="CX109" s="38">
        <f t="shared" si="89"/>
        <v>1</v>
      </c>
      <c r="CY109" s="38">
        <f>MAX(0,MIN(Inputs!$C$36,DD108,CZ109+DA109+DB109+Inputs!$C$6-DC108))</f>
        <v>0</v>
      </c>
      <c r="CZ109" s="38">
        <f>Inputs!$C$27*(1+Inputs!$C$28)^($A109/12)*IF(Inputs!$B$73=1,$G109,1)*(1-Inputs!$C$73*$H109*(1-Inputs!$E$54*Inputs!$B$73))*(1+$I109)*IF(Inputs!$C$29=0,1,(MAX(DC108,0)/Inputs!$C$6)^Inputs!$C$29)</f>
        <v>0</v>
      </c>
      <c r="DA109" s="38">
        <f>Inputs!$C$32*DC108/Inputs!$C$6</f>
        <v>0</v>
      </c>
      <c r="DB109" s="38">
        <f>Inputs!$C$33</f>
        <v>2000</v>
      </c>
      <c r="DC109" s="38">
        <f t="shared" si="90"/>
        <v>0</v>
      </c>
      <c r="DD109" s="38">
        <f t="shared" si="91"/>
        <v>0</v>
      </c>
      <c r="DE109" s="38">
        <f>Inputs!$C$19*(1-Inputs!$C$73*$H109)+Inputs!$C$21+Inputs!$B$73*$J109</f>
        <v>486000</v>
      </c>
      <c r="DF109" s="38">
        <f t="shared" si="92"/>
        <v>-486000</v>
      </c>
      <c r="DG109" s="38">
        <f t="shared" si="93"/>
        <v>1</v>
      </c>
      <c r="DH109" s="38">
        <f>MAX(0,MIN(Inputs!$D$36,DM108,DI109+DJ109+DK109+Inputs!$D$6-DL108))</f>
        <v>0</v>
      </c>
      <c r="DI109" s="38">
        <f>Inputs!$D$27*(1+Inputs!$D$28)^($A109/12)*IF(Inputs!$B$73=1,$G109,1)*(1-Inputs!$C$73*$H109*(1-Inputs!$E$54*Inputs!$B$73))*(1+$I109)*IF(Inputs!$D$29=0,1,(MAX(DL108,0)/Inputs!$D$6)^Inputs!$D$29)</f>
        <v>4136.4798146892535</v>
      </c>
      <c r="DJ109" s="38">
        <f>Inputs!$D$32*DL108/Inputs!$D$6</f>
        <v>2573.753076053345</v>
      </c>
      <c r="DK109" s="38">
        <f>Inputs!$D$33</f>
        <v>1500</v>
      </c>
      <c r="DL109" s="38">
        <f t="shared" si="94"/>
        <v>531052.31637757737</v>
      </c>
      <c r="DM109" s="38">
        <f t="shared" si="95"/>
        <v>0</v>
      </c>
      <c r="DN109" s="38">
        <f>Inputs!$D$19*(1-Inputs!$C$73*$H109)+Inputs!$D$21+Inputs!$B$73*$J109</f>
        <v>398150</v>
      </c>
      <c r="DO109" s="38">
        <f t="shared" si="96"/>
        <v>132902.31637757737</v>
      </c>
      <c r="DP109" s="38">
        <f t="shared" si="97"/>
        <v>0</v>
      </c>
    </row>
    <row r="110" spans="1:120" x14ac:dyDescent="0.35">
      <c r="A110" s="29">
        <v>105</v>
      </c>
      <c r="B110" s="34">
        <f>EDATE(Inputs!$B$67,$A110)</f>
        <v>49461</v>
      </c>
      <c r="C110" s="35">
        <f>IF(Inputs!$E$47&lt;=0,Inputs!$E$46,Inputs!$E$44+(Inputs!$E$46-Inputs!$E$44)*MIN($A110/Inputs!$E$47,1))</f>
        <v>0.7</v>
      </c>
      <c r="D110" s="35">
        <f>MIN(Inputs!$E$57,Inputs!$E$55*(1+Inputs!$E$56)^($A110/12))*Inputs!$E$58*(1+Inputs!$E$59)^($A110/12)/Inputs!$E$45</f>
        <v>1.5</v>
      </c>
      <c r="E110" s="35">
        <f>MAX(Inputs!$E$44,MIN(C110,D110))</f>
        <v>0.7</v>
      </c>
      <c r="F110" s="35">
        <f>IF(Inputs!$E$50&lt;=0,Inputs!$E$49,Inputs!$E$48+(Inputs!$E$49-Inputs!$E$48)*MIN($A110/Inputs!$E$50,1))</f>
        <v>0.12</v>
      </c>
      <c r="G110" s="36">
        <f>(Inputs!$E$41*(1-E110*Inputs!$E$51)+Inputs!$E$42*(1-F110*Inputs!$E$51))/(Inputs!$E$41*(1-Inputs!$E$44*Inputs!$E$51)+Inputs!$E$42*(1-Inputs!$E$48*Inputs!$E$51))</f>
        <v>0.8423127463863338</v>
      </c>
      <c r="H110" s="35">
        <f>IF(Inputs!$E$53&lt;=0,Inputs!$E$52,Inputs!$E$52*MIN($A110/Inputs!$E$53,1))</f>
        <v>0.1</v>
      </c>
      <c r="I110" s="35">
        <f>IF(Inputs!$E$64&lt;=0,Inputs!$E$63,Inputs!$E$62+(Inputs!$E$63-Inputs!$E$62)*MIN($A110/Inputs!$E$64,1))</f>
        <v>0.03</v>
      </c>
      <c r="J110" s="37">
        <f>(E110-Inputs!$E$44)*Inputs!$E$45/Inputs!$E$60*Inputs!$E$61</f>
        <v>5999.9999999999991</v>
      </c>
      <c r="K110" s="29">
        <f t="shared" si="49"/>
        <v>0</v>
      </c>
      <c r="L110" s="29"/>
      <c r="M110" s="38">
        <f>MAX(0,MIN(Inputs!$B$36,R109,N110+O110+P110+Inputs!$B$6-Q109))</f>
        <v>0</v>
      </c>
      <c r="N110" s="38">
        <f>Inputs!$B$27*(1+Inputs!$B$28)^($A110/12)*IF(Inputs!$B$70=1,$G110,1)*(1-Inputs!$C$70*$H110*(1-Inputs!$E$54*Inputs!$B$70))*(1+$I110)*IF(Inputs!$B$29=0,1,(MAX(Q109,0)/Inputs!$B$6)^Inputs!$B$29)</f>
        <v>23677.44577167719</v>
      </c>
      <c r="O110" s="38">
        <f>Inputs!$B$32*Q109/Inputs!$B$6</f>
        <v>0</v>
      </c>
      <c r="P110" s="38">
        <f>Inputs!$B$33</f>
        <v>2500</v>
      </c>
      <c r="Q110" s="38">
        <f t="shared" si="50"/>
        <v>0</v>
      </c>
      <c r="R110" s="38">
        <f t="shared" si="51"/>
        <v>0</v>
      </c>
      <c r="S110" s="38">
        <f>Inputs!$B$19*(1-Inputs!$C$70*$H110)+Inputs!$B$21+Inputs!$B$70*$J110</f>
        <v>595000</v>
      </c>
      <c r="T110" s="38">
        <f t="shared" si="52"/>
        <v>-595000</v>
      </c>
      <c r="U110" s="38">
        <f t="shared" si="53"/>
        <v>1</v>
      </c>
      <c r="V110" s="38">
        <f>MAX(0,MIN(Inputs!$C$36,AA109,W110+X110+Y110+Inputs!$C$6-Z109))</f>
        <v>0</v>
      </c>
      <c r="W110" s="38">
        <f>Inputs!$C$27*(1+Inputs!$C$28)^($A110/12)*IF(Inputs!$B$70=1,$G110,1)*(1-Inputs!$C$70*$H110*(1-Inputs!$E$54*Inputs!$B$70))*(1+$I110)*IF(Inputs!$C$29=0,1,(MAX(Z109,0)/Inputs!$C$6)^Inputs!$C$29)</f>
        <v>0</v>
      </c>
      <c r="X110" s="38">
        <f>Inputs!$C$32*Z109/Inputs!$C$6</f>
        <v>0</v>
      </c>
      <c r="Y110" s="38">
        <f>Inputs!$C$33</f>
        <v>2000</v>
      </c>
      <c r="Z110" s="38">
        <f t="shared" si="54"/>
        <v>0</v>
      </c>
      <c r="AA110" s="38">
        <f t="shared" si="55"/>
        <v>0</v>
      </c>
      <c r="AB110" s="38">
        <f>Inputs!$C$19*(1-Inputs!$C$70*$H110)+Inputs!$C$21+Inputs!$B$70*$J110</f>
        <v>495000</v>
      </c>
      <c r="AC110" s="38">
        <f t="shared" si="56"/>
        <v>-495000</v>
      </c>
      <c r="AD110" s="38">
        <f t="shared" si="57"/>
        <v>1</v>
      </c>
      <c r="AE110" s="38">
        <f>MAX(0,MIN(Inputs!$D$36,AJ109,AF110+AG110+AH110+Inputs!$D$6-AI109))</f>
        <v>0</v>
      </c>
      <c r="AF110" s="38">
        <f>Inputs!$D$27*(1+Inputs!$D$28)^($A110/12)*IF(Inputs!$B$70=1,$G110,1)*(1-Inputs!$C$70*$H110*(1-Inputs!$E$54*Inputs!$B$70))*(1+$I110)*IF(Inputs!$D$29=0,1,(MAX(AI109,0)/Inputs!$D$6)^Inputs!$D$29)</f>
        <v>4595.1418981602337</v>
      </c>
      <c r="AG110" s="38">
        <f>Inputs!$D$32*AI109/Inputs!$D$6</f>
        <v>2051.2075309999914</v>
      </c>
      <c r="AH110" s="38">
        <f>Inputs!$D$33</f>
        <v>1500</v>
      </c>
      <c r="AI110" s="38">
        <f t="shared" si="58"/>
        <v>421630.46658988565</v>
      </c>
      <c r="AJ110" s="38">
        <f t="shared" si="59"/>
        <v>0</v>
      </c>
      <c r="AK110" s="38">
        <f>Inputs!$D$19*(1-Inputs!$C$70*$H110)+Inputs!$D$21+Inputs!$B$70*$J110</f>
        <v>404800</v>
      </c>
      <c r="AL110" s="38">
        <f t="shared" si="60"/>
        <v>16830.466589885647</v>
      </c>
      <c r="AM110" s="38">
        <f t="shared" si="61"/>
        <v>0</v>
      </c>
      <c r="AN110" s="38">
        <f>MAX(0,MIN(Inputs!$B$36,AS109,AO110+AP110+AQ110+Inputs!$B$6-AR109))</f>
        <v>0</v>
      </c>
      <c r="AO110" s="38">
        <f>Inputs!$B$27*(1+Inputs!$B$28)^($A110/12)*IF(Inputs!$B$71=1,$G110,1)*(1-Inputs!$C$71*$H110*(1-Inputs!$E$54*Inputs!$B$71))*(1+$I110)*IF(Inputs!$B$29=0,1,(MAX(AR109,0)/Inputs!$B$6)^Inputs!$B$29)</f>
        <v>19943.814375354901</v>
      </c>
      <c r="AP110" s="38">
        <f>Inputs!$B$32*AR109/Inputs!$B$6</f>
        <v>0</v>
      </c>
      <c r="AQ110" s="38">
        <f>Inputs!$B$33</f>
        <v>2500</v>
      </c>
      <c r="AR110" s="38">
        <f t="shared" si="62"/>
        <v>0</v>
      </c>
      <c r="AS110" s="38">
        <f t="shared" si="63"/>
        <v>0</v>
      </c>
      <c r="AT110" s="38">
        <f>Inputs!$B$19*(1-Inputs!$C$71*$H110)+Inputs!$B$21+Inputs!$B$71*$J110</f>
        <v>601000</v>
      </c>
      <c r="AU110" s="38">
        <f t="shared" si="64"/>
        <v>-601000</v>
      </c>
      <c r="AV110" s="38">
        <f t="shared" si="65"/>
        <v>1</v>
      </c>
      <c r="AW110" s="38">
        <f>MAX(0,MIN(Inputs!$C$36,BB109,AX110+AY110+AZ110+Inputs!$C$6-BA109))</f>
        <v>0</v>
      </c>
      <c r="AX110" s="38">
        <f>Inputs!$C$27*(1+Inputs!$C$28)^($A110/12)*IF(Inputs!$B$71=1,$G110,1)*(1-Inputs!$C$71*$H110*(1-Inputs!$E$54*Inputs!$B$71))*(1+$I110)*IF(Inputs!$C$29=0,1,(MAX(BA109,0)/Inputs!$C$6)^Inputs!$C$29)</f>
        <v>0</v>
      </c>
      <c r="AY110" s="38">
        <f>Inputs!$C$32*BA109/Inputs!$C$6</f>
        <v>0</v>
      </c>
      <c r="AZ110" s="38">
        <f>Inputs!$C$33</f>
        <v>2000</v>
      </c>
      <c r="BA110" s="38">
        <f t="shared" si="66"/>
        <v>0</v>
      </c>
      <c r="BB110" s="38">
        <f t="shared" si="67"/>
        <v>0</v>
      </c>
      <c r="BC110" s="38">
        <f>Inputs!$C$19*(1-Inputs!$C$71*$H110)+Inputs!$C$21+Inputs!$B$71*$J110</f>
        <v>501000</v>
      </c>
      <c r="BD110" s="38">
        <f t="shared" si="68"/>
        <v>-501000</v>
      </c>
      <c r="BE110" s="38">
        <f t="shared" si="69"/>
        <v>1</v>
      </c>
      <c r="BF110" s="38">
        <f>MAX(0,MIN(Inputs!$D$36,BK109,BG110+BH110+BI110+Inputs!$D$6-BJ109))</f>
        <v>0</v>
      </c>
      <c r="BG110" s="38">
        <f>Inputs!$D$27*(1+Inputs!$D$28)^($A110/12)*IF(Inputs!$B$71=1,$G110,1)*(1-Inputs!$C$71*$H110*(1-Inputs!$E$54*Inputs!$B$71))*(1+$I110)*IF(Inputs!$D$29=0,1,(MAX(BJ109,0)/Inputs!$D$6)^Inputs!$D$29)</f>
        <v>4219.9818950978824</v>
      </c>
      <c r="BH110" s="38">
        <f>Inputs!$D$32*BJ109/Inputs!$D$6</f>
        <v>2438.2946086000347</v>
      </c>
      <c r="BI110" s="38">
        <f>Inputs!$D$33</f>
        <v>1500</v>
      </c>
      <c r="BJ110" s="38">
        <f t="shared" si="70"/>
        <v>502722.4986315475</v>
      </c>
      <c r="BK110" s="38">
        <f t="shared" si="71"/>
        <v>0</v>
      </c>
      <c r="BL110" s="38">
        <f>Inputs!$D$19*(1-Inputs!$C$71*$H110)+Inputs!$D$21+Inputs!$B$71*$J110</f>
        <v>410800</v>
      </c>
      <c r="BM110" s="38">
        <f t="shared" si="72"/>
        <v>91922.498631547496</v>
      </c>
      <c r="BN110" s="38">
        <f t="shared" si="73"/>
        <v>0</v>
      </c>
      <c r="BO110" s="38">
        <f>MAX(0,MIN(Inputs!$B$36,BT109,BP110+BQ110+BR110+Inputs!$B$6-BS109))</f>
        <v>0</v>
      </c>
      <c r="BP110" s="38">
        <f>Inputs!$B$27*(1+Inputs!$B$28)^($A110/12)*IF(Inputs!$B$72=1,$G110,1)*(1-Inputs!$C$72*$H110*(1-Inputs!$E$54*Inputs!$B$72))*(1+$I110)*IF(Inputs!$B$29=0,1,(MAX(BS109,0)/Inputs!$B$6)^Inputs!$B$29)</f>
        <v>21309.701194509475</v>
      </c>
      <c r="BQ110" s="38">
        <f>Inputs!$B$32*BS109/Inputs!$B$6</f>
        <v>0</v>
      </c>
      <c r="BR110" s="38">
        <f>Inputs!$B$33</f>
        <v>2500</v>
      </c>
      <c r="BS110" s="38">
        <f t="shared" si="74"/>
        <v>0</v>
      </c>
      <c r="BT110" s="38">
        <f t="shared" si="75"/>
        <v>0</v>
      </c>
      <c r="BU110" s="38">
        <f>Inputs!$B$19*(1-Inputs!$C$72*$H110)+Inputs!$B$21+Inputs!$B$72*$J110</f>
        <v>577500</v>
      </c>
      <c r="BV110" s="38">
        <f t="shared" si="76"/>
        <v>-577500</v>
      </c>
      <c r="BW110" s="38">
        <f t="shared" si="77"/>
        <v>1</v>
      </c>
      <c r="BX110" s="38">
        <f>MAX(0,MIN(Inputs!$C$36,CC109,BY110+BZ110+CA110+Inputs!$C$6-CB109))</f>
        <v>0</v>
      </c>
      <c r="BY110" s="38">
        <f>Inputs!$C$27*(1+Inputs!$C$28)^($A110/12)*IF(Inputs!$B$72=1,$G110,1)*(1-Inputs!$C$72*$H110*(1-Inputs!$E$54*Inputs!$B$72))*(1+$I110)*IF(Inputs!$C$29=0,1,(MAX(CB109,0)/Inputs!$C$6)^Inputs!$C$29)</f>
        <v>0</v>
      </c>
      <c r="BZ110" s="38">
        <f>Inputs!$C$32*CB109/Inputs!$C$6</f>
        <v>0</v>
      </c>
      <c r="CA110" s="38">
        <f>Inputs!$C$33</f>
        <v>2000</v>
      </c>
      <c r="CB110" s="38">
        <f t="shared" si="78"/>
        <v>0</v>
      </c>
      <c r="CC110" s="38">
        <f t="shared" si="79"/>
        <v>0</v>
      </c>
      <c r="CD110" s="38">
        <f>Inputs!$C$19*(1-Inputs!$C$72*$H110)+Inputs!$C$21+Inputs!$B$72*$J110</f>
        <v>480000</v>
      </c>
      <c r="CE110" s="38">
        <f t="shared" si="80"/>
        <v>-480000</v>
      </c>
      <c r="CF110" s="38">
        <f t="shared" si="81"/>
        <v>1</v>
      </c>
      <c r="CG110" s="38">
        <f>MAX(0,MIN(Inputs!$D$36,CL109,CH110+CI110+CJ110+Inputs!$D$6-CK109))</f>
        <v>0</v>
      </c>
      <c r="CH110" s="38">
        <f>Inputs!$D$27*(1+Inputs!$D$28)^($A110/12)*IF(Inputs!$B$72=1,$G110,1)*(1-Inputs!$C$72*$H110*(1-Inputs!$E$54*Inputs!$B$72))*(1+$I110)*IF(Inputs!$D$29=0,1,(MAX(CK109,0)/Inputs!$D$6)^Inputs!$D$29)</f>
        <v>4343.490994543693</v>
      </c>
      <c r="CI110" s="38">
        <f>Inputs!$D$32*CK109/Inputs!$D$6</f>
        <v>2262.5833161045157</v>
      </c>
      <c r="CJ110" s="38">
        <f>Inputs!$D$33</f>
        <v>1500</v>
      </c>
      <c r="CK110" s="38">
        <f t="shared" si="82"/>
        <v>465959.00144458364</v>
      </c>
      <c r="CL110" s="38">
        <f t="shared" si="83"/>
        <v>0</v>
      </c>
      <c r="CM110" s="38">
        <f>Inputs!$D$19*(1-Inputs!$C$72*$H110)+Inputs!$D$21+Inputs!$B$72*$J110</f>
        <v>392150</v>
      </c>
      <c r="CN110" s="38">
        <f t="shared" si="84"/>
        <v>73809.001444583642</v>
      </c>
      <c r="CO110" s="38">
        <f t="shared" si="85"/>
        <v>0</v>
      </c>
      <c r="CP110" s="38">
        <f>MAX(0,MIN(Inputs!$B$36,CU109,CQ110+CR110+CS110+Inputs!$B$6-CT109))</f>
        <v>0</v>
      </c>
      <c r="CQ110" s="38">
        <f>Inputs!$B$27*(1+Inputs!$B$28)^($A110/12)*IF(Inputs!$B$73=1,$G110,1)*(1-Inputs!$C$73*$H110*(1-Inputs!$E$54*Inputs!$B$73))*(1+$I110)*IF(Inputs!$B$29=0,1,(MAX(CT109,0)/Inputs!$B$6)^Inputs!$B$29)</f>
        <v>18946.623656587159</v>
      </c>
      <c r="CR110" s="38">
        <f>Inputs!$B$32*CT109/Inputs!$B$6</f>
        <v>0</v>
      </c>
      <c r="CS110" s="38">
        <f>Inputs!$B$33</f>
        <v>2500</v>
      </c>
      <c r="CT110" s="38">
        <f t="shared" si="86"/>
        <v>0</v>
      </c>
      <c r="CU110" s="38">
        <f t="shared" si="87"/>
        <v>0</v>
      </c>
      <c r="CV110" s="38">
        <f>Inputs!$B$19*(1-Inputs!$C$73*$H110)+Inputs!$B$21+Inputs!$B$73*$J110</f>
        <v>583500</v>
      </c>
      <c r="CW110" s="38">
        <f t="shared" si="88"/>
        <v>-583500</v>
      </c>
      <c r="CX110" s="38">
        <f t="shared" si="89"/>
        <v>1</v>
      </c>
      <c r="CY110" s="38">
        <f>MAX(0,MIN(Inputs!$C$36,DD109,CZ110+DA110+DB110+Inputs!$C$6-DC109))</f>
        <v>0</v>
      </c>
      <c r="CZ110" s="38">
        <f>Inputs!$C$27*(1+Inputs!$C$28)^($A110/12)*IF(Inputs!$B$73=1,$G110,1)*(1-Inputs!$C$73*$H110*(1-Inputs!$E$54*Inputs!$B$73))*(1+$I110)*IF(Inputs!$C$29=0,1,(MAX(DC109,0)/Inputs!$C$6)^Inputs!$C$29)</f>
        <v>0</v>
      </c>
      <c r="DA110" s="38">
        <f>Inputs!$C$32*DC109/Inputs!$C$6</f>
        <v>0</v>
      </c>
      <c r="DB110" s="38">
        <f>Inputs!$C$33</f>
        <v>2000</v>
      </c>
      <c r="DC110" s="38">
        <f t="shared" si="90"/>
        <v>0</v>
      </c>
      <c r="DD110" s="38">
        <f t="shared" si="91"/>
        <v>0</v>
      </c>
      <c r="DE110" s="38">
        <f>Inputs!$C$19*(1-Inputs!$C$73*$H110)+Inputs!$C$21+Inputs!$B$73*$J110</f>
        <v>486000</v>
      </c>
      <c r="DF110" s="38">
        <f t="shared" si="92"/>
        <v>-486000</v>
      </c>
      <c r="DG110" s="38">
        <f t="shared" si="93"/>
        <v>1</v>
      </c>
      <c r="DH110" s="38">
        <f>MAX(0,MIN(Inputs!$D$36,DM109,DI110+DJ110+DK110+Inputs!$D$6-DL109))</f>
        <v>0</v>
      </c>
      <c r="DI110" s="38">
        <f>Inputs!$D$27*(1+Inputs!$D$28)^($A110/12)*IF(Inputs!$B$73=1,$G110,1)*(1-Inputs!$C$73*$H110*(1-Inputs!$E$54*Inputs!$B$73))*(1+$I110)*IF(Inputs!$D$29=0,1,(MAX(DL109,0)/Inputs!$D$6)^Inputs!$D$29)</f>
        <v>4087.3616583555331</v>
      </c>
      <c r="DJ110" s="38">
        <f>Inputs!$D$32*DL109/Inputs!$D$6</f>
        <v>2534.5678736202553</v>
      </c>
      <c r="DK110" s="38">
        <f>Inputs!$D$33</f>
        <v>1500</v>
      </c>
      <c r="DL110" s="38">
        <f t="shared" si="94"/>
        <v>522930.38684560149</v>
      </c>
      <c r="DM110" s="38">
        <f t="shared" si="95"/>
        <v>0</v>
      </c>
      <c r="DN110" s="38">
        <f>Inputs!$D$19*(1-Inputs!$C$73*$H110)+Inputs!$D$21+Inputs!$B$73*$J110</f>
        <v>398150</v>
      </c>
      <c r="DO110" s="38">
        <f t="shared" si="96"/>
        <v>124780.38684560149</v>
      </c>
      <c r="DP110" s="38">
        <f t="shared" si="97"/>
        <v>0</v>
      </c>
    </row>
    <row r="111" spans="1:120" x14ac:dyDescent="0.35">
      <c r="A111" s="29">
        <v>106</v>
      </c>
      <c r="B111" s="34">
        <f>EDATE(Inputs!$B$67,$A111)</f>
        <v>49491</v>
      </c>
      <c r="C111" s="35">
        <f>IF(Inputs!$E$47&lt;=0,Inputs!$E$46,Inputs!$E$44+(Inputs!$E$46-Inputs!$E$44)*MIN($A111/Inputs!$E$47,1))</f>
        <v>0.7</v>
      </c>
      <c r="D111" s="35">
        <f>MIN(Inputs!$E$57,Inputs!$E$55*(1+Inputs!$E$56)^($A111/12))*Inputs!$E$58*(1+Inputs!$E$59)^($A111/12)/Inputs!$E$45</f>
        <v>1.5</v>
      </c>
      <c r="E111" s="35">
        <f>MAX(Inputs!$E$44,MIN(C111,D111))</f>
        <v>0.7</v>
      </c>
      <c r="F111" s="35">
        <f>IF(Inputs!$E$50&lt;=0,Inputs!$E$49,Inputs!$E$48+(Inputs!$E$49-Inputs!$E$48)*MIN($A111/Inputs!$E$50,1))</f>
        <v>0.12</v>
      </c>
      <c r="G111" s="36">
        <f>(Inputs!$E$41*(1-E111*Inputs!$E$51)+Inputs!$E$42*(1-F111*Inputs!$E$51))/(Inputs!$E$41*(1-Inputs!$E$44*Inputs!$E$51)+Inputs!$E$42*(1-Inputs!$E$48*Inputs!$E$51))</f>
        <v>0.8423127463863338</v>
      </c>
      <c r="H111" s="35">
        <f>IF(Inputs!$E$53&lt;=0,Inputs!$E$52,Inputs!$E$52*MIN($A111/Inputs!$E$53,1))</f>
        <v>0.1</v>
      </c>
      <c r="I111" s="35">
        <f>IF(Inputs!$E$64&lt;=0,Inputs!$E$63,Inputs!$E$62+(Inputs!$E$63-Inputs!$E$62)*MIN($A111/Inputs!$E$64,1))</f>
        <v>0.03</v>
      </c>
      <c r="J111" s="37">
        <f>(E111-Inputs!$E$44)*Inputs!$E$45/Inputs!$E$60*Inputs!$E$61</f>
        <v>5999.9999999999991</v>
      </c>
      <c r="K111" s="29">
        <f t="shared" si="49"/>
        <v>0</v>
      </c>
      <c r="L111" s="29"/>
      <c r="M111" s="38">
        <f>MAX(0,MIN(Inputs!$B$36,R110,N111+O111+P111+Inputs!$B$6-Q110))</f>
        <v>0</v>
      </c>
      <c r="N111" s="38">
        <f>Inputs!$B$27*(1+Inputs!$B$28)^($A111/12)*IF(Inputs!$B$70=1,$G111,1)*(1-Inputs!$C$70*$H111*(1-Inputs!$E$54*Inputs!$B$70))*(1+$I111)*IF(Inputs!$B$29=0,1,(MAX(Q110,0)/Inputs!$B$6)^Inputs!$B$29)</f>
        <v>23773.910616631623</v>
      </c>
      <c r="O111" s="38">
        <f>Inputs!$B$32*Q110/Inputs!$B$6</f>
        <v>0</v>
      </c>
      <c r="P111" s="38">
        <f>Inputs!$B$33</f>
        <v>2500</v>
      </c>
      <c r="Q111" s="38">
        <f t="shared" si="50"/>
        <v>0</v>
      </c>
      <c r="R111" s="38">
        <f t="shared" si="51"/>
        <v>0</v>
      </c>
      <c r="S111" s="38">
        <f>Inputs!$B$19*(1-Inputs!$C$70*$H111)+Inputs!$B$21+Inputs!$B$70*$J111</f>
        <v>595000</v>
      </c>
      <c r="T111" s="38">
        <f t="shared" si="52"/>
        <v>-595000</v>
      </c>
      <c r="U111" s="38">
        <f t="shared" si="53"/>
        <v>1</v>
      </c>
      <c r="V111" s="38">
        <f>MAX(0,MIN(Inputs!$C$36,AA110,W111+X111+Y111+Inputs!$C$6-Z110))</f>
        <v>0</v>
      </c>
      <c r="W111" s="38">
        <f>Inputs!$C$27*(1+Inputs!$C$28)^($A111/12)*IF(Inputs!$B$70=1,$G111,1)*(1-Inputs!$C$70*$H111*(1-Inputs!$E$54*Inputs!$B$70))*(1+$I111)*IF(Inputs!$C$29=0,1,(MAX(Z110,0)/Inputs!$C$6)^Inputs!$C$29)</f>
        <v>0</v>
      </c>
      <c r="X111" s="38">
        <f>Inputs!$C$32*Z110/Inputs!$C$6</f>
        <v>0</v>
      </c>
      <c r="Y111" s="38">
        <f>Inputs!$C$33</f>
        <v>2000</v>
      </c>
      <c r="Z111" s="38">
        <f t="shared" si="54"/>
        <v>0</v>
      </c>
      <c r="AA111" s="38">
        <f t="shared" si="55"/>
        <v>0</v>
      </c>
      <c r="AB111" s="38">
        <f>Inputs!$C$19*(1-Inputs!$C$70*$H111)+Inputs!$C$21+Inputs!$B$70*$J111</f>
        <v>495000</v>
      </c>
      <c r="AC111" s="38">
        <f t="shared" si="56"/>
        <v>-495000</v>
      </c>
      <c r="AD111" s="38">
        <f t="shared" si="57"/>
        <v>1</v>
      </c>
      <c r="AE111" s="38">
        <f>MAX(0,MIN(Inputs!$D$36,AJ110,AF111+AG111+AH111+Inputs!$D$6-AI110))</f>
        <v>0</v>
      </c>
      <c r="AF111" s="38">
        <f>Inputs!$D$27*(1+Inputs!$D$28)^($A111/12)*IF(Inputs!$B$70=1,$G111,1)*(1-Inputs!$C$70*$H111*(1-Inputs!$E$54*Inputs!$B$70))*(1+$I111)*IF(Inputs!$D$29=0,1,(MAX(AI110,0)/Inputs!$D$6)^Inputs!$D$29)</f>
        <v>4531.970363787801</v>
      </c>
      <c r="AG111" s="38">
        <f>Inputs!$D$32*AI110/Inputs!$D$6</f>
        <v>2012.3272269062725</v>
      </c>
      <c r="AH111" s="38">
        <f>Inputs!$D$33</f>
        <v>1500</v>
      </c>
      <c r="AI111" s="38">
        <f t="shared" si="58"/>
        <v>413586.16899919161</v>
      </c>
      <c r="AJ111" s="38">
        <f t="shared" si="59"/>
        <v>0</v>
      </c>
      <c r="AK111" s="38">
        <f>Inputs!$D$19*(1-Inputs!$C$70*$H111)+Inputs!$D$21+Inputs!$B$70*$J111</f>
        <v>404800</v>
      </c>
      <c r="AL111" s="38">
        <f t="shared" si="60"/>
        <v>8786.1689991916064</v>
      </c>
      <c r="AM111" s="38">
        <f t="shared" si="61"/>
        <v>0</v>
      </c>
      <c r="AN111" s="38">
        <f>MAX(0,MIN(Inputs!$B$36,AS110,AO111+AP111+AQ111+Inputs!$B$6-AR110))</f>
        <v>0</v>
      </c>
      <c r="AO111" s="38">
        <f>Inputs!$B$27*(1+Inputs!$B$28)^($A111/12)*IF(Inputs!$B$71=1,$G111,1)*(1-Inputs!$C$71*$H111*(1-Inputs!$E$54*Inputs!$B$71))*(1+$I111)*IF(Inputs!$B$29=0,1,(MAX(AR110,0)/Inputs!$B$6)^Inputs!$B$29)</f>
        <v>20025.067943838203</v>
      </c>
      <c r="AP111" s="38">
        <f>Inputs!$B$32*AR110/Inputs!$B$6</f>
        <v>0</v>
      </c>
      <c r="AQ111" s="38">
        <f>Inputs!$B$33</f>
        <v>2500</v>
      </c>
      <c r="AR111" s="38">
        <f t="shared" si="62"/>
        <v>0</v>
      </c>
      <c r="AS111" s="38">
        <f t="shared" si="63"/>
        <v>0</v>
      </c>
      <c r="AT111" s="38">
        <f>Inputs!$B$19*(1-Inputs!$C$71*$H111)+Inputs!$B$21+Inputs!$B$71*$J111</f>
        <v>601000</v>
      </c>
      <c r="AU111" s="38">
        <f t="shared" si="64"/>
        <v>-601000</v>
      </c>
      <c r="AV111" s="38">
        <f t="shared" si="65"/>
        <v>1</v>
      </c>
      <c r="AW111" s="38">
        <f>MAX(0,MIN(Inputs!$C$36,BB110,AX111+AY111+AZ111+Inputs!$C$6-BA110))</f>
        <v>0</v>
      </c>
      <c r="AX111" s="38">
        <f>Inputs!$C$27*(1+Inputs!$C$28)^($A111/12)*IF(Inputs!$B$71=1,$G111,1)*(1-Inputs!$C$71*$H111*(1-Inputs!$E$54*Inputs!$B$71))*(1+$I111)*IF(Inputs!$C$29=0,1,(MAX(BA110,0)/Inputs!$C$6)^Inputs!$C$29)</f>
        <v>0</v>
      </c>
      <c r="AY111" s="38">
        <f>Inputs!$C$32*BA110/Inputs!$C$6</f>
        <v>0</v>
      </c>
      <c r="AZ111" s="38">
        <f>Inputs!$C$33</f>
        <v>2000</v>
      </c>
      <c r="BA111" s="38">
        <f t="shared" si="66"/>
        <v>0</v>
      </c>
      <c r="BB111" s="38">
        <f t="shared" si="67"/>
        <v>0</v>
      </c>
      <c r="BC111" s="38">
        <f>Inputs!$C$19*(1-Inputs!$C$71*$H111)+Inputs!$C$21+Inputs!$B$71*$J111</f>
        <v>501000</v>
      </c>
      <c r="BD111" s="38">
        <f t="shared" si="68"/>
        <v>-501000</v>
      </c>
      <c r="BE111" s="38">
        <f t="shared" si="69"/>
        <v>1</v>
      </c>
      <c r="BF111" s="38">
        <f>MAX(0,MIN(Inputs!$D$36,BK110,BG111+BH111+BI111+Inputs!$D$6-BJ110))</f>
        <v>0</v>
      </c>
      <c r="BG111" s="38">
        <f>Inputs!$D$27*(1+Inputs!$D$28)^($A111/12)*IF(Inputs!$B$71=1,$G111,1)*(1-Inputs!$C$71*$H111*(1-Inputs!$E$54*Inputs!$B$71))*(1+$I111)*IF(Inputs!$D$29=0,1,(MAX(BJ110,0)/Inputs!$D$6)^Inputs!$D$29)</f>
        <v>4168.296487292484</v>
      </c>
      <c r="BH111" s="38">
        <f>Inputs!$D$32*BJ110/Inputs!$D$6</f>
        <v>2399.357379832386</v>
      </c>
      <c r="BI111" s="38">
        <f>Inputs!$D$33</f>
        <v>1500</v>
      </c>
      <c r="BJ111" s="38">
        <f t="shared" si="70"/>
        <v>494654.84476442263</v>
      </c>
      <c r="BK111" s="38">
        <f t="shared" si="71"/>
        <v>0</v>
      </c>
      <c r="BL111" s="38">
        <f>Inputs!$D$19*(1-Inputs!$C$71*$H111)+Inputs!$D$21+Inputs!$B$71*$J111</f>
        <v>410800</v>
      </c>
      <c r="BM111" s="38">
        <f t="shared" si="72"/>
        <v>83854.844764422625</v>
      </c>
      <c r="BN111" s="38">
        <f t="shared" si="73"/>
        <v>0</v>
      </c>
      <c r="BO111" s="38">
        <f>MAX(0,MIN(Inputs!$B$36,BT110,BP111+BQ111+BR111+Inputs!$B$6-BS110))</f>
        <v>0</v>
      </c>
      <c r="BP111" s="38">
        <f>Inputs!$B$27*(1+Inputs!$B$28)^($A111/12)*IF(Inputs!$B$72=1,$G111,1)*(1-Inputs!$C$72*$H111*(1-Inputs!$E$54*Inputs!$B$72))*(1+$I111)*IF(Inputs!$B$29=0,1,(MAX(BS110,0)/Inputs!$B$6)^Inputs!$B$29)</f>
        <v>21396.519554968461</v>
      </c>
      <c r="BQ111" s="38">
        <f>Inputs!$B$32*BS110/Inputs!$B$6</f>
        <v>0</v>
      </c>
      <c r="BR111" s="38">
        <f>Inputs!$B$33</f>
        <v>2500</v>
      </c>
      <c r="BS111" s="38">
        <f t="shared" si="74"/>
        <v>0</v>
      </c>
      <c r="BT111" s="38">
        <f t="shared" si="75"/>
        <v>0</v>
      </c>
      <c r="BU111" s="38">
        <f>Inputs!$B$19*(1-Inputs!$C$72*$H111)+Inputs!$B$21+Inputs!$B$72*$J111</f>
        <v>577500</v>
      </c>
      <c r="BV111" s="38">
        <f t="shared" si="76"/>
        <v>-577500</v>
      </c>
      <c r="BW111" s="38">
        <f t="shared" si="77"/>
        <v>1</v>
      </c>
      <c r="BX111" s="38">
        <f>MAX(0,MIN(Inputs!$C$36,CC110,BY111+BZ111+CA111+Inputs!$C$6-CB110))</f>
        <v>0</v>
      </c>
      <c r="BY111" s="38">
        <f>Inputs!$C$27*(1+Inputs!$C$28)^($A111/12)*IF(Inputs!$B$72=1,$G111,1)*(1-Inputs!$C$72*$H111*(1-Inputs!$E$54*Inputs!$B$72))*(1+$I111)*IF(Inputs!$C$29=0,1,(MAX(CB110,0)/Inputs!$C$6)^Inputs!$C$29)</f>
        <v>0</v>
      </c>
      <c r="BZ111" s="38">
        <f>Inputs!$C$32*CB110/Inputs!$C$6</f>
        <v>0</v>
      </c>
      <c r="CA111" s="38">
        <f>Inputs!$C$33</f>
        <v>2000</v>
      </c>
      <c r="CB111" s="38">
        <f t="shared" si="78"/>
        <v>0</v>
      </c>
      <c r="CC111" s="38">
        <f t="shared" si="79"/>
        <v>0</v>
      </c>
      <c r="CD111" s="38">
        <f>Inputs!$C$19*(1-Inputs!$C$72*$H111)+Inputs!$C$21+Inputs!$B$72*$J111</f>
        <v>480000</v>
      </c>
      <c r="CE111" s="38">
        <f t="shared" si="80"/>
        <v>-480000</v>
      </c>
      <c r="CF111" s="38">
        <f t="shared" si="81"/>
        <v>1</v>
      </c>
      <c r="CG111" s="38">
        <f>MAX(0,MIN(Inputs!$D$36,CL110,CH111+CI111+CJ111+Inputs!$D$6-CK110))</f>
        <v>0</v>
      </c>
      <c r="CH111" s="38">
        <f>Inputs!$D$27*(1+Inputs!$D$28)^($A111/12)*IF(Inputs!$B$72=1,$G111,1)*(1-Inputs!$C$72*$H111*(1-Inputs!$E$54*Inputs!$B$72))*(1+$I111)*IF(Inputs!$D$29=0,1,(MAX(CK110,0)/Inputs!$D$6)^Inputs!$D$29)</f>
        <v>4287.8287417479351</v>
      </c>
      <c r="CI111" s="38">
        <f>Inputs!$D$32*CK110/Inputs!$D$6</f>
        <v>2223.8952341673307</v>
      </c>
      <c r="CJ111" s="38">
        <f>Inputs!$D$33</f>
        <v>1500</v>
      </c>
      <c r="CK111" s="38">
        <f t="shared" si="82"/>
        <v>457947.27746866836</v>
      </c>
      <c r="CL111" s="38">
        <f t="shared" si="83"/>
        <v>0</v>
      </c>
      <c r="CM111" s="38">
        <f>Inputs!$D$19*(1-Inputs!$C$72*$H111)+Inputs!$D$21+Inputs!$B$72*$J111</f>
        <v>392150</v>
      </c>
      <c r="CN111" s="38">
        <f t="shared" si="84"/>
        <v>65797.277468668355</v>
      </c>
      <c r="CO111" s="38">
        <f t="shared" si="85"/>
        <v>0</v>
      </c>
      <c r="CP111" s="38">
        <f>MAX(0,MIN(Inputs!$B$36,CU110,CQ111+CR111+CS111+Inputs!$B$6-CT110))</f>
        <v>0</v>
      </c>
      <c r="CQ111" s="38">
        <f>Inputs!$B$27*(1+Inputs!$B$28)^($A111/12)*IF(Inputs!$B$73=1,$G111,1)*(1-Inputs!$C$73*$H111*(1-Inputs!$E$54*Inputs!$B$73))*(1+$I111)*IF(Inputs!$B$29=0,1,(MAX(CT110,0)/Inputs!$B$6)^Inputs!$B$29)</f>
        <v>19023.814546646292</v>
      </c>
      <c r="CR111" s="38">
        <f>Inputs!$B$32*CT110/Inputs!$B$6</f>
        <v>0</v>
      </c>
      <c r="CS111" s="38">
        <f>Inputs!$B$33</f>
        <v>2500</v>
      </c>
      <c r="CT111" s="38">
        <f t="shared" si="86"/>
        <v>0</v>
      </c>
      <c r="CU111" s="38">
        <f t="shared" si="87"/>
        <v>0</v>
      </c>
      <c r="CV111" s="38">
        <f>Inputs!$B$19*(1-Inputs!$C$73*$H111)+Inputs!$B$21+Inputs!$B$73*$J111</f>
        <v>583500</v>
      </c>
      <c r="CW111" s="38">
        <f t="shared" si="88"/>
        <v>-583500</v>
      </c>
      <c r="CX111" s="38">
        <f t="shared" si="89"/>
        <v>1</v>
      </c>
      <c r="CY111" s="38">
        <f>MAX(0,MIN(Inputs!$C$36,DD110,CZ111+DA111+DB111+Inputs!$C$6-DC110))</f>
        <v>0</v>
      </c>
      <c r="CZ111" s="38">
        <f>Inputs!$C$27*(1+Inputs!$C$28)^($A111/12)*IF(Inputs!$B$73=1,$G111,1)*(1-Inputs!$C$73*$H111*(1-Inputs!$E$54*Inputs!$B$73))*(1+$I111)*IF(Inputs!$C$29=0,1,(MAX(DC110,0)/Inputs!$C$6)^Inputs!$C$29)</f>
        <v>0</v>
      </c>
      <c r="DA111" s="38">
        <f>Inputs!$C$32*DC110/Inputs!$C$6</f>
        <v>0</v>
      </c>
      <c r="DB111" s="38">
        <f>Inputs!$C$33</f>
        <v>2000</v>
      </c>
      <c r="DC111" s="38">
        <f t="shared" si="90"/>
        <v>0</v>
      </c>
      <c r="DD111" s="38">
        <f t="shared" si="91"/>
        <v>0</v>
      </c>
      <c r="DE111" s="38">
        <f>Inputs!$C$19*(1-Inputs!$C$73*$H111)+Inputs!$C$21+Inputs!$B$73*$J111</f>
        <v>486000</v>
      </c>
      <c r="DF111" s="38">
        <f t="shared" si="92"/>
        <v>-486000</v>
      </c>
      <c r="DG111" s="38">
        <f t="shared" si="93"/>
        <v>1</v>
      </c>
      <c r="DH111" s="38">
        <f>MAX(0,MIN(Inputs!$D$36,DM110,DI111+DJ111+DK111+Inputs!$D$6-DL110))</f>
        <v>0</v>
      </c>
      <c r="DI111" s="38">
        <f>Inputs!$D$27*(1+Inputs!$D$28)^($A111/12)*IF(Inputs!$B$73=1,$G111,1)*(1-Inputs!$C$73*$H111*(1-Inputs!$E$54*Inputs!$B$73))*(1+$I111)*IF(Inputs!$D$29=0,1,(MAX(DL110,0)/Inputs!$D$6)^Inputs!$D$29)</f>
        <v>4038.6850443140979</v>
      </c>
      <c r="DJ111" s="38">
        <f>Inputs!$D$32*DL110/Inputs!$D$6</f>
        <v>2495.8041190358254</v>
      </c>
      <c r="DK111" s="38">
        <f>Inputs!$D$33</f>
        <v>1500</v>
      </c>
      <c r="DL111" s="38">
        <f t="shared" si="94"/>
        <v>514895.89768225158</v>
      </c>
      <c r="DM111" s="38">
        <f t="shared" si="95"/>
        <v>0</v>
      </c>
      <c r="DN111" s="38">
        <f>Inputs!$D$19*(1-Inputs!$C$73*$H111)+Inputs!$D$21+Inputs!$B$73*$J111</f>
        <v>398150</v>
      </c>
      <c r="DO111" s="38">
        <f t="shared" si="96"/>
        <v>116745.89768225158</v>
      </c>
      <c r="DP111" s="38">
        <f t="shared" si="97"/>
        <v>0</v>
      </c>
    </row>
    <row r="112" spans="1:120" x14ac:dyDescent="0.35">
      <c r="A112" s="29">
        <v>107</v>
      </c>
      <c r="B112" s="34">
        <f>EDATE(Inputs!$B$67,$A112)</f>
        <v>49522</v>
      </c>
      <c r="C112" s="35">
        <f>IF(Inputs!$E$47&lt;=0,Inputs!$E$46,Inputs!$E$44+(Inputs!$E$46-Inputs!$E$44)*MIN($A112/Inputs!$E$47,1))</f>
        <v>0.7</v>
      </c>
      <c r="D112" s="35">
        <f>MIN(Inputs!$E$57,Inputs!$E$55*(1+Inputs!$E$56)^($A112/12))*Inputs!$E$58*(1+Inputs!$E$59)^($A112/12)/Inputs!$E$45</f>
        <v>1.5</v>
      </c>
      <c r="E112" s="35">
        <f>MAX(Inputs!$E$44,MIN(C112,D112))</f>
        <v>0.7</v>
      </c>
      <c r="F112" s="35">
        <f>IF(Inputs!$E$50&lt;=0,Inputs!$E$49,Inputs!$E$48+(Inputs!$E$49-Inputs!$E$48)*MIN($A112/Inputs!$E$50,1))</f>
        <v>0.12</v>
      </c>
      <c r="G112" s="36">
        <f>(Inputs!$E$41*(1-E112*Inputs!$E$51)+Inputs!$E$42*(1-F112*Inputs!$E$51))/(Inputs!$E$41*(1-Inputs!$E$44*Inputs!$E$51)+Inputs!$E$42*(1-Inputs!$E$48*Inputs!$E$51))</f>
        <v>0.8423127463863338</v>
      </c>
      <c r="H112" s="35">
        <f>IF(Inputs!$E$53&lt;=0,Inputs!$E$52,Inputs!$E$52*MIN($A112/Inputs!$E$53,1))</f>
        <v>0.1</v>
      </c>
      <c r="I112" s="35">
        <f>IF(Inputs!$E$64&lt;=0,Inputs!$E$63,Inputs!$E$62+(Inputs!$E$63-Inputs!$E$62)*MIN($A112/Inputs!$E$64,1))</f>
        <v>0.03</v>
      </c>
      <c r="J112" s="37">
        <f>(E112-Inputs!$E$44)*Inputs!$E$45/Inputs!$E$60*Inputs!$E$61</f>
        <v>5999.9999999999991</v>
      </c>
      <c r="K112" s="29">
        <f t="shared" si="49"/>
        <v>0</v>
      </c>
      <c r="L112" s="29"/>
      <c r="M112" s="38">
        <f>MAX(0,MIN(Inputs!$B$36,R111,N112+O112+P112+Inputs!$B$6-Q111))</f>
        <v>0</v>
      </c>
      <c r="N112" s="38">
        <f>Inputs!$B$27*(1+Inputs!$B$28)^($A112/12)*IF(Inputs!$B$70=1,$G112,1)*(1-Inputs!$C$70*$H112*(1-Inputs!$E$54*Inputs!$B$70))*(1+$I112)*IF(Inputs!$B$29=0,1,(MAX(Q111,0)/Inputs!$B$6)^Inputs!$B$29)</f>
        <v>23870.768471305168</v>
      </c>
      <c r="O112" s="38">
        <f>Inputs!$B$32*Q111/Inputs!$B$6</f>
        <v>0</v>
      </c>
      <c r="P112" s="38">
        <f>Inputs!$B$33</f>
        <v>2500</v>
      </c>
      <c r="Q112" s="38">
        <f t="shared" si="50"/>
        <v>0</v>
      </c>
      <c r="R112" s="38">
        <f t="shared" si="51"/>
        <v>0</v>
      </c>
      <c r="S112" s="38">
        <f>Inputs!$B$19*(1-Inputs!$C$70*$H112)+Inputs!$B$21+Inputs!$B$70*$J112</f>
        <v>595000</v>
      </c>
      <c r="T112" s="38">
        <f t="shared" si="52"/>
        <v>-595000</v>
      </c>
      <c r="U112" s="38">
        <f t="shared" si="53"/>
        <v>1</v>
      </c>
      <c r="V112" s="38">
        <f>MAX(0,MIN(Inputs!$C$36,AA111,W112+X112+Y112+Inputs!$C$6-Z111))</f>
        <v>0</v>
      </c>
      <c r="W112" s="38">
        <f>Inputs!$C$27*(1+Inputs!$C$28)^($A112/12)*IF(Inputs!$B$70=1,$G112,1)*(1-Inputs!$C$70*$H112*(1-Inputs!$E$54*Inputs!$B$70))*(1+$I112)*IF(Inputs!$C$29=0,1,(MAX(Z111,0)/Inputs!$C$6)^Inputs!$C$29)</f>
        <v>0</v>
      </c>
      <c r="X112" s="38">
        <f>Inputs!$C$32*Z111/Inputs!$C$6</f>
        <v>0</v>
      </c>
      <c r="Y112" s="38">
        <f>Inputs!$C$33</f>
        <v>2000</v>
      </c>
      <c r="Z112" s="38">
        <f t="shared" si="54"/>
        <v>0</v>
      </c>
      <c r="AA112" s="38">
        <f t="shared" si="55"/>
        <v>0</v>
      </c>
      <c r="AB112" s="38">
        <f>Inputs!$C$19*(1-Inputs!$C$70*$H112)+Inputs!$C$21+Inputs!$B$70*$J112</f>
        <v>495000</v>
      </c>
      <c r="AC112" s="38">
        <f t="shared" si="56"/>
        <v>-495000</v>
      </c>
      <c r="AD112" s="38">
        <f t="shared" si="57"/>
        <v>1</v>
      </c>
      <c r="AE112" s="38">
        <f>MAX(0,MIN(Inputs!$D$36,AJ111,AF112+AG112+AH112+Inputs!$D$6-AI111))</f>
        <v>0</v>
      </c>
      <c r="AF112" s="38">
        <f>Inputs!$D$27*(1+Inputs!$D$28)^($A112/12)*IF(Inputs!$B$70=1,$G112,1)*(1-Inputs!$C$70*$H112*(1-Inputs!$E$54*Inputs!$B$70))*(1+$I112)*IF(Inputs!$D$29=0,1,(MAX(AI111,0)/Inputs!$D$6)^Inputs!$D$29)</f>
        <v>4469.3843698104156</v>
      </c>
      <c r="AG112" s="38">
        <f>Inputs!$D$32*AI111/Inputs!$D$6</f>
        <v>1973.9339884052326</v>
      </c>
      <c r="AH112" s="38">
        <f>Inputs!$D$33</f>
        <v>1500</v>
      </c>
      <c r="AI112" s="38">
        <f t="shared" si="58"/>
        <v>405642.85064097599</v>
      </c>
      <c r="AJ112" s="38">
        <f t="shared" si="59"/>
        <v>0</v>
      </c>
      <c r="AK112" s="38">
        <f>Inputs!$D$19*(1-Inputs!$C$70*$H112)+Inputs!$D$21+Inputs!$B$70*$J112</f>
        <v>404800</v>
      </c>
      <c r="AL112" s="38">
        <f t="shared" si="60"/>
        <v>842.85064097598661</v>
      </c>
      <c r="AM112" s="38">
        <f t="shared" si="61"/>
        <v>0</v>
      </c>
      <c r="AN112" s="38">
        <f>MAX(0,MIN(Inputs!$B$36,AS111,AO112+AP112+AQ112+Inputs!$B$6-AR111))</f>
        <v>0</v>
      </c>
      <c r="AO112" s="38">
        <f>Inputs!$B$27*(1+Inputs!$B$28)^($A112/12)*IF(Inputs!$B$71=1,$G112,1)*(1-Inputs!$C$71*$H112*(1-Inputs!$E$54*Inputs!$B$71))*(1+$I112)*IF(Inputs!$B$29=0,1,(MAX(AR111,0)/Inputs!$B$6)^Inputs!$B$29)</f>
        <v>20106.652549417362</v>
      </c>
      <c r="AP112" s="38">
        <f>Inputs!$B$32*AR111/Inputs!$B$6</f>
        <v>0</v>
      </c>
      <c r="AQ112" s="38">
        <f>Inputs!$B$33</f>
        <v>2500</v>
      </c>
      <c r="AR112" s="38">
        <f t="shared" si="62"/>
        <v>0</v>
      </c>
      <c r="AS112" s="38">
        <f t="shared" si="63"/>
        <v>0</v>
      </c>
      <c r="AT112" s="38">
        <f>Inputs!$B$19*(1-Inputs!$C$71*$H112)+Inputs!$B$21+Inputs!$B$71*$J112</f>
        <v>601000</v>
      </c>
      <c r="AU112" s="38">
        <f t="shared" si="64"/>
        <v>-601000</v>
      </c>
      <c r="AV112" s="38">
        <f t="shared" si="65"/>
        <v>1</v>
      </c>
      <c r="AW112" s="38">
        <f>MAX(0,MIN(Inputs!$C$36,BB111,AX112+AY112+AZ112+Inputs!$C$6-BA111))</f>
        <v>0</v>
      </c>
      <c r="AX112" s="38">
        <f>Inputs!$C$27*(1+Inputs!$C$28)^($A112/12)*IF(Inputs!$B$71=1,$G112,1)*(1-Inputs!$C$71*$H112*(1-Inputs!$E$54*Inputs!$B$71))*(1+$I112)*IF(Inputs!$C$29=0,1,(MAX(BA111,0)/Inputs!$C$6)^Inputs!$C$29)</f>
        <v>0</v>
      </c>
      <c r="AY112" s="38">
        <f>Inputs!$C$32*BA111/Inputs!$C$6</f>
        <v>0</v>
      </c>
      <c r="AZ112" s="38">
        <f>Inputs!$C$33</f>
        <v>2000</v>
      </c>
      <c r="BA112" s="38">
        <f t="shared" si="66"/>
        <v>0</v>
      </c>
      <c r="BB112" s="38">
        <f t="shared" si="67"/>
        <v>0</v>
      </c>
      <c r="BC112" s="38">
        <f>Inputs!$C$19*(1-Inputs!$C$71*$H112)+Inputs!$C$21+Inputs!$B$71*$J112</f>
        <v>501000</v>
      </c>
      <c r="BD112" s="38">
        <f t="shared" si="68"/>
        <v>-501000</v>
      </c>
      <c r="BE112" s="38">
        <f t="shared" si="69"/>
        <v>1</v>
      </c>
      <c r="BF112" s="38">
        <f>MAX(0,MIN(Inputs!$D$36,BK111,BG112+BH112+BI112+Inputs!$D$6-BJ111))</f>
        <v>0</v>
      </c>
      <c r="BG112" s="38">
        <f>Inputs!$D$27*(1+Inputs!$D$28)^($A112/12)*IF(Inputs!$B$71=1,$G112,1)*(1-Inputs!$C$71*$H112*(1-Inputs!$E$54*Inputs!$B$71))*(1+$I112)*IF(Inputs!$D$29=0,1,(MAX(BJ111,0)/Inputs!$D$6)^Inputs!$D$29)</f>
        <v>4117.0790780632933</v>
      </c>
      <c r="BH112" s="38">
        <f>Inputs!$D$32*BJ111/Inputs!$D$6</f>
        <v>2360.8526681938351</v>
      </c>
      <c r="BI112" s="38">
        <f>Inputs!$D$33</f>
        <v>1500</v>
      </c>
      <c r="BJ112" s="38">
        <f t="shared" si="70"/>
        <v>486676.91301816551</v>
      </c>
      <c r="BK112" s="38">
        <f t="shared" si="71"/>
        <v>0</v>
      </c>
      <c r="BL112" s="38">
        <f>Inputs!$D$19*(1-Inputs!$C$71*$H112)+Inputs!$D$21+Inputs!$B$71*$J112</f>
        <v>410800</v>
      </c>
      <c r="BM112" s="38">
        <f t="shared" si="72"/>
        <v>75876.913018165505</v>
      </c>
      <c r="BN112" s="38">
        <f t="shared" si="73"/>
        <v>0</v>
      </c>
      <c r="BO112" s="38">
        <f>MAX(0,MIN(Inputs!$B$36,BT111,BP112+BQ112+BR112+Inputs!$B$6-BS111))</f>
        <v>0</v>
      </c>
      <c r="BP112" s="38">
        <f>Inputs!$B$27*(1+Inputs!$B$28)^($A112/12)*IF(Inputs!$B$72=1,$G112,1)*(1-Inputs!$C$72*$H112*(1-Inputs!$E$54*Inputs!$B$72))*(1+$I112)*IF(Inputs!$B$29=0,1,(MAX(BS111,0)/Inputs!$B$6)^Inputs!$B$29)</f>
        <v>21483.691624174651</v>
      </c>
      <c r="BQ112" s="38">
        <f>Inputs!$B$32*BS111/Inputs!$B$6</f>
        <v>0</v>
      </c>
      <c r="BR112" s="38">
        <f>Inputs!$B$33</f>
        <v>2500</v>
      </c>
      <c r="BS112" s="38">
        <f t="shared" si="74"/>
        <v>0</v>
      </c>
      <c r="BT112" s="38">
        <f t="shared" si="75"/>
        <v>0</v>
      </c>
      <c r="BU112" s="38">
        <f>Inputs!$B$19*(1-Inputs!$C$72*$H112)+Inputs!$B$21+Inputs!$B$72*$J112</f>
        <v>577500</v>
      </c>
      <c r="BV112" s="38">
        <f t="shared" si="76"/>
        <v>-577500</v>
      </c>
      <c r="BW112" s="38">
        <f t="shared" si="77"/>
        <v>1</v>
      </c>
      <c r="BX112" s="38">
        <f>MAX(0,MIN(Inputs!$C$36,CC111,BY112+BZ112+CA112+Inputs!$C$6-CB111))</f>
        <v>0</v>
      </c>
      <c r="BY112" s="38">
        <f>Inputs!$C$27*(1+Inputs!$C$28)^($A112/12)*IF(Inputs!$B$72=1,$G112,1)*(1-Inputs!$C$72*$H112*(1-Inputs!$E$54*Inputs!$B$72))*(1+$I112)*IF(Inputs!$C$29=0,1,(MAX(CB111,0)/Inputs!$C$6)^Inputs!$C$29)</f>
        <v>0</v>
      </c>
      <c r="BZ112" s="38">
        <f>Inputs!$C$32*CB111/Inputs!$C$6</f>
        <v>0</v>
      </c>
      <c r="CA112" s="38">
        <f>Inputs!$C$33</f>
        <v>2000</v>
      </c>
      <c r="CB112" s="38">
        <f t="shared" si="78"/>
        <v>0</v>
      </c>
      <c r="CC112" s="38">
        <f t="shared" si="79"/>
        <v>0</v>
      </c>
      <c r="CD112" s="38">
        <f>Inputs!$C$19*(1-Inputs!$C$72*$H112)+Inputs!$C$21+Inputs!$B$72*$J112</f>
        <v>480000</v>
      </c>
      <c r="CE112" s="38">
        <f t="shared" si="80"/>
        <v>-480000</v>
      </c>
      <c r="CF112" s="38">
        <f t="shared" si="81"/>
        <v>1</v>
      </c>
      <c r="CG112" s="38">
        <f>MAX(0,MIN(Inputs!$D$36,CL111,CH112+CI112+CJ112+Inputs!$D$6-CK111))</f>
        <v>0</v>
      </c>
      <c r="CH112" s="38">
        <f>Inputs!$D$27*(1+Inputs!$D$28)^($A112/12)*IF(Inputs!$B$72=1,$G112,1)*(1-Inputs!$C$72*$H112*(1-Inputs!$E$54*Inputs!$B$72))*(1+$I112)*IF(Inputs!$D$29=0,1,(MAX(CK111,0)/Inputs!$D$6)^Inputs!$D$29)</f>
        <v>4232.6752880581898</v>
      </c>
      <c r="CI112" s="38">
        <f>Inputs!$D$32*CK111/Inputs!$D$6</f>
        <v>2185.6574606459171</v>
      </c>
      <c r="CJ112" s="38">
        <f>Inputs!$D$33</f>
        <v>1500</v>
      </c>
      <c r="CK112" s="38">
        <f t="shared" si="82"/>
        <v>450028.94471996429</v>
      </c>
      <c r="CL112" s="38">
        <f t="shared" si="83"/>
        <v>0</v>
      </c>
      <c r="CM112" s="38">
        <f>Inputs!$D$19*(1-Inputs!$C$72*$H112)+Inputs!$D$21+Inputs!$B$72*$J112</f>
        <v>392150</v>
      </c>
      <c r="CN112" s="38">
        <f t="shared" si="84"/>
        <v>57878.944719964289</v>
      </c>
      <c r="CO112" s="38">
        <f t="shared" si="85"/>
        <v>0</v>
      </c>
      <c r="CP112" s="38">
        <f>MAX(0,MIN(Inputs!$B$36,CU111,CQ112+CR112+CS112+Inputs!$B$6-CT111))</f>
        <v>0</v>
      </c>
      <c r="CQ112" s="38">
        <f>Inputs!$B$27*(1+Inputs!$B$28)^($A112/12)*IF(Inputs!$B$73=1,$G112,1)*(1-Inputs!$C$73*$H112*(1-Inputs!$E$54*Inputs!$B$73))*(1+$I112)*IF(Inputs!$B$29=0,1,(MAX(CT111,0)/Inputs!$B$6)^Inputs!$B$29)</f>
        <v>19101.319921946491</v>
      </c>
      <c r="CR112" s="38">
        <f>Inputs!$B$32*CT111/Inputs!$B$6</f>
        <v>0</v>
      </c>
      <c r="CS112" s="38">
        <f>Inputs!$B$33</f>
        <v>2500</v>
      </c>
      <c r="CT112" s="38">
        <f t="shared" si="86"/>
        <v>0</v>
      </c>
      <c r="CU112" s="38">
        <f t="shared" si="87"/>
        <v>0</v>
      </c>
      <c r="CV112" s="38">
        <f>Inputs!$B$19*(1-Inputs!$C$73*$H112)+Inputs!$B$21+Inputs!$B$73*$J112</f>
        <v>583500</v>
      </c>
      <c r="CW112" s="38">
        <f t="shared" si="88"/>
        <v>-583500</v>
      </c>
      <c r="CX112" s="38">
        <f t="shared" si="89"/>
        <v>1</v>
      </c>
      <c r="CY112" s="38">
        <f>MAX(0,MIN(Inputs!$C$36,DD111,CZ112+DA112+DB112+Inputs!$C$6-DC111))</f>
        <v>0</v>
      </c>
      <c r="CZ112" s="38">
        <f>Inputs!$C$27*(1+Inputs!$C$28)^($A112/12)*IF(Inputs!$B$73=1,$G112,1)*(1-Inputs!$C$73*$H112*(1-Inputs!$E$54*Inputs!$B$73))*(1+$I112)*IF(Inputs!$C$29=0,1,(MAX(DC111,0)/Inputs!$C$6)^Inputs!$C$29)</f>
        <v>0</v>
      </c>
      <c r="DA112" s="38">
        <f>Inputs!$C$32*DC111/Inputs!$C$6</f>
        <v>0</v>
      </c>
      <c r="DB112" s="38">
        <f>Inputs!$C$33</f>
        <v>2000</v>
      </c>
      <c r="DC112" s="38">
        <f t="shared" si="90"/>
        <v>0</v>
      </c>
      <c r="DD112" s="38">
        <f t="shared" si="91"/>
        <v>0</v>
      </c>
      <c r="DE112" s="38">
        <f>Inputs!$C$19*(1-Inputs!$C$73*$H112)+Inputs!$C$21+Inputs!$B$73*$J112</f>
        <v>486000</v>
      </c>
      <c r="DF112" s="38">
        <f t="shared" si="92"/>
        <v>-486000</v>
      </c>
      <c r="DG112" s="38">
        <f t="shared" si="93"/>
        <v>1</v>
      </c>
      <c r="DH112" s="38">
        <f>MAX(0,MIN(Inputs!$D$36,DM111,DI112+DJ112+DK112+Inputs!$D$6-DL111))</f>
        <v>0</v>
      </c>
      <c r="DI112" s="38">
        <f>Inputs!$D$27*(1+Inputs!$D$28)^($A112/12)*IF(Inputs!$B$73=1,$G112,1)*(1-Inputs!$C$73*$H112*(1-Inputs!$E$54*Inputs!$B$73))*(1+$I112)*IF(Inputs!$D$29=0,1,(MAX(DL111,0)/Inputs!$D$6)^Inputs!$D$29)</f>
        <v>3990.4456156493025</v>
      </c>
      <c r="DJ112" s="38">
        <f>Inputs!$D$32*DL111/Inputs!$D$6</f>
        <v>2457.4576934834736</v>
      </c>
      <c r="DK112" s="38">
        <f>Inputs!$D$33</f>
        <v>1500</v>
      </c>
      <c r="DL112" s="38">
        <f t="shared" si="94"/>
        <v>506947.99437311885</v>
      </c>
      <c r="DM112" s="38">
        <f t="shared" si="95"/>
        <v>0</v>
      </c>
      <c r="DN112" s="38">
        <f>Inputs!$D$19*(1-Inputs!$C$73*$H112)+Inputs!$D$21+Inputs!$B$73*$J112</f>
        <v>398150</v>
      </c>
      <c r="DO112" s="38">
        <f t="shared" si="96"/>
        <v>108797.99437311885</v>
      </c>
      <c r="DP112" s="38">
        <f t="shared" si="97"/>
        <v>0</v>
      </c>
    </row>
    <row r="113" spans="1:120" x14ac:dyDescent="0.35">
      <c r="A113" s="29">
        <v>108</v>
      </c>
      <c r="B113" s="34">
        <f>EDATE(Inputs!$B$67,$A113)</f>
        <v>49553</v>
      </c>
      <c r="C113" s="35">
        <f>IF(Inputs!$E$47&lt;=0,Inputs!$E$46,Inputs!$E$44+(Inputs!$E$46-Inputs!$E$44)*MIN($A113/Inputs!$E$47,1))</f>
        <v>0.7</v>
      </c>
      <c r="D113" s="35">
        <f>MIN(Inputs!$E$57,Inputs!$E$55*(1+Inputs!$E$56)^($A113/12))*Inputs!$E$58*(1+Inputs!$E$59)^($A113/12)/Inputs!$E$45</f>
        <v>1.5</v>
      </c>
      <c r="E113" s="35">
        <f>MAX(Inputs!$E$44,MIN(C113,D113))</f>
        <v>0.7</v>
      </c>
      <c r="F113" s="35">
        <f>IF(Inputs!$E$50&lt;=0,Inputs!$E$49,Inputs!$E$48+(Inputs!$E$49-Inputs!$E$48)*MIN($A113/Inputs!$E$50,1))</f>
        <v>0.12</v>
      </c>
      <c r="G113" s="36">
        <f>(Inputs!$E$41*(1-E113*Inputs!$E$51)+Inputs!$E$42*(1-F113*Inputs!$E$51))/(Inputs!$E$41*(1-Inputs!$E$44*Inputs!$E$51)+Inputs!$E$42*(1-Inputs!$E$48*Inputs!$E$51))</f>
        <v>0.8423127463863338</v>
      </c>
      <c r="H113" s="35">
        <f>IF(Inputs!$E$53&lt;=0,Inputs!$E$52,Inputs!$E$52*MIN($A113/Inputs!$E$53,1))</f>
        <v>0.1</v>
      </c>
      <c r="I113" s="35">
        <f>IF(Inputs!$E$64&lt;=0,Inputs!$E$63,Inputs!$E$62+(Inputs!$E$63-Inputs!$E$62)*MIN($A113/Inputs!$E$64,1))</f>
        <v>0.03</v>
      </c>
      <c r="J113" s="37">
        <f>(E113-Inputs!$E$44)*Inputs!$E$45/Inputs!$E$60*Inputs!$E$61</f>
        <v>5999.9999999999991</v>
      </c>
      <c r="K113" s="29">
        <f t="shared" si="49"/>
        <v>0</v>
      </c>
      <c r="L113" s="29"/>
      <c r="M113" s="38">
        <f>MAX(0,MIN(Inputs!$B$36,R112,N113+O113+P113+Inputs!$B$6-Q112))</f>
        <v>0</v>
      </c>
      <c r="N113" s="38">
        <f>Inputs!$B$27*(1+Inputs!$B$28)^($A113/12)*IF(Inputs!$B$70=1,$G113,1)*(1-Inputs!$C$70*$H113*(1-Inputs!$E$54*Inputs!$B$70))*(1+$I113)*IF(Inputs!$B$29=0,1,(MAX(Q112,0)/Inputs!$B$6)^Inputs!$B$29)</f>
        <v>23968.02093686807</v>
      </c>
      <c r="O113" s="38">
        <f>Inputs!$B$32*Q112/Inputs!$B$6</f>
        <v>0</v>
      </c>
      <c r="P113" s="38">
        <f>Inputs!$B$33</f>
        <v>2500</v>
      </c>
      <c r="Q113" s="38">
        <f t="shared" si="50"/>
        <v>0</v>
      </c>
      <c r="R113" s="38">
        <f t="shared" si="51"/>
        <v>0</v>
      </c>
      <c r="S113" s="38">
        <f>Inputs!$B$19*(1-Inputs!$C$70*$H113)+Inputs!$B$21+Inputs!$B$70*$J113</f>
        <v>595000</v>
      </c>
      <c r="T113" s="38">
        <f t="shared" si="52"/>
        <v>-595000</v>
      </c>
      <c r="U113" s="38">
        <f t="shared" si="53"/>
        <v>1</v>
      </c>
      <c r="V113" s="38">
        <f>MAX(0,MIN(Inputs!$C$36,AA112,W113+X113+Y113+Inputs!$C$6-Z112))</f>
        <v>0</v>
      </c>
      <c r="W113" s="38">
        <f>Inputs!$C$27*(1+Inputs!$C$28)^($A113/12)*IF(Inputs!$B$70=1,$G113,1)*(1-Inputs!$C$70*$H113*(1-Inputs!$E$54*Inputs!$B$70))*(1+$I113)*IF(Inputs!$C$29=0,1,(MAX(Z112,0)/Inputs!$C$6)^Inputs!$C$29)</f>
        <v>0</v>
      </c>
      <c r="X113" s="38">
        <f>Inputs!$C$32*Z112/Inputs!$C$6</f>
        <v>0</v>
      </c>
      <c r="Y113" s="38">
        <f>Inputs!$C$33</f>
        <v>2000</v>
      </c>
      <c r="Z113" s="38">
        <f t="shared" si="54"/>
        <v>0</v>
      </c>
      <c r="AA113" s="38">
        <f t="shared" si="55"/>
        <v>0</v>
      </c>
      <c r="AB113" s="38">
        <f>Inputs!$C$19*(1-Inputs!$C$70*$H113)+Inputs!$C$21+Inputs!$B$70*$J113</f>
        <v>495000</v>
      </c>
      <c r="AC113" s="38">
        <f t="shared" si="56"/>
        <v>-495000</v>
      </c>
      <c r="AD113" s="38">
        <f t="shared" si="57"/>
        <v>1</v>
      </c>
      <c r="AE113" s="38">
        <f>MAX(0,MIN(Inputs!$D$36,AJ112,AF113+AG113+AH113+Inputs!$D$6-AI112))</f>
        <v>0</v>
      </c>
      <c r="AF113" s="38">
        <f>Inputs!$D$27*(1+Inputs!$D$28)^($A113/12)*IF(Inputs!$B$70=1,$G113,1)*(1-Inputs!$C$70*$H113*(1-Inputs!$E$54*Inputs!$B$70))*(1+$I113)*IF(Inputs!$D$29=0,1,(MAX(AI112,0)/Inputs!$D$6)^Inputs!$D$29)</f>
        <v>4407.3774901204742</v>
      </c>
      <c r="AG113" s="38">
        <f>Inputs!$D$32*AI112/Inputs!$D$6</f>
        <v>1936.0226962410218</v>
      </c>
      <c r="AH113" s="38">
        <f>Inputs!$D$33</f>
        <v>1500</v>
      </c>
      <c r="AI113" s="38">
        <f t="shared" si="58"/>
        <v>397799.45045461447</v>
      </c>
      <c r="AJ113" s="38">
        <f t="shared" si="59"/>
        <v>0</v>
      </c>
      <c r="AK113" s="38">
        <f>Inputs!$D$19*(1-Inputs!$C$70*$H113)+Inputs!$D$21+Inputs!$B$70*$J113</f>
        <v>404800</v>
      </c>
      <c r="AL113" s="38">
        <f t="shared" si="60"/>
        <v>-7000.5495453855256</v>
      </c>
      <c r="AM113" s="38">
        <f t="shared" si="61"/>
        <v>1</v>
      </c>
      <c r="AN113" s="38">
        <f>MAX(0,MIN(Inputs!$B$36,AS112,AO113+AP113+AQ113+Inputs!$B$6-AR112))</f>
        <v>0</v>
      </c>
      <c r="AO113" s="38">
        <f>Inputs!$B$27*(1+Inputs!$B$28)^($A113/12)*IF(Inputs!$B$71=1,$G113,1)*(1-Inputs!$C$71*$H113*(1-Inputs!$E$54*Inputs!$B$71))*(1+$I113)*IF(Inputs!$B$29=0,1,(MAX(AR112,0)/Inputs!$B$6)^Inputs!$B$29)</f>
        <v>20188.569540778492</v>
      </c>
      <c r="AP113" s="38">
        <f>Inputs!$B$32*AR112/Inputs!$B$6</f>
        <v>0</v>
      </c>
      <c r="AQ113" s="38">
        <f>Inputs!$B$33</f>
        <v>2500</v>
      </c>
      <c r="AR113" s="38">
        <f t="shared" si="62"/>
        <v>0</v>
      </c>
      <c r="AS113" s="38">
        <f t="shared" si="63"/>
        <v>0</v>
      </c>
      <c r="AT113" s="38">
        <f>Inputs!$B$19*(1-Inputs!$C$71*$H113)+Inputs!$B$21+Inputs!$B$71*$J113</f>
        <v>601000</v>
      </c>
      <c r="AU113" s="38">
        <f t="shared" si="64"/>
        <v>-601000</v>
      </c>
      <c r="AV113" s="38">
        <f t="shared" si="65"/>
        <v>1</v>
      </c>
      <c r="AW113" s="38">
        <f>MAX(0,MIN(Inputs!$C$36,BB112,AX113+AY113+AZ113+Inputs!$C$6-BA112))</f>
        <v>0</v>
      </c>
      <c r="AX113" s="38">
        <f>Inputs!$C$27*(1+Inputs!$C$28)^($A113/12)*IF(Inputs!$B$71=1,$G113,1)*(1-Inputs!$C$71*$H113*(1-Inputs!$E$54*Inputs!$B$71))*(1+$I113)*IF(Inputs!$C$29=0,1,(MAX(BA112,0)/Inputs!$C$6)^Inputs!$C$29)</f>
        <v>0</v>
      </c>
      <c r="AY113" s="38">
        <f>Inputs!$C$32*BA112/Inputs!$C$6</f>
        <v>0</v>
      </c>
      <c r="AZ113" s="38">
        <f>Inputs!$C$33</f>
        <v>2000</v>
      </c>
      <c r="BA113" s="38">
        <f t="shared" si="66"/>
        <v>0</v>
      </c>
      <c r="BB113" s="38">
        <f t="shared" si="67"/>
        <v>0</v>
      </c>
      <c r="BC113" s="38">
        <f>Inputs!$C$19*(1-Inputs!$C$71*$H113)+Inputs!$C$21+Inputs!$B$71*$J113</f>
        <v>501000</v>
      </c>
      <c r="BD113" s="38">
        <f t="shared" si="68"/>
        <v>-501000</v>
      </c>
      <c r="BE113" s="38">
        <f t="shared" si="69"/>
        <v>1</v>
      </c>
      <c r="BF113" s="38">
        <f>MAX(0,MIN(Inputs!$D$36,BK112,BG113+BH113+BI113+Inputs!$D$6-BJ112))</f>
        <v>0</v>
      </c>
      <c r="BG113" s="38">
        <f>Inputs!$D$27*(1+Inputs!$D$28)^($A113/12)*IF(Inputs!$B$71=1,$G113,1)*(1-Inputs!$C$71*$H113*(1-Inputs!$E$54*Inputs!$B$71))*(1+$I113)*IF(Inputs!$D$29=0,1,(MAX(BJ112,0)/Inputs!$D$6)^Inputs!$D$29)</f>
        <v>4066.3249508063559</v>
      </c>
      <c r="BH113" s="38">
        <f>Inputs!$D$32*BJ112/Inputs!$D$6</f>
        <v>2322.7761757685171</v>
      </c>
      <c r="BI113" s="38">
        <f>Inputs!$D$33</f>
        <v>1500</v>
      </c>
      <c r="BJ113" s="38">
        <f t="shared" si="70"/>
        <v>478787.81189159065</v>
      </c>
      <c r="BK113" s="38">
        <f t="shared" si="71"/>
        <v>0</v>
      </c>
      <c r="BL113" s="38">
        <f>Inputs!$D$19*(1-Inputs!$C$71*$H113)+Inputs!$D$21+Inputs!$B$71*$J113</f>
        <v>410800</v>
      </c>
      <c r="BM113" s="38">
        <f t="shared" si="72"/>
        <v>67987.811891590653</v>
      </c>
      <c r="BN113" s="38">
        <f t="shared" si="73"/>
        <v>0</v>
      </c>
      <c r="BO113" s="38">
        <f>MAX(0,MIN(Inputs!$B$36,BT112,BP113+BQ113+BR113+Inputs!$B$6-BS112))</f>
        <v>0</v>
      </c>
      <c r="BP113" s="38">
        <f>Inputs!$B$27*(1+Inputs!$B$28)^($A113/12)*IF(Inputs!$B$72=1,$G113,1)*(1-Inputs!$C$72*$H113*(1-Inputs!$E$54*Inputs!$B$72))*(1+$I113)*IF(Inputs!$B$29=0,1,(MAX(BS112,0)/Inputs!$B$6)^Inputs!$B$29)</f>
        <v>21571.218843181261</v>
      </c>
      <c r="BQ113" s="38">
        <f>Inputs!$B$32*BS112/Inputs!$B$6</f>
        <v>0</v>
      </c>
      <c r="BR113" s="38">
        <f>Inputs!$B$33</f>
        <v>2500</v>
      </c>
      <c r="BS113" s="38">
        <f t="shared" si="74"/>
        <v>0</v>
      </c>
      <c r="BT113" s="38">
        <f t="shared" si="75"/>
        <v>0</v>
      </c>
      <c r="BU113" s="38">
        <f>Inputs!$B$19*(1-Inputs!$C$72*$H113)+Inputs!$B$21+Inputs!$B$72*$J113</f>
        <v>577500</v>
      </c>
      <c r="BV113" s="38">
        <f t="shared" si="76"/>
        <v>-577500</v>
      </c>
      <c r="BW113" s="38">
        <f t="shared" si="77"/>
        <v>1</v>
      </c>
      <c r="BX113" s="38">
        <f>MAX(0,MIN(Inputs!$C$36,CC112,BY113+BZ113+CA113+Inputs!$C$6-CB112))</f>
        <v>0</v>
      </c>
      <c r="BY113" s="38">
        <f>Inputs!$C$27*(1+Inputs!$C$28)^($A113/12)*IF(Inputs!$B$72=1,$G113,1)*(1-Inputs!$C$72*$H113*(1-Inputs!$E$54*Inputs!$B$72))*(1+$I113)*IF(Inputs!$C$29=0,1,(MAX(CB112,0)/Inputs!$C$6)^Inputs!$C$29)</f>
        <v>0</v>
      </c>
      <c r="BZ113" s="38">
        <f>Inputs!$C$32*CB112/Inputs!$C$6</f>
        <v>0</v>
      </c>
      <c r="CA113" s="38">
        <f>Inputs!$C$33</f>
        <v>2000</v>
      </c>
      <c r="CB113" s="38">
        <f t="shared" si="78"/>
        <v>0</v>
      </c>
      <c r="CC113" s="38">
        <f t="shared" si="79"/>
        <v>0</v>
      </c>
      <c r="CD113" s="38">
        <f>Inputs!$C$19*(1-Inputs!$C$72*$H113)+Inputs!$C$21+Inputs!$B$72*$J113</f>
        <v>480000</v>
      </c>
      <c r="CE113" s="38">
        <f t="shared" si="80"/>
        <v>-480000</v>
      </c>
      <c r="CF113" s="38">
        <f t="shared" si="81"/>
        <v>1</v>
      </c>
      <c r="CG113" s="38">
        <f>MAX(0,MIN(Inputs!$D$36,CL112,CH113+CI113+CJ113+Inputs!$D$6-CK112))</f>
        <v>0</v>
      </c>
      <c r="CH113" s="38">
        <f>Inputs!$D$27*(1+Inputs!$D$28)^($A113/12)*IF(Inputs!$B$72=1,$G113,1)*(1-Inputs!$C$72*$H113*(1-Inputs!$E$54*Inputs!$B$72))*(1+$I113)*IF(Inputs!$D$29=0,1,(MAX(CK112,0)/Inputs!$D$6)^Inputs!$D$29)</f>
        <v>4178.0253370029013</v>
      </c>
      <c r="CI113" s="38">
        <f>Inputs!$D$32*CK112/Inputs!$D$6</f>
        <v>2147.8654179816476</v>
      </c>
      <c r="CJ113" s="38">
        <f>Inputs!$D$33</f>
        <v>1500</v>
      </c>
      <c r="CK113" s="38">
        <f t="shared" si="82"/>
        <v>442203.05396497977</v>
      </c>
      <c r="CL113" s="38">
        <f t="shared" si="83"/>
        <v>0</v>
      </c>
      <c r="CM113" s="38">
        <f>Inputs!$D$19*(1-Inputs!$C$72*$H113)+Inputs!$D$21+Inputs!$B$72*$J113</f>
        <v>392150</v>
      </c>
      <c r="CN113" s="38">
        <f t="shared" si="84"/>
        <v>50053.053964979772</v>
      </c>
      <c r="CO113" s="38">
        <f t="shared" si="85"/>
        <v>0</v>
      </c>
      <c r="CP113" s="38">
        <f>MAX(0,MIN(Inputs!$B$36,CU112,CQ113+CR113+CS113+Inputs!$B$6-CT112))</f>
        <v>0</v>
      </c>
      <c r="CQ113" s="38">
        <f>Inputs!$B$27*(1+Inputs!$B$28)^($A113/12)*IF(Inputs!$B$73=1,$G113,1)*(1-Inputs!$C$73*$H113*(1-Inputs!$E$54*Inputs!$B$73))*(1+$I113)*IF(Inputs!$B$29=0,1,(MAX(CT112,0)/Inputs!$B$6)^Inputs!$B$29)</f>
        <v>19179.141063739567</v>
      </c>
      <c r="CR113" s="38">
        <f>Inputs!$B$32*CT112/Inputs!$B$6</f>
        <v>0</v>
      </c>
      <c r="CS113" s="38">
        <f>Inputs!$B$33</f>
        <v>2500</v>
      </c>
      <c r="CT113" s="38">
        <f t="shared" si="86"/>
        <v>0</v>
      </c>
      <c r="CU113" s="38">
        <f t="shared" si="87"/>
        <v>0</v>
      </c>
      <c r="CV113" s="38">
        <f>Inputs!$B$19*(1-Inputs!$C$73*$H113)+Inputs!$B$21+Inputs!$B$73*$J113</f>
        <v>583500</v>
      </c>
      <c r="CW113" s="38">
        <f t="shared" si="88"/>
        <v>-583500</v>
      </c>
      <c r="CX113" s="38">
        <f t="shared" si="89"/>
        <v>1</v>
      </c>
      <c r="CY113" s="38">
        <f>MAX(0,MIN(Inputs!$C$36,DD112,CZ113+DA113+DB113+Inputs!$C$6-DC112))</f>
        <v>0</v>
      </c>
      <c r="CZ113" s="38">
        <f>Inputs!$C$27*(1+Inputs!$C$28)^($A113/12)*IF(Inputs!$B$73=1,$G113,1)*(1-Inputs!$C$73*$H113*(1-Inputs!$E$54*Inputs!$B$73))*(1+$I113)*IF(Inputs!$C$29=0,1,(MAX(DC112,0)/Inputs!$C$6)^Inputs!$C$29)</f>
        <v>0</v>
      </c>
      <c r="DA113" s="38">
        <f>Inputs!$C$32*DC112/Inputs!$C$6</f>
        <v>0</v>
      </c>
      <c r="DB113" s="38">
        <f>Inputs!$C$33</f>
        <v>2000</v>
      </c>
      <c r="DC113" s="38">
        <f t="shared" si="90"/>
        <v>0</v>
      </c>
      <c r="DD113" s="38">
        <f t="shared" si="91"/>
        <v>0</v>
      </c>
      <c r="DE113" s="38">
        <f>Inputs!$C$19*(1-Inputs!$C$73*$H113)+Inputs!$C$21+Inputs!$B$73*$J113</f>
        <v>486000</v>
      </c>
      <c r="DF113" s="38">
        <f t="shared" si="92"/>
        <v>-486000</v>
      </c>
      <c r="DG113" s="38">
        <f t="shared" si="93"/>
        <v>1</v>
      </c>
      <c r="DH113" s="38">
        <f>MAX(0,MIN(Inputs!$D$36,DM112,DI113+DJ113+DK113+Inputs!$D$6-DL112))</f>
        <v>0</v>
      </c>
      <c r="DI113" s="38">
        <f>Inputs!$D$27*(1+Inputs!$D$28)^($A113/12)*IF(Inputs!$B$73=1,$G113,1)*(1-Inputs!$C$73*$H113*(1-Inputs!$E$54*Inputs!$B$73))*(1+$I113)*IF(Inputs!$D$29=0,1,(MAX(DL112,0)/Inputs!$D$6)^Inputs!$D$29)</f>
        <v>3942.6390480890464</v>
      </c>
      <c r="DJ113" s="38">
        <f>Inputs!$D$32*DL112/Inputs!$D$6</f>
        <v>2419.5245185989766</v>
      </c>
      <c r="DK113" s="38">
        <f>Inputs!$D$33</f>
        <v>1500</v>
      </c>
      <c r="DL113" s="38">
        <f t="shared" si="94"/>
        <v>499085.83080643084</v>
      </c>
      <c r="DM113" s="38">
        <f t="shared" si="95"/>
        <v>0</v>
      </c>
      <c r="DN113" s="38">
        <f>Inputs!$D$19*(1-Inputs!$C$73*$H113)+Inputs!$D$21+Inputs!$B$73*$J113</f>
        <v>398150</v>
      </c>
      <c r="DO113" s="38">
        <f t="shared" si="96"/>
        <v>100935.83080643084</v>
      </c>
      <c r="DP113" s="38">
        <f t="shared" si="97"/>
        <v>0</v>
      </c>
    </row>
    <row r="114" spans="1:120" x14ac:dyDescent="0.35">
      <c r="A114" s="29">
        <v>109</v>
      </c>
      <c r="B114" s="34">
        <f>EDATE(Inputs!$B$67,$A114)</f>
        <v>49583</v>
      </c>
      <c r="C114" s="35">
        <f>IF(Inputs!$E$47&lt;=0,Inputs!$E$46,Inputs!$E$44+(Inputs!$E$46-Inputs!$E$44)*MIN($A114/Inputs!$E$47,1))</f>
        <v>0.7</v>
      </c>
      <c r="D114" s="35">
        <f>MIN(Inputs!$E$57,Inputs!$E$55*(1+Inputs!$E$56)^($A114/12))*Inputs!$E$58*(1+Inputs!$E$59)^($A114/12)/Inputs!$E$45</f>
        <v>1.5</v>
      </c>
      <c r="E114" s="35">
        <f>MAX(Inputs!$E$44,MIN(C114,D114))</f>
        <v>0.7</v>
      </c>
      <c r="F114" s="35">
        <f>IF(Inputs!$E$50&lt;=0,Inputs!$E$49,Inputs!$E$48+(Inputs!$E$49-Inputs!$E$48)*MIN($A114/Inputs!$E$50,1))</f>
        <v>0.12</v>
      </c>
      <c r="G114" s="36">
        <f>(Inputs!$E$41*(1-E114*Inputs!$E$51)+Inputs!$E$42*(1-F114*Inputs!$E$51))/(Inputs!$E$41*(1-Inputs!$E$44*Inputs!$E$51)+Inputs!$E$42*(1-Inputs!$E$48*Inputs!$E$51))</f>
        <v>0.8423127463863338</v>
      </c>
      <c r="H114" s="35">
        <f>IF(Inputs!$E$53&lt;=0,Inputs!$E$52,Inputs!$E$52*MIN($A114/Inputs!$E$53,1))</f>
        <v>0.1</v>
      </c>
      <c r="I114" s="35">
        <f>IF(Inputs!$E$64&lt;=0,Inputs!$E$63,Inputs!$E$62+(Inputs!$E$63-Inputs!$E$62)*MIN($A114/Inputs!$E$64,1))</f>
        <v>0.03</v>
      </c>
      <c r="J114" s="37">
        <f>(E114-Inputs!$E$44)*Inputs!$E$45/Inputs!$E$60*Inputs!$E$61</f>
        <v>5999.9999999999991</v>
      </c>
      <c r="K114" s="29">
        <f t="shared" si="49"/>
        <v>0</v>
      </c>
      <c r="L114" s="29"/>
      <c r="M114" s="38">
        <f>MAX(0,MIN(Inputs!$B$36,R113,N114+O114+P114+Inputs!$B$6-Q113))</f>
        <v>0</v>
      </c>
      <c r="N114" s="38">
        <f>Inputs!$B$27*(1+Inputs!$B$28)^($A114/12)*IF(Inputs!$B$70=1,$G114,1)*(1-Inputs!$C$70*$H114*(1-Inputs!$E$54*Inputs!$B$70))*(1+$I114)*IF(Inputs!$B$29=0,1,(MAX(Q113,0)/Inputs!$B$6)^Inputs!$B$29)</f>
        <v>24065.669621013953</v>
      </c>
      <c r="O114" s="38">
        <f>Inputs!$B$32*Q113/Inputs!$B$6</f>
        <v>0</v>
      </c>
      <c r="P114" s="38">
        <f>Inputs!$B$33</f>
        <v>2500</v>
      </c>
      <c r="Q114" s="38">
        <f t="shared" si="50"/>
        <v>0</v>
      </c>
      <c r="R114" s="38">
        <f t="shared" si="51"/>
        <v>0</v>
      </c>
      <c r="S114" s="38">
        <f>Inputs!$B$19*(1-Inputs!$C$70*$H114)+Inputs!$B$21+Inputs!$B$70*$J114</f>
        <v>595000</v>
      </c>
      <c r="T114" s="38">
        <f t="shared" si="52"/>
        <v>-595000</v>
      </c>
      <c r="U114" s="38">
        <f t="shared" si="53"/>
        <v>1</v>
      </c>
      <c r="V114" s="38">
        <f>MAX(0,MIN(Inputs!$C$36,AA113,W114+X114+Y114+Inputs!$C$6-Z113))</f>
        <v>0</v>
      </c>
      <c r="W114" s="38">
        <f>Inputs!$C$27*(1+Inputs!$C$28)^($A114/12)*IF(Inputs!$B$70=1,$G114,1)*(1-Inputs!$C$70*$H114*(1-Inputs!$E$54*Inputs!$B$70))*(1+$I114)*IF(Inputs!$C$29=0,1,(MAX(Z113,0)/Inputs!$C$6)^Inputs!$C$29)</f>
        <v>0</v>
      </c>
      <c r="X114" s="38">
        <f>Inputs!$C$32*Z113/Inputs!$C$6</f>
        <v>0</v>
      </c>
      <c r="Y114" s="38">
        <f>Inputs!$C$33</f>
        <v>2000</v>
      </c>
      <c r="Z114" s="38">
        <f t="shared" si="54"/>
        <v>0</v>
      </c>
      <c r="AA114" s="38">
        <f t="shared" si="55"/>
        <v>0</v>
      </c>
      <c r="AB114" s="38">
        <f>Inputs!$C$19*(1-Inputs!$C$70*$H114)+Inputs!$C$21+Inputs!$B$70*$J114</f>
        <v>495000</v>
      </c>
      <c r="AC114" s="38">
        <f t="shared" si="56"/>
        <v>-495000</v>
      </c>
      <c r="AD114" s="38">
        <f t="shared" si="57"/>
        <v>1</v>
      </c>
      <c r="AE114" s="38">
        <f>MAX(0,MIN(Inputs!$D$36,AJ113,AF114+AG114+AH114+Inputs!$D$6-AI113))</f>
        <v>0</v>
      </c>
      <c r="AF114" s="38">
        <f>Inputs!$D$27*(1+Inputs!$D$28)^($A114/12)*IF(Inputs!$B$70=1,$G114,1)*(1-Inputs!$C$70*$H114*(1-Inputs!$E$54*Inputs!$B$70))*(1+$I114)*IF(Inputs!$D$29=0,1,(MAX(AI113,0)/Inputs!$D$6)^Inputs!$D$29)</f>
        <v>4345.9433348616094</v>
      </c>
      <c r="AG114" s="38">
        <f>Inputs!$D$32*AI113/Inputs!$D$6</f>
        <v>1898.58828626066</v>
      </c>
      <c r="AH114" s="38">
        <f>Inputs!$D$33</f>
        <v>1500</v>
      </c>
      <c r="AI114" s="38">
        <f t="shared" si="58"/>
        <v>390054.91883349221</v>
      </c>
      <c r="AJ114" s="38">
        <f t="shared" si="59"/>
        <v>0</v>
      </c>
      <c r="AK114" s="38">
        <f>Inputs!$D$19*(1-Inputs!$C$70*$H114)+Inputs!$D$21+Inputs!$B$70*$J114</f>
        <v>404800</v>
      </c>
      <c r="AL114" s="38">
        <f t="shared" si="60"/>
        <v>-14745.081166507793</v>
      </c>
      <c r="AM114" s="38">
        <f t="shared" si="61"/>
        <v>1</v>
      </c>
      <c r="AN114" s="38">
        <f>MAX(0,MIN(Inputs!$B$36,AS113,AO114+AP114+AQ114+Inputs!$B$6-AR113))</f>
        <v>0</v>
      </c>
      <c r="AO114" s="38">
        <f>Inputs!$B$27*(1+Inputs!$B$28)^($A114/12)*IF(Inputs!$B$71=1,$G114,1)*(1-Inputs!$C$71*$H114*(1-Inputs!$E$54*Inputs!$B$71))*(1+$I114)*IF(Inputs!$B$29=0,1,(MAX(AR113,0)/Inputs!$B$6)^Inputs!$B$29)</f>
        <v>20270.820272102424</v>
      </c>
      <c r="AP114" s="38">
        <f>Inputs!$B$32*AR113/Inputs!$B$6</f>
        <v>0</v>
      </c>
      <c r="AQ114" s="38">
        <f>Inputs!$B$33</f>
        <v>2500</v>
      </c>
      <c r="AR114" s="38">
        <f t="shared" si="62"/>
        <v>0</v>
      </c>
      <c r="AS114" s="38">
        <f t="shared" si="63"/>
        <v>0</v>
      </c>
      <c r="AT114" s="38">
        <f>Inputs!$B$19*(1-Inputs!$C$71*$H114)+Inputs!$B$21+Inputs!$B$71*$J114</f>
        <v>601000</v>
      </c>
      <c r="AU114" s="38">
        <f t="shared" si="64"/>
        <v>-601000</v>
      </c>
      <c r="AV114" s="38">
        <f t="shared" si="65"/>
        <v>1</v>
      </c>
      <c r="AW114" s="38">
        <f>MAX(0,MIN(Inputs!$C$36,BB113,AX114+AY114+AZ114+Inputs!$C$6-BA113))</f>
        <v>0</v>
      </c>
      <c r="AX114" s="38">
        <f>Inputs!$C$27*(1+Inputs!$C$28)^($A114/12)*IF(Inputs!$B$71=1,$G114,1)*(1-Inputs!$C$71*$H114*(1-Inputs!$E$54*Inputs!$B$71))*(1+$I114)*IF(Inputs!$C$29=0,1,(MAX(BA113,0)/Inputs!$C$6)^Inputs!$C$29)</f>
        <v>0</v>
      </c>
      <c r="AY114" s="38">
        <f>Inputs!$C$32*BA113/Inputs!$C$6</f>
        <v>0</v>
      </c>
      <c r="AZ114" s="38">
        <f>Inputs!$C$33</f>
        <v>2000</v>
      </c>
      <c r="BA114" s="38">
        <f t="shared" si="66"/>
        <v>0</v>
      </c>
      <c r="BB114" s="38">
        <f t="shared" si="67"/>
        <v>0</v>
      </c>
      <c r="BC114" s="38">
        <f>Inputs!$C$19*(1-Inputs!$C$71*$H114)+Inputs!$C$21+Inputs!$B$71*$J114</f>
        <v>501000</v>
      </c>
      <c r="BD114" s="38">
        <f t="shared" si="68"/>
        <v>-501000</v>
      </c>
      <c r="BE114" s="38">
        <f t="shared" si="69"/>
        <v>1</v>
      </c>
      <c r="BF114" s="38">
        <f>MAX(0,MIN(Inputs!$D$36,BK113,BG114+BH114+BI114+Inputs!$D$6-BJ113))</f>
        <v>0</v>
      </c>
      <c r="BG114" s="38">
        <f>Inputs!$D$27*(1+Inputs!$D$28)^($A114/12)*IF(Inputs!$B$71=1,$G114,1)*(1-Inputs!$C$71*$H114*(1-Inputs!$E$54*Inputs!$B$71))*(1+$I114)*IF(Inputs!$D$29=0,1,(MAX(BJ113,0)/Inputs!$D$6)^Inputs!$D$29)</f>
        <v>4016.0294229154788</v>
      </c>
      <c r="BH114" s="38">
        <f>Inputs!$D$32*BJ113/Inputs!$D$6</f>
        <v>2285.1236476644099</v>
      </c>
      <c r="BI114" s="38">
        <f>Inputs!$D$33</f>
        <v>1500</v>
      </c>
      <c r="BJ114" s="38">
        <f t="shared" si="70"/>
        <v>470986.65882101079</v>
      </c>
      <c r="BK114" s="38">
        <f t="shared" si="71"/>
        <v>0</v>
      </c>
      <c r="BL114" s="38">
        <f>Inputs!$D$19*(1-Inputs!$C$71*$H114)+Inputs!$D$21+Inputs!$B$71*$J114</f>
        <v>410800</v>
      </c>
      <c r="BM114" s="38">
        <f t="shared" si="72"/>
        <v>60186.658821010788</v>
      </c>
      <c r="BN114" s="38">
        <f t="shared" si="73"/>
        <v>0</v>
      </c>
      <c r="BO114" s="38">
        <f>MAX(0,MIN(Inputs!$B$36,BT113,BP114+BQ114+BR114+Inputs!$B$6-BS113))</f>
        <v>0</v>
      </c>
      <c r="BP114" s="38">
        <f>Inputs!$B$27*(1+Inputs!$B$28)^($A114/12)*IF(Inputs!$B$72=1,$G114,1)*(1-Inputs!$C$72*$H114*(1-Inputs!$E$54*Inputs!$B$72))*(1+$I114)*IF(Inputs!$B$29=0,1,(MAX(BS113,0)/Inputs!$B$6)^Inputs!$B$29)</f>
        <v>21659.102658912558</v>
      </c>
      <c r="BQ114" s="38">
        <f>Inputs!$B$32*BS113/Inputs!$B$6</f>
        <v>0</v>
      </c>
      <c r="BR114" s="38">
        <f>Inputs!$B$33</f>
        <v>2500</v>
      </c>
      <c r="BS114" s="38">
        <f t="shared" si="74"/>
        <v>0</v>
      </c>
      <c r="BT114" s="38">
        <f t="shared" si="75"/>
        <v>0</v>
      </c>
      <c r="BU114" s="38">
        <f>Inputs!$B$19*(1-Inputs!$C$72*$H114)+Inputs!$B$21+Inputs!$B$72*$J114</f>
        <v>577500</v>
      </c>
      <c r="BV114" s="38">
        <f t="shared" si="76"/>
        <v>-577500</v>
      </c>
      <c r="BW114" s="38">
        <f t="shared" si="77"/>
        <v>1</v>
      </c>
      <c r="BX114" s="38">
        <f>MAX(0,MIN(Inputs!$C$36,CC113,BY114+BZ114+CA114+Inputs!$C$6-CB113))</f>
        <v>0</v>
      </c>
      <c r="BY114" s="38">
        <f>Inputs!$C$27*(1+Inputs!$C$28)^($A114/12)*IF(Inputs!$B$72=1,$G114,1)*(1-Inputs!$C$72*$H114*(1-Inputs!$E$54*Inputs!$B$72))*(1+$I114)*IF(Inputs!$C$29=0,1,(MAX(CB113,0)/Inputs!$C$6)^Inputs!$C$29)</f>
        <v>0</v>
      </c>
      <c r="BZ114" s="38">
        <f>Inputs!$C$32*CB113/Inputs!$C$6</f>
        <v>0</v>
      </c>
      <c r="CA114" s="38">
        <f>Inputs!$C$33</f>
        <v>2000</v>
      </c>
      <c r="CB114" s="38">
        <f t="shared" si="78"/>
        <v>0</v>
      </c>
      <c r="CC114" s="38">
        <f t="shared" si="79"/>
        <v>0</v>
      </c>
      <c r="CD114" s="38">
        <f>Inputs!$C$19*(1-Inputs!$C$72*$H114)+Inputs!$C$21+Inputs!$B$72*$J114</f>
        <v>480000</v>
      </c>
      <c r="CE114" s="38">
        <f t="shared" si="80"/>
        <v>-480000</v>
      </c>
      <c r="CF114" s="38">
        <f t="shared" si="81"/>
        <v>1</v>
      </c>
      <c r="CG114" s="38">
        <f>MAX(0,MIN(Inputs!$D$36,CL113,CH114+CI114+CJ114+Inputs!$D$6-CK113))</f>
        <v>0</v>
      </c>
      <c r="CH114" s="38">
        <f>Inputs!$D$27*(1+Inputs!$D$28)^($A114/12)*IF(Inputs!$B$72=1,$G114,1)*(1-Inputs!$C$72*$H114*(1-Inputs!$E$54*Inputs!$B$72))*(1+$I114)*IF(Inputs!$D$29=0,1,(MAX(CK113,0)/Inputs!$D$6)^Inputs!$D$29)</f>
        <v>4123.8736275185538</v>
      </c>
      <c r="CI114" s="38">
        <f>Inputs!$D$32*CK113/Inputs!$D$6</f>
        <v>2110.5145757419486</v>
      </c>
      <c r="CJ114" s="38">
        <f>Inputs!$D$33</f>
        <v>1500</v>
      </c>
      <c r="CK114" s="38">
        <f t="shared" si="82"/>
        <v>434468.66576171928</v>
      </c>
      <c r="CL114" s="38">
        <f t="shared" si="83"/>
        <v>0</v>
      </c>
      <c r="CM114" s="38">
        <f>Inputs!$D$19*(1-Inputs!$C$72*$H114)+Inputs!$D$21+Inputs!$B$72*$J114</f>
        <v>392150</v>
      </c>
      <c r="CN114" s="38">
        <f t="shared" si="84"/>
        <v>42318.665761719283</v>
      </c>
      <c r="CO114" s="38">
        <f t="shared" si="85"/>
        <v>0</v>
      </c>
      <c r="CP114" s="38">
        <f>MAX(0,MIN(Inputs!$B$36,CU113,CQ114+CR114+CS114+Inputs!$B$6-CT113))</f>
        <v>0</v>
      </c>
      <c r="CQ114" s="38">
        <f>Inputs!$B$27*(1+Inputs!$B$28)^($A114/12)*IF(Inputs!$B$73=1,$G114,1)*(1-Inputs!$C$73*$H114*(1-Inputs!$E$54*Inputs!$B$73))*(1+$I114)*IF(Inputs!$B$29=0,1,(MAX(CT113,0)/Inputs!$B$6)^Inputs!$B$29)</f>
        <v>19257.279258497303</v>
      </c>
      <c r="CR114" s="38">
        <f>Inputs!$B$32*CT113/Inputs!$B$6</f>
        <v>0</v>
      </c>
      <c r="CS114" s="38">
        <f>Inputs!$B$33</f>
        <v>2500</v>
      </c>
      <c r="CT114" s="38">
        <f t="shared" si="86"/>
        <v>0</v>
      </c>
      <c r="CU114" s="38">
        <f t="shared" si="87"/>
        <v>0</v>
      </c>
      <c r="CV114" s="38">
        <f>Inputs!$B$19*(1-Inputs!$C$73*$H114)+Inputs!$B$21+Inputs!$B$73*$J114</f>
        <v>583500</v>
      </c>
      <c r="CW114" s="38">
        <f t="shared" si="88"/>
        <v>-583500</v>
      </c>
      <c r="CX114" s="38">
        <f t="shared" si="89"/>
        <v>1</v>
      </c>
      <c r="CY114" s="38">
        <f>MAX(0,MIN(Inputs!$C$36,DD113,CZ114+DA114+DB114+Inputs!$C$6-DC113))</f>
        <v>0</v>
      </c>
      <c r="CZ114" s="38">
        <f>Inputs!$C$27*(1+Inputs!$C$28)^($A114/12)*IF(Inputs!$B$73=1,$G114,1)*(1-Inputs!$C$73*$H114*(1-Inputs!$E$54*Inputs!$B$73))*(1+$I114)*IF(Inputs!$C$29=0,1,(MAX(DC113,0)/Inputs!$C$6)^Inputs!$C$29)</f>
        <v>0</v>
      </c>
      <c r="DA114" s="38">
        <f>Inputs!$C$32*DC113/Inputs!$C$6</f>
        <v>0</v>
      </c>
      <c r="DB114" s="38">
        <f>Inputs!$C$33</f>
        <v>2000</v>
      </c>
      <c r="DC114" s="38">
        <f t="shared" si="90"/>
        <v>0</v>
      </c>
      <c r="DD114" s="38">
        <f t="shared" si="91"/>
        <v>0</v>
      </c>
      <c r="DE114" s="38">
        <f>Inputs!$C$19*(1-Inputs!$C$73*$H114)+Inputs!$C$21+Inputs!$B$73*$J114</f>
        <v>486000</v>
      </c>
      <c r="DF114" s="38">
        <f t="shared" si="92"/>
        <v>-486000</v>
      </c>
      <c r="DG114" s="38">
        <f t="shared" si="93"/>
        <v>1</v>
      </c>
      <c r="DH114" s="38">
        <f>MAX(0,MIN(Inputs!$D$36,DM113,DI114+DJ114+DK114+Inputs!$D$6-DL113))</f>
        <v>0</v>
      </c>
      <c r="DI114" s="38">
        <f>Inputs!$D$27*(1+Inputs!$D$28)^($A114/12)*IF(Inputs!$B$73=1,$G114,1)*(1-Inputs!$C$73*$H114*(1-Inputs!$E$54*Inputs!$B$73))*(1+$I114)*IF(Inputs!$D$29=0,1,(MAX(DL113,0)/Inputs!$D$6)^Inputs!$D$29)</f>
        <v>3895.2610495187769</v>
      </c>
      <c r="DJ114" s="38">
        <f>Inputs!$D$32*DL113/Inputs!$D$6</f>
        <v>2382.0005561216017</v>
      </c>
      <c r="DK114" s="38">
        <f>Inputs!$D$33</f>
        <v>1500</v>
      </c>
      <c r="DL114" s="38">
        <f t="shared" si="94"/>
        <v>491308.56920079049</v>
      </c>
      <c r="DM114" s="38">
        <f t="shared" si="95"/>
        <v>0</v>
      </c>
      <c r="DN114" s="38">
        <f>Inputs!$D$19*(1-Inputs!$C$73*$H114)+Inputs!$D$21+Inputs!$B$73*$J114</f>
        <v>398150</v>
      </c>
      <c r="DO114" s="38">
        <f t="shared" si="96"/>
        <v>93158.569200790487</v>
      </c>
      <c r="DP114" s="38">
        <f t="shared" si="97"/>
        <v>0</v>
      </c>
    </row>
    <row r="115" spans="1:120" x14ac:dyDescent="0.35">
      <c r="A115" s="29">
        <v>110</v>
      </c>
      <c r="B115" s="34">
        <f>EDATE(Inputs!$B$67,$A115)</f>
        <v>49614</v>
      </c>
      <c r="C115" s="35">
        <f>IF(Inputs!$E$47&lt;=0,Inputs!$E$46,Inputs!$E$44+(Inputs!$E$46-Inputs!$E$44)*MIN($A115/Inputs!$E$47,1))</f>
        <v>0.7</v>
      </c>
      <c r="D115" s="35">
        <f>MIN(Inputs!$E$57,Inputs!$E$55*(1+Inputs!$E$56)^($A115/12))*Inputs!$E$58*(1+Inputs!$E$59)^($A115/12)/Inputs!$E$45</f>
        <v>1.5</v>
      </c>
      <c r="E115" s="35">
        <f>MAX(Inputs!$E$44,MIN(C115,D115))</f>
        <v>0.7</v>
      </c>
      <c r="F115" s="35">
        <f>IF(Inputs!$E$50&lt;=0,Inputs!$E$49,Inputs!$E$48+(Inputs!$E$49-Inputs!$E$48)*MIN($A115/Inputs!$E$50,1))</f>
        <v>0.12</v>
      </c>
      <c r="G115" s="36">
        <f>(Inputs!$E$41*(1-E115*Inputs!$E$51)+Inputs!$E$42*(1-F115*Inputs!$E$51))/(Inputs!$E$41*(1-Inputs!$E$44*Inputs!$E$51)+Inputs!$E$42*(1-Inputs!$E$48*Inputs!$E$51))</f>
        <v>0.8423127463863338</v>
      </c>
      <c r="H115" s="35">
        <f>IF(Inputs!$E$53&lt;=0,Inputs!$E$52,Inputs!$E$52*MIN($A115/Inputs!$E$53,1))</f>
        <v>0.1</v>
      </c>
      <c r="I115" s="35">
        <f>IF(Inputs!$E$64&lt;=0,Inputs!$E$63,Inputs!$E$62+(Inputs!$E$63-Inputs!$E$62)*MIN($A115/Inputs!$E$64,1))</f>
        <v>0.03</v>
      </c>
      <c r="J115" s="37">
        <f>(E115-Inputs!$E$44)*Inputs!$E$45/Inputs!$E$60*Inputs!$E$61</f>
        <v>5999.9999999999991</v>
      </c>
      <c r="K115" s="29">
        <f t="shared" si="49"/>
        <v>0</v>
      </c>
      <c r="L115" s="29"/>
      <c r="M115" s="38">
        <f>MAX(0,MIN(Inputs!$B$36,R114,N115+O115+P115+Inputs!$B$6-Q114))</f>
        <v>0</v>
      </c>
      <c r="N115" s="38">
        <f>Inputs!$B$27*(1+Inputs!$B$28)^($A115/12)*IF(Inputs!$B$70=1,$G115,1)*(1-Inputs!$C$70*$H115*(1-Inputs!$E$54*Inputs!$B$70))*(1+$I115)*IF(Inputs!$B$29=0,1,(MAX(Q114,0)/Inputs!$B$6)^Inputs!$B$29)</f>
        <v>24163.716137986343</v>
      </c>
      <c r="O115" s="38">
        <f>Inputs!$B$32*Q114/Inputs!$B$6</f>
        <v>0</v>
      </c>
      <c r="P115" s="38">
        <f>Inputs!$B$33</f>
        <v>2500</v>
      </c>
      <c r="Q115" s="38">
        <f t="shared" si="50"/>
        <v>0</v>
      </c>
      <c r="R115" s="38">
        <f t="shared" si="51"/>
        <v>0</v>
      </c>
      <c r="S115" s="38">
        <f>Inputs!$B$19*(1-Inputs!$C$70*$H115)+Inputs!$B$21+Inputs!$B$70*$J115</f>
        <v>595000</v>
      </c>
      <c r="T115" s="38">
        <f t="shared" si="52"/>
        <v>-595000</v>
      </c>
      <c r="U115" s="38">
        <f t="shared" si="53"/>
        <v>1</v>
      </c>
      <c r="V115" s="38">
        <f>MAX(0,MIN(Inputs!$C$36,AA114,W115+X115+Y115+Inputs!$C$6-Z114))</f>
        <v>0</v>
      </c>
      <c r="W115" s="38">
        <f>Inputs!$C$27*(1+Inputs!$C$28)^($A115/12)*IF(Inputs!$B$70=1,$G115,1)*(1-Inputs!$C$70*$H115*(1-Inputs!$E$54*Inputs!$B$70))*(1+$I115)*IF(Inputs!$C$29=0,1,(MAX(Z114,0)/Inputs!$C$6)^Inputs!$C$29)</f>
        <v>0</v>
      </c>
      <c r="X115" s="38">
        <f>Inputs!$C$32*Z114/Inputs!$C$6</f>
        <v>0</v>
      </c>
      <c r="Y115" s="38">
        <f>Inputs!$C$33</f>
        <v>2000</v>
      </c>
      <c r="Z115" s="38">
        <f t="shared" si="54"/>
        <v>0</v>
      </c>
      <c r="AA115" s="38">
        <f t="shared" si="55"/>
        <v>0</v>
      </c>
      <c r="AB115" s="38">
        <f>Inputs!$C$19*(1-Inputs!$C$70*$H115)+Inputs!$C$21+Inputs!$B$70*$J115</f>
        <v>495000</v>
      </c>
      <c r="AC115" s="38">
        <f t="shared" si="56"/>
        <v>-495000</v>
      </c>
      <c r="AD115" s="38">
        <f t="shared" si="57"/>
        <v>1</v>
      </c>
      <c r="AE115" s="38">
        <f>MAX(0,MIN(Inputs!$D$36,AJ114,AF115+AG115+AH115+Inputs!$D$6-AI114))</f>
        <v>0</v>
      </c>
      <c r="AF115" s="38">
        <f>Inputs!$D$27*(1+Inputs!$D$28)^($A115/12)*IF(Inputs!$B$70=1,$G115,1)*(1-Inputs!$C$70*$H115*(1-Inputs!$E$54*Inputs!$B$70))*(1+$I115)*IF(Inputs!$D$29=0,1,(MAX(AI114,0)/Inputs!$D$6)^Inputs!$D$29)</f>
        <v>4285.0755491995324</v>
      </c>
      <c r="AG115" s="38">
        <f>Inputs!$D$32*AI114/Inputs!$D$6</f>
        <v>1861.625748978031</v>
      </c>
      <c r="AH115" s="38">
        <f>Inputs!$D$33</f>
        <v>1500</v>
      </c>
      <c r="AI115" s="38">
        <f t="shared" si="58"/>
        <v>382408.21753531462</v>
      </c>
      <c r="AJ115" s="38">
        <f t="shared" si="59"/>
        <v>0</v>
      </c>
      <c r="AK115" s="38">
        <f>Inputs!$D$19*(1-Inputs!$C$70*$H115)+Inputs!$D$21+Inputs!$B$70*$J115</f>
        <v>404800</v>
      </c>
      <c r="AL115" s="38">
        <f t="shared" si="60"/>
        <v>-22391.782464685384</v>
      </c>
      <c r="AM115" s="38">
        <f t="shared" si="61"/>
        <v>1</v>
      </c>
      <c r="AN115" s="38">
        <f>MAX(0,MIN(Inputs!$B$36,AS114,AO115+AP115+AQ115+Inputs!$B$6-AR114))</f>
        <v>0</v>
      </c>
      <c r="AO115" s="38">
        <f>Inputs!$B$27*(1+Inputs!$B$28)^($A115/12)*IF(Inputs!$B$71=1,$G115,1)*(1-Inputs!$C$71*$H115*(1-Inputs!$E$54*Inputs!$B$71))*(1+$I115)*IF(Inputs!$B$29=0,1,(MAX(AR114,0)/Inputs!$B$6)^Inputs!$B$29)</f>
        <v>20353.406103087051</v>
      </c>
      <c r="AP115" s="38">
        <f>Inputs!$B$32*AR114/Inputs!$B$6</f>
        <v>0</v>
      </c>
      <c r="AQ115" s="38">
        <f>Inputs!$B$33</f>
        <v>2500</v>
      </c>
      <c r="AR115" s="38">
        <f t="shared" si="62"/>
        <v>0</v>
      </c>
      <c r="AS115" s="38">
        <f t="shared" si="63"/>
        <v>0</v>
      </c>
      <c r="AT115" s="38">
        <f>Inputs!$B$19*(1-Inputs!$C$71*$H115)+Inputs!$B$21+Inputs!$B$71*$J115</f>
        <v>601000</v>
      </c>
      <c r="AU115" s="38">
        <f t="shared" si="64"/>
        <v>-601000</v>
      </c>
      <c r="AV115" s="38">
        <f t="shared" si="65"/>
        <v>1</v>
      </c>
      <c r="AW115" s="38">
        <f>MAX(0,MIN(Inputs!$C$36,BB114,AX115+AY115+AZ115+Inputs!$C$6-BA114))</f>
        <v>0</v>
      </c>
      <c r="AX115" s="38">
        <f>Inputs!$C$27*(1+Inputs!$C$28)^($A115/12)*IF(Inputs!$B$71=1,$G115,1)*(1-Inputs!$C$71*$H115*(1-Inputs!$E$54*Inputs!$B$71))*(1+$I115)*IF(Inputs!$C$29=0,1,(MAX(BA114,0)/Inputs!$C$6)^Inputs!$C$29)</f>
        <v>0</v>
      </c>
      <c r="AY115" s="38">
        <f>Inputs!$C$32*BA114/Inputs!$C$6</f>
        <v>0</v>
      </c>
      <c r="AZ115" s="38">
        <f>Inputs!$C$33</f>
        <v>2000</v>
      </c>
      <c r="BA115" s="38">
        <f t="shared" si="66"/>
        <v>0</v>
      </c>
      <c r="BB115" s="38">
        <f t="shared" si="67"/>
        <v>0</v>
      </c>
      <c r="BC115" s="38">
        <f>Inputs!$C$19*(1-Inputs!$C$71*$H115)+Inputs!$C$21+Inputs!$B$71*$J115</f>
        <v>501000</v>
      </c>
      <c r="BD115" s="38">
        <f t="shared" si="68"/>
        <v>-501000</v>
      </c>
      <c r="BE115" s="38">
        <f t="shared" si="69"/>
        <v>1</v>
      </c>
      <c r="BF115" s="38">
        <f>MAX(0,MIN(Inputs!$D$36,BK114,BG115+BH115+BI115+Inputs!$D$6-BJ114))</f>
        <v>0</v>
      </c>
      <c r="BG115" s="38">
        <f>Inputs!$D$27*(1+Inputs!$D$28)^($A115/12)*IF(Inputs!$B$71=1,$G115,1)*(1-Inputs!$C$71*$H115*(1-Inputs!$E$54*Inputs!$B$71))*(1+$I115)*IF(Inputs!$D$29=0,1,(MAX(BJ114,0)/Inputs!$D$6)^Inputs!$D$29)</f>
        <v>3966.1878452029341</v>
      </c>
      <c r="BH115" s="38">
        <f>Inputs!$D$32*BJ114/Inputs!$D$6</f>
        <v>2247.8908716457331</v>
      </c>
      <c r="BI115" s="38">
        <f>Inputs!$D$33</f>
        <v>1500</v>
      </c>
      <c r="BJ115" s="38">
        <f t="shared" si="70"/>
        <v>463272.58010416216</v>
      </c>
      <c r="BK115" s="38">
        <f t="shared" si="71"/>
        <v>0</v>
      </c>
      <c r="BL115" s="38">
        <f>Inputs!$D$19*(1-Inputs!$C$71*$H115)+Inputs!$D$21+Inputs!$B$71*$J115</f>
        <v>410800</v>
      </c>
      <c r="BM115" s="38">
        <f t="shared" si="72"/>
        <v>52472.58010416216</v>
      </c>
      <c r="BN115" s="38">
        <f t="shared" si="73"/>
        <v>0</v>
      </c>
      <c r="BO115" s="38">
        <f>MAX(0,MIN(Inputs!$B$36,BT114,BP115+BQ115+BR115+Inputs!$B$6-BS114))</f>
        <v>0</v>
      </c>
      <c r="BP115" s="38">
        <f>Inputs!$B$27*(1+Inputs!$B$28)^($A115/12)*IF(Inputs!$B$72=1,$G115,1)*(1-Inputs!$C$72*$H115*(1-Inputs!$E$54*Inputs!$B$72))*(1+$I115)*IF(Inputs!$B$29=0,1,(MAX(BS114,0)/Inputs!$B$6)^Inputs!$B$29)</f>
        <v>21747.344524187713</v>
      </c>
      <c r="BQ115" s="38">
        <f>Inputs!$B$32*BS114/Inputs!$B$6</f>
        <v>0</v>
      </c>
      <c r="BR115" s="38">
        <f>Inputs!$B$33</f>
        <v>2500</v>
      </c>
      <c r="BS115" s="38">
        <f t="shared" si="74"/>
        <v>0</v>
      </c>
      <c r="BT115" s="38">
        <f t="shared" si="75"/>
        <v>0</v>
      </c>
      <c r="BU115" s="38">
        <f>Inputs!$B$19*(1-Inputs!$C$72*$H115)+Inputs!$B$21+Inputs!$B$72*$J115</f>
        <v>577500</v>
      </c>
      <c r="BV115" s="38">
        <f t="shared" si="76"/>
        <v>-577500</v>
      </c>
      <c r="BW115" s="38">
        <f t="shared" si="77"/>
        <v>1</v>
      </c>
      <c r="BX115" s="38">
        <f>MAX(0,MIN(Inputs!$C$36,CC114,BY115+BZ115+CA115+Inputs!$C$6-CB114))</f>
        <v>0</v>
      </c>
      <c r="BY115" s="38">
        <f>Inputs!$C$27*(1+Inputs!$C$28)^($A115/12)*IF(Inputs!$B$72=1,$G115,1)*(1-Inputs!$C$72*$H115*(1-Inputs!$E$54*Inputs!$B$72))*(1+$I115)*IF(Inputs!$C$29=0,1,(MAX(CB114,0)/Inputs!$C$6)^Inputs!$C$29)</f>
        <v>0</v>
      </c>
      <c r="BZ115" s="38">
        <f>Inputs!$C$32*CB114/Inputs!$C$6</f>
        <v>0</v>
      </c>
      <c r="CA115" s="38">
        <f>Inputs!$C$33</f>
        <v>2000</v>
      </c>
      <c r="CB115" s="38">
        <f t="shared" si="78"/>
        <v>0</v>
      </c>
      <c r="CC115" s="38">
        <f t="shared" si="79"/>
        <v>0</v>
      </c>
      <c r="CD115" s="38">
        <f>Inputs!$C$19*(1-Inputs!$C$72*$H115)+Inputs!$C$21+Inputs!$B$72*$J115</f>
        <v>480000</v>
      </c>
      <c r="CE115" s="38">
        <f t="shared" si="80"/>
        <v>-480000</v>
      </c>
      <c r="CF115" s="38">
        <f t="shared" si="81"/>
        <v>1</v>
      </c>
      <c r="CG115" s="38">
        <f>MAX(0,MIN(Inputs!$D$36,CL114,CH115+CI115+CJ115+Inputs!$D$6-CK114))</f>
        <v>0</v>
      </c>
      <c r="CH115" s="38">
        <f>Inputs!$D$27*(1+Inputs!$D$28)^($A115/12)*IF(Inputs!$B$72=1,$G115,1)*(1-Inputs!$C$72*$H115*(1-Inputs!$E$54*Inputs!$B$72))*(1+$I115)*IF(Inputs!$D$29=0,1,(MAX(CK114,0)/Inputs!$D$6)^Inputs!$D$29)</f>
        <v>4070.214933185563</v>
      </c>
      <c r="CI115" s="38">
        <f>Inputs!$D$32*CK114/Inputs!$D$6</f>
        <v>2073.6004502263872</v>
      </c>
      <c r="CJ115" s="38">
        <f>Inputs!$D$33</f>
        <v>1500</v>
      </c>
      <c r="CK115" s="38">
        <f t="shared" si="82"/>
        <v>426824.85037830734</v>
      </c>
      <c r="CL115" s="38">
        <f t="shared" si="83"/>
        <v>0</v>
      </c>
      <c r="CM115" s="38">
        <f>Inputs!$D$19*(1-Inputs!$C$72*$H115)+Inputs!$D$21+Inputs!$B$72*$J115</f>
        <v>392150</v>
      </c>
      <c r="CN115" s="38">
        <f t="shared" si="84"/>
        <v>34674.850378307339</v>
      </c>
      <c r="CO115" s="38">
        <f t="shared" si="85"/>
        <v>0</v>
      </c>
      <c r="CP115" s="38">
        <f>MAX(0,MIN(Inputs!$B$36,CU114,CQ115+CR115+CS115+Inputs!$B$6-CT114))</f>
        <v>0</v>
      </c>
      <c r="CQ115" s="38">
        <f>Inputs!$B$27*(1+Inputs!$B$28)^($A115/12)*IF(Inputs!$B$73=1,$G115,1)*(1-Inputs!$C$73*$H115*(1-Inputs!$E$54*Inputs!$B$73))*(1+$I115)*IF(Inputs!$B$29=0,1,(MAX(CT114,0)/Inputs!$B$6)^Inputs!$B$29)</f>
        <v>19335.735797932699</v>
      </c>
      <c r="CR115" s="38">
        <f>Inputs!$B$32*CT114/Inputs!$B$6</f>
        <v>0</v>
      </c>
      <c r="CS115" s="38">
        <f>Inputs!$B$33</f>
        <v>2500</v>
      </c>
      <c r="CT115" s="38">
        <f t="shared" si="86"/>
        <v>0</v>
      </c>
      <c r="CU115" s="38">
        <f t="shared" si="87"/>
        <v>0</v>
      </c>
      <c r="CV115" s="38">
        <f>Inputs!$B$19*(1-Inputs!$C$73*$H115)+Inputs!$B$21+Inputs!$B$73*$J115</f>
        <v>583500</v>
      </c>
      <c r="CW115" s="38">
        <f t="shared" si="88"/>
        <v>-583500</v>
      </c>
      <c r="CX115" s="38">
        <f t="shared" si="89"/>
        <v>1</v>
      </c>
      <c r="CY115" s="38">
        <f>MAX(0,MIN(Inputs!$C$36,DD114,CZ115+DA115+DB115+Inputs!$C$6-DC114))</f>
        <v>0</v>
      </c>
      <c r="CZ115" s="38">
        <f>Inputs!$C$27*(1+Inputs!$C$28)^($A115/12)*IF(Inputs!$B$73=1,$G115,1)*(1-Inputs!$C$73*$H115*(1-Inputs!$E$54*Inputs!$B$73))*(1+$I115)*IF(Inputs!$C$29=0,1,(MAX(DC114,0)/Inputs!$C$6)^Inputs!$C$29)</f>
        <v>0</v>
      </c>
      <c r="DA115" s="38">
        <f>Inputs!$C$32*DC114/Inputs!$C$6</f>
        <v>0</v>
      </c>
      <c r="DB115" s="38">
        <f>Inputs!$C$33</f>
        <v>2000</v>
      </c>
      <c r="DC115" s="38">
        <f t="shared" si="90"/>
        <v>0</v>
      </c>
      <c r="DD115" s="38">
        <f t="shared" si="91"/>
        <v>0</v>
      </c>
      <c r="DE115" s="38">
        <f>Inputs!$C$19*(1-Inputs!$C$73*$H115)+Inputs!$C$21+Inputs!$B$73*$J115</f>
        <v>486000</v>
      </c>
      <c r="DF115" s="38">
        <f t="shared" si="92"/>
        <v>-486000</v>
      </c>
      <c r="DG115" s="38">
        <f t="shared" si="93"/>
        <v>1</v>
      </c>
      <c r="DH115" s="38">
        <f>MAX(0,MIN(Inputs!$D$36,DM114,DI115+DJ115+DK115+Inputs!$D$6-DL114))</f>
        <v>0</v>
      </c>
      <c r="DI115" s="38">
        <f>Inputs!$D$27*(1+Inputs!$D$28)^($A115/12)*IF(Inputs!$B$73=1,$G115,1)*(1-Inputs!$C$73*$H115*(1-Inputs!$E$54*Inputs!$B$73))*(1+$I115)*IF(Inputs!$D$29=0,1,(MAX(DL114,0)/Inputs!$D$6)^Inputs!$D$29)</f>
        <v>3848.307359492122</v>
      </c>
      <c r="DJ115" s="38">
        <f>Inputs!$D$32*DL114/Inputs!$D$6</f>
        <v>2344.8818075492272</v>
      </c>
      <c r="DK115" s="38">
        <f>Inputs!$D$33</f>
        <v>1500</v>
      </c>
      <c r="DL115" s="38">
        <f t="shared" si="94"/>
        <v>483615.38003374916</v>
      </c>
      <c r="DM115" s="38">
        <f t="shared" si="95"/>
        <v>0</v>
      </c>
      <c r="DN115" s="38">
        <f>Inputs!$D$19*(1-Inputs!$C$73*$H115)+Inputs!$D$21+Inputs!$B$73*$J115</f>
        <v>398150</v>
      </c>
      <c r="DO115" s="38">
        <f t="shared" si="96"/>
        <v>85465.380033749156</v>
      </c>
      <c r="DP115" s="38">
        <f t="shared" si="97"/>
        <v>0</v>
      </c>
    </row>
    <row r="116" spans="1:120" x14ac:dyDescent="0.35">
      <c r="A116" s="29">
        <v>111</v>
      </c>
      <c r="B116" s="34">
        <f>EDATE(Inputs!$B$67,$A116)</f>
        <v>49644</v>
      </c>
      <c r="C116" s="35">
        <f>IF(Inputs!$E$47&lt;=0,Inputs!$E$46,Inputs!$E$44+(Inputs!$E$46-Inputs!$E$44)*MIN($A116/Inputs!$E$47,1))</f>
        <v>0.7</v>
      </c>
      <c r="D116" s="35">
        <f>MIN(Inputs!$E$57,Inputs!$E$55*(1+Inputs!$E$56)^($A116/12))*Inputs!$E$58*(1+Inputs!$E$59)^($A116/12)/Inputs!$E$45</f>
        <v>1.5</v>
      </c>
      <c r="E116" s="35">
        <f>MAX(Inputs!$E$44,MIN(C116,D116))</f>
        <v>0.7</v>
      </c>
      <c r="F116" s="35">
        <f>IF(Inputs!$E$50&lt;=0,Inputs!$E$49,Inputs!$E$48+(Inputs!$E$49-Inputs!$E$48)*MIN($A116/Inputs!$E$50,1))</f>
        <v>0.12</v>
      </c>
      <c r="G116" s="36">
        <f>(Inputs!$E$41*(1-E116*Inputs!$E$51)+Inputs!$E$42*(1-F116*Inputs!$E$51))/(Inputs!$E$41*(1-Inputs!$E$44*Inputs!$E$51)+Inputs!$E$42*(1-Inputs!$E$48*Inputs!$E$51))</f>
        <v>0.8423127463863338</v>
      </c>
      <c r="H116" s="35">
        <f>IF(Inputs!$E$53&lt;=0,Inputs!$E$52,Inputs!$E$52*MIN($A116/Inputs!$E$53,1))</f>
        <v>0.1</v>
      </c>
      <c r="I116" s="35">
        <f>IF(Inputs!$E$64&lt;=0,Inputs!$E$63,Inputs!$E$62+(Inputs!$E$63-Inputs!$E$62)*MIN($A116/Inputs!$E$64,1))</f>
        <v>0.03</v>
      </c>
      <c r="J116" s="37">
        <f>(E116-Inputs!$E$44)*Inputs!$E$45/Inputs!$E$60*Inputs!$E$61</f>
        <v>5999.9999999999991</v>
      </c>
      <c r="K116" s="29">
        <f t="shared" si="49"/>
        <v>0</v>
      </c>
      <c r="L116" s="29"/>
      <c r="M116" s="38">
        <f>MAX(0,MIN(Inputs!$B$36,R115,N116+O116+P116+Inputs!$B$6-Q115))</f>
        <v>0</v>
      </c>
      <c r="N116" s="38">
        <f>Inputs!$B$27*(1+Inputs!$B$28)^($A116/12)*IF(Inputs!$B$70=1,$G116,1)*(1-Inputs!$C$70*$H116*(1-Inputs!$E$54*Inputs!$B$70))*(1+$I116)*IF(Inputs!$B$29=0,1,(MAX(Q115,0)/Inputs!$B$6)^Inputs!$B$29)</f>
        <v>24262.162108605444</v>
      </c>
      <c r="O116" s="38">
        <f>Inputs!$B$32*Q115/Inputs!$B$6</f>
        <v>0</v>
      </c>
      <c r="P116" s="38">
        <f>Inputs!$B$33</f>
        <v>2500</v>
      </c>
      <c r="Q116" s="38">
        <f t="shared" si="50"/>
        <v>0</v>
      </c>
      <c r="R116" s="38">
        <f t="shared" si="51"/>
        <v>0</v>
      </c>
      <c r="S116" s="38">
        <f>Inputs!$B$19*(1-Inputs!$C$70*$H116)+Inputs!$B$21+Inputs!$B$70*$J116</f>
        <v>595000</v>
      </c>
      <c r="T116" s="38">
        <f t="shared" si="52"/>
        <v>-595000</v>
      </c>
      <c r="U116" s="38">
        <f t="shared" si="53"/>
        <v>1</v>
      </c>
      <c r="V116" s="38">
        <f>MAX(0,MIN(Inputs!$C$36,AA115,W116+X116+Y116+Inputs!$C$6-Z115))</f>
        <v>0</v>
      </c>
      <c r="W116" s="38">
        <f>Inputs!$C$27*(1+Inputs!$C$28)^($A116/12)*IF(Inputs!$B$70=1,$G116,1)*(1-Inputs!$C$70*$H116*(1-Inputs!$E$54*Inputs!$B$70))*(1+$I116)*IF(Inputs!$C$29=0,1,(MAX(Z115,0)/Inputs!$C$6)^Inputs!$C$29)</f>
        <v>0</v>
      </c>
      <c r="X116" s="38">
        <f>Inputs!$C$32*Z115/Inputs!$C$6</f>
        <v>0</v>
      </c>
      <c r="Y116" s="38">
        <f>Inputs!$C$33</f>
        <v>2000</v>
      </c>
      <c r="Z116" s="38">
        <f t="shared" si="54"/>
        <v>0</v>
      </c>
      <c r="AA116" s="38">
        <f t="shared" si="55"/>
        <v>0</v>
      </c>
      <c r="AB116" s="38">
        <f>Inputs!$C$19*(1-Inputs!$C$70*$H116)+Inputs!$C$21+Inputs!$B$70*$J116</f>
        <v>495000</v>
      </c>
      <c r="AC116" s="38">
        <f t="shared" si="56"/>
        <v>-495000</v>
      </c>
      <c r="AD116" s="38">
        <f t="shared" si="57"/>
        <v>1</v>
      </c>
      <c r="AE116" s="38">
        <f>MAX(0,MIN(Inputs!$D$36,AJ115,AF116+AG116+AH116+Inputs!$D$6-AI115))</f>
        <v>0</v>
      </c>
      <c r="AF116" s="38">
        <f>Inputs!$D$27*(1+Inputs!$D$28)^($A116/12)*IF(Inputs!$B$70=1,$G116,1)*(1-Inputs!$C$70*$H116*(1-Inputs!$E$54*Inputs!$B$70))*(1+$I116)*IF(Inputs!$D$29=0,1,(MAX(AI115,0)/Inputs!$D$6)^Inputs!$D$29)</f>
        <v>4224.7678120579803</v>
      </c>
      <c r="AG116" s="38">
        <f>Inputs!$D$32*AI115/Inputs!$D$6</f>
        <v>1825.1301291458199</v>
      </c>
      <c r="AH116" s="38">
        <f>Inputs!$D$33</f>
        <v>1500</v>
      </c>
      <c r="AI116" s="38">
        <f t="shared" si="58"/>
        <v>374858.31959411083</v>
      </c>
      <c r="AJ116" s="38">
        <f t="shared" si="59"/>
        <v>0</v>
      </c>
      <c r="AK116" s="38">
        <f>Inputs!$D$19*(1-Inputs!$C$70*$H116)+Inputs!$D$21+Inputs!$B$70*$J116</f>
        <v>404800</v>
      </c>
      <c r="AL116" s="38">
        <f t="shared" si="60"/>
        <v>-29941.680405889172</v>
      </c>
      <c r="AM116" s="38">
        <f t="shared" si="61"/>
        <v>1</v>
      </c>
      <c r="AN116" s="38">
        <f>MAX(0,MIN(Inputs!$B$36,AS115,AO116+AP116+AQ116+Inputs!$B$6-AR115))</f>
        <v>0</v>
      </c>
      <c r="AO116" s="38">
        <f>Inputs!$B$27*(1+Inputs!$B$28)^($A116/12)*IF(Inputs!$B$71=1,$G116,1)*(1-Inputs!$C$71*$H116*(1-Inputs!$E$54*Inputs!$B$71))*(1+$I116)*IF(Inputs!$B$29=0,1,(MAX(AR115,0)/Inputs!$B$6)^Inputs!$B$29)</f>
        <v>20436.328398969894</v>
      </c>
      <c r="AP116" s="38">
        <f>Inputs!$B$32*AR115/Inputs!$B$6</f>
        <v>0</v>
      </c>
      <c r="AQ116" s="38">
        <f>Inputs!$B$33</f>
        <v>2500</v>
      </c>
      <c r="AR116" s="38">
        <f t="shared" si="62"/>
        <v>0</v>
      </c>
      <c r="AS116" s="38">
        <f t="shared" si="63"/>
        <v>0</v>
      </c>
      <c r="AT116" s="38">
        <f>Inputs!$B$19*(1-Inputs!$C$71*$H116)+Inputs!$B$21+Inputs!$B$71*$J116</f>
        <v>601000</v>
      </c>
      <c r="AU116" s="38">
        <f t="shared" si="64"/>
        <v>-601000</v>
      </c>
      <c r="AV116" s="38">
        <f t="shared" si="65"/>
        <v>1</v>
      </c>
      <c r="AW116" s="38">
        <f>MAX(0,MIN(Inputs!$C$36,BB115,AX116+AY116+AZ116+Inputs!$C$6-BA115))</f>
        <v>0</v>
      </c>
      <c r="AX116" s="38">
        <f>Inputs!$C$27*(1+Inputs!$C$28)^($A116/12)*IF(Inputs!$B$71=1,$G116,1)*(1-Inputs!$C$71*$H116*(1-Inputs!$E$54*Inputs!$B$71))*(1+$I116)*IF(Inputs!$C$29=0,1,(MAX(BA115,0)/Inputs!$C$6)^Inputs!$C$29)</f>
        <v>0</v>
      </c>
      <c r="AY116" s="38">
        <f>Inputs!$C$32*BA115/Inputs!$C$6</f>
        <v>0</v>
      </c>
      <c r="AZ116" s="38">
        <f>Inputs!$C$33</f>
        <v>2000</v>
      </c>
      <c r="BA116" s="38">
        <f t="shared" si="66"/>
        <v>0</v>
      </c>
      <c r="BB116" s="38">
        <f t="shared" si="67"/>
        <v>0</v>
      </c>
      <c r="BC116" s="38">
        <f>Inputs!$C$19*(1-Inputs!$C$71*$H116)+Inputs!$C$21+Inputs!$B$71*$J116</f>
        <v>501000</v>
      </c>
      <c r="BD116" s="38">
        <f t="shared" si="68"/>
        <v>-501000</v>
      </c>
      <c r="BE116" s="38">
        <f t="shared" si="69"/>
        <v>1</v>
      </c>
      <c r="BF116" s="38">
        <f>MAX(0,MIN(Inputs!$D$36,BK115,BG116+BH116+BI116+Inputs!$D$6-BJ115))</f>
        <v>0</v>
      </c>
      <c r="BG116" s="38">
        <f>Inputs!$D$27*(1+Inputs!$D$28)^($A116/12)*IF(Inputs!$B$71=1,$G116,1)*(1-Inputs!$C$71*$H116*(1-Inputs!$E$54*Inputs!$B$71))*(1+$I116)*IF(Inputs!$D$29=0,1,(MAX(BJ115,0)/Inputs!$D$6)^Inputs!$D$29)</f>
        <v>3916.7956013138842</v>
      </c>
      <c r="BH116" s="38">
        <f>Inputs!$D$32*BJ115/Inputs!$D$6</f>
        <v>2211.0736777698648</v>
      </c>
      <c r="BI116" s="38">
        <f>Inputs!$D$33</f>
        <v>1500</v>
      </c>
      <c r="BJ116" s="38">
        <f t="shared" si="70"/>
        <v>455644.71082507842</v>
      </c>
      <c r="BK116" s="38">
        <f t="shared" si="71"/>
        <v>0</v>
      </c>
      <c r="BL116" s="38">
        <f>Inputs!$D$19*(1-Inputs!$C$71*$H116)+Inputs!$D$21+Inputs!$B$71*$J116</f>
        <v>410800</v>
      </c>
      <c r="BM116" s="38">
        <f t="shared" si="72"/>
        <v>44844.710825078422</v>
      </c>
      <c r="BN116" s="38">
        <f t="shared" si="73"/>
        <v>0</v>
      </c>
      <c r="BO116" s="38">
        <f>MAX(0,MIN(Inputs!$B$36,BT115,BP116+BQ116+BR116+Inputs!$B$6-BS115))</f>
        <v>0</v>
      </c>
      <c r="BP116" s="38">
        <f>Inputs!$B$27*(1+Inputs!$B$28)^($A116/12)*IF(Inputs!$B$72=1,$G116,1)*(1-Inputs!$C$72*$H116*(1-Inputs!$E$54*Inputs!$B$72))*(1+$I116)*IF(Inputs!$B$29=0,1,(MAX(BS115,0)/Inputs!$B$6)^Inputs!$B$29)</f>
        <v>21835.945897744899</v>
      </c>
      <c r="BQ116" s="38">
        <f>Inputs!$B$32*BS115/Inputs!$B$6</f>
        <v>0</v>
      </c>
      <c r="BR116" s="38">
        <f>Inputs!$B$33</f>
        <v>2500</v>
      </c>
      <c r="BS116" s="38">
        <f t="shared" si="74"/>
        <v>0</v>
      </c>
      <c r="BT116" s="38">
        <f t="shared" si="75"/>
        <v>0</v>
      </c>
      <c r="BU116" s="38">
        <f>Inputs!$B$19*(1-Inputs!$C$72*$H116)+Inputs!$B$21+Inputs!$B$72*$J116</f>
        <v>577500</v>
      </c>
      <c r="BV116" s="38">
        <f t="shared" si="76"/>
        <v>-577500</v>
      </c>
      <c r="BW116" s="38">
        <f t="shared" si="77"/>
        <v>1</v>
      </c>
      <c r="BX116" s="38">
        <f>MAX(0,MIN(Inputs!$C$36,CC115,BY116+BZ116+CA116+Inputs!$C$6-CB115))</f>
        <v>0</v>
      </c>
      <c r="BY116" s="38">
        <f>Inputs!$C$27*(1+Inputs!$C$28)^($A116/12)*IF(Inputs!$B$72=1,$G116,1)*(1-Inputs!$C$72*$H116*(1-Inputs!$E$54*Inputs!$B$72))*(1+$I116)*IF(Inputs!$C$29=0,1,(MAX(CB115,0)/Inputs!$C$6)^Inputs!$C$29)</f>
        <v>0</v>
      </c>
      <c r="BZ116" s="38">
        <f>Inputs!$C$32*CB115/Inputs!$C$6</f>
        <v>0</v>
      </c>
      <c r="CA116" s="38">
        <f>Inputs!$C$33</f>
        <v>2000</v>
      </c>
      <c r="CB116" s="38">
        <f t="shared" si="78"/>
        <v>0</v>
      </c>
      <c r="CC116" s="38">
        <f t="shared" si="79"/>
        <v>0</v>
      </c>
      <c r="CD116" s="38">
        <f>Inputs!$C$19*(1-Inputs!$C$72*$H116)+Inputs!$C$21+Inputs!$B$72*$J116</f>
        <v>480000</v>
      </c>
      <c r="CE116" s="38">
        <f t="shared" si="80"/>
        <v>-480000</v>
      </c>
      <c r="CF116" s="38">
        <f t="shared" si="81"/>
        <v>1</v>
      </c>
      <c r="CG116" s="38">
        <f>MAX(0,MIN(Inputs!$D$36,CL115,CH116+CI116+CJ116+Inputs!$D$6-CK115))</f>
        <v>0</v>
      </c>
      <c r="CH116" s="38">
        <f>Inputs!$D$27*(1+Inputs!$D$28)^($A116/12)*IF(Inputs!$B$72=1,$G116,1)*(1-Inputs!$C$72*$H116*(1-Inputs!$E$54*Inputs!$B$72))*(1+$I116)*IF(Inputs!$D$29=0,1,(MAX(CK115,0)/Inputs!$D$6)^Inputs!$D$29)</f>
        <v>4017.0440614508566</v>
      </c>
      <c r="CI116" s="38">
        <f>Inputs!$D$32*CK115/Inputs!$D$6</f>
        <v>2037.118604078285</v>
      </c>
      <c r="CJ116" s="38">
        <f>Inputs!$D$33</f>
        <v>1500</v>
      </c>
      <c r="CK116" s="38">
        <f t="shared" si="82"/>
        <v>419270.68771277816</v>
      </c>
      <c r="CL116" s="38">
        <f t="shared" si="83"/>
        <v>0</v>
      </c>
      <c r="CM116" s="38">
        <f>Inputs!$D$19*(1-Inputs!$C$72*$H116)+Inputs!$D$21+Inputs!$B$72*$J116</f>
        <v>392150</v>
      </c>
      <c r="CN116" s="38">
        <f t="shared" si="84"/>
        <v>27120.687712778163</v>
      </c>
      <c r="CO116" s="38">
        <f t="shared" si="85"/>
        <v>0</v>
      </c>
      <c r="CP116" s="38">
        <f>MAX(0,MIN(Inputs!$B$36,CU115,CQ116+CR116+CS116+Inputs!$B$6-CT115))</f>
        <v>0</v>
      </c>
      <c r="CQ116" s="38">
        <f>Inputs!$B$27*(1+Inputs!$B$28)^($A116/12)*IF(Inputs!$B$73=1,$G116,1)*(1-Inputs!$C$73*$H116*(1-Inputs!$E$54*Inputs!$B$73))*(1+$I116)*IF(Inputs!$B$29=0,1,(MAX(CT115,0)/Inputs!$B$6)^Inputs!$B$29)</f>
        <v>19414.511979021398</v>
      </c>
      <c r="CR116" s="38">
        <f>Inputs!$B$32*CT115/Inputs!$B$6</f>
        <v>0</v>
      </c>
      <c r="CS116" s="38">
        <f>Inputs!$B$33</f>
        <v>2500</v>
      </c>
      <c r="CT116" s="38">
        <f t="shared" si="86"/>
        <v>0</v>
      </c>
      <c r="CU116" s="38">
        <f t="shared" si="87"/>
        <v>0</v>
      </c>
      <c r="CV116" s="38">
        <f>Inputs!$B$19*(1-Inputs!$C$73*$H116)+Inputs!$B$21+Inputs!$B$73*$J116</f>
        <v>583500</v>
      </c>
      <c r="CW116" s="38">
        <f t="shared" si="88"/>
        <v>-583500</v>
      </c>
      <c r="CX116" s="38">
        <f t="shared" si="89"/>
        <v>1</v>
      </c>
      <c r="CY116" s="38">
        <f>MAX(0,MIN(Inputs!$C$36,DD115,CZ116+DA116+DB116+Inputs!$C$6-DC115))</f>
        <v>0</v>
      </c>
      <c r="CZ116" s="38">
        <f>Inputs!$C$27*(1+Inputs!$C$28)^($A116/12)*IF(Inputs!$B$73=1,$G116,1)*(1-Inputs!$C$73*$H116*(1-Inputs!$E$54*Inputs!$B$73))*(1+$I116)*IF(Inputs!$C$29=0,1,(MAX(DC115,0)/Inputs!$C$6)^Inputs!$C$29)</f>
        <v>0</v>
      </c>
      <c r="DA116" s="38">
        <f>Inputs!$C$32*DC115/Inputs!$C$6</f>
        <v>0</v>
      </c>
      <c r="DB116" s="38">
        <f>Inputs!$C$33</f>
        <v>2000</v>
      </c>
      <c r="DC116" s="38">
        <f t="shared" si="90"/>
        <v>0</v>
      </c>
      <c r="DD116" s="38">
        <f t="shared" si="91"/>
        <v>0</v>
      </c>
      <c r="DE116" s="38">
        <f>Inputs!$C$19*(1-Inputs!$C$73*$H116)+Inputs!$C$21+Inputs!$B$73*$J116</f>
        <v>486000</v>
      </c>
      <c r="DF116" s="38">
        <f t="shared" si="92"/>
        <v>-486000</v>
      </c>
      <c r="DG116" s="38">
        <f t="shared" si="93"/>
        <v>1</v>
      </c>
      <c r="DH116" s="38">
        <f>MAX(0,MIN(Inputs!$D$36,DM115,DI116+DJ116+DK116+Inputs!$D$6-DL115))</f>
        <v>0</v>
      </c>
      <c r="DI116" s="38">
        <f>Inputs!$D$27*(1+Inputs!$D$28)^($A116/12)*IF(Inputs!$B$73=1,$G116,1)*(1-Inputs!$C$73*$H116*(1-Inputs!$E$54*Inputs!$B$73))*(1+$I116)*IF(Inputs!$D$29=0,1,(MAX(DL115,0)/Inputs!$D$6)^Inputs!$D$29)</f>
        <v>3801.773748737829</v>
      </c>
      <c r="DJ116" s="38">
        <f>Inputs!$D$32*DL115/Inputs!$D$6</f>
        <v>2308.1643137974393</v>
      </c>
      <c r="DK116" s="38">
        <f>Inputs!$D$33</f>
        <v>1500</v>
      </c>
      <c r="DL116" s="38">
        <f t="shared" si="94"/>
        <v>476005.44197121391</v>
      </c>
      <c r="DM116" s="38">
        <f t="shared" si="95"/>
        <v>0</v>
      </c>
      <c r="DN116" s="38">
        <f>Inputs!$D$19*(1-Inputs!$C$73*$H116)+Inputs!$D$21+Inputs!$B$73*$J116</f>
        <v>398150</v>
      </c>
      <c r="DO116" s="38">
        <f t="shared" si="96"/>
        <v>77855.441971213906</v>
      </c>
      <c r="DP116" s="38">
        <f t="shared" si="97"/>
        <v>0</v>
      </c>
    </row>
    <row r="117" spans="1:120" x14ac:dyDescent="0.35">
      <c r="A117" s="29">
        <v>112</v>
      </c>
      <c r="B117" s="34">
        <f>EDATE(Inputs!$B$67,$A117)</f>
        <v>49675</v>
      </c>
      <c r="C117" s="35">
        <f>IF(Inputs!$E$47&lt;=0,Inputs!$E$46,Inputs!$E$44+(Inputs!$E$46-Inputs!$E$44)*MIN($A117/Inputs!$E$47,1))</f>
        <v>0.7</v>
      </c>
      <c r="D117" s="35">
        <f>MIN(Inputs!$E$57,Inputs!$E$55*(1+Inputs!$E$56)^($A117/12))*Inputs!$E$58*(1+Inputs!$E$59)^($A117/12)/Inputs!$E$45</f>
        <v>1.5</v>
      </c>
      <c r="E117" s="35">
        <f>MAX(Inputs!$E$44,MIN(C117,D117))</f>
        <v>0.7</v>
      </c>
      <c r="F117" s="35">
        <f>IF(Inputs!$E$50&lt;=0,Inputs!$E$49,Inputs!$E$48+(Inputs!$E$49-Inputs!$E$48)*MIN($A117/Inputs!$E$50,1))</f>
        <v>0.12</v>
      </c>
      <c r="G117" s="36">
        <f>(Inputs!$E$41*(1-E117*Inputs!$E$51)+Inputs!$E$42*(1-F117*Inputs!$E$51))/(Inputs!$E$41*(1-Inputs!$E$44*Inputs!$E$51)+Inputs!$E$42*(1-Inputs!$E$48*Inputs!$E$51))</f>
        <v>0.8423127463863338</v>
      </c>
      <c r="H117" s="35">
        <f>IF(Inputs!$E$53&lt;=0,Inputs!$E$52,Inputs!$E$52*MIN($A117/Inputs!$E$53,1))</f>
        <v>0.1</v>
      </c>
      <c r="I117" s="35">
        <f>IF(Inputs!$E$64&lt;=0,Inputs!$E$63,Inputs!$E$62+(Inputs!$E$63-Inputs!$E$62)*MIN($A117/Inputs!$E$64,1))</f>
        <v>0.03</v>
      </c>
      <c r="J117" s="37">
        <f>(E117-Inputs!$E$44)*Inputs!$E$45/Inputs!$E$60*Inputs!$E$61</f>
        <v>5999.9999999999991</v>
      </c>
      <c r="K117" s="29">
        <f t="shared" si="49"/>
        <v>0</v>
      </c>
      <c r="L117" s="29"/>
      <c r="M117" s="38">
        <f>MAX(0,MIN(Inputs!$B$36,R116,N117+O117+P117+Inputs!$B$6-Q116))</f>
        <v>0</v>
      </c>
      <c r="N117" s="38">
        <f>Inputs!$B$27*(1+Inputs!$B$28)^($A117/12)*IF(Inputs!$B$70=1,$G117,1)*(1-Inputs!$C$70*$H117*(1-Inputs!$E$54*Inputs!$B$70))*(1+$I117)*IF(Inputs!$B$29=0,1,(MAX(Q116,0)/Inputs!$B$6)^Inputs!$B$29)</f>
        <v>24361.009160294845</v>
      </c>
      <c r="O117" s="38">
        <f>Inputs!$B$32*Q116/Inputs!$B$6</f>
        <v>0</v>
      </c>
      <c r="P117" s="38">
        <f>Inputs!$B$33</f>
        <v>2500</v>
      </c>
      <c r="Q117" s="38">
        <f t="shared" si="50"/>
        <v>0</v>
      </c>
      <c r="R117" s="38">
        <f t="shared" si="51"/>
        <v>0</v>
      </c>
      <c r="S117" s="38">
        <f>Inputs!$B$19*(1-Inputs!$C$70*$H117)+Inputs!$B$21+Inputs!$B$70*$J117</f>
        <v>595000</v>
      </c>
      <c r="T117" s="38">
        <f t="shared" si="52"/>
        <v>-595000</v>
      </c>
      <c r="U117" s="38">
        <f t="shared" si="53"/>
        <v>1</v>
      </c>
      <c r="V117" s="38">
        <f>MAX(0,MIN(Inputs!$C$36,AA116,W117+X117+Y117+Inputs!$C$6-Z116))</f>
        <v>0</v>
      </c>
      <c r="W117" s="38">
        <f>Inputs!$C$27*(1+Inputs!$C$28)^($A117/12)*IF(Inputs!$B$70=1,$G117,1)*(1-Inputs!$C$70*$H117*(1-Inputs!$E$54*Inputs!$B$70))*(1+$I117)*IF(Inputs!$C$29=0,1,(MAX(Z116,0)/Inputs!$C$6)^Inputs!$C$29)</f>
        <v>0</v>
      </c>
      <c r="X117" s="38">
        <f>Inputs!$C$32*Z116/Inputs!$C$6</f>
        <v>0</v>
      </c>
      <c r="Y117" s="38">
        <f>Inputs!$C$33</f>
        <v>2000</v>
      </c>
      <c r="Z117" s="38">
        <f t="shared" si="54"/>
        <v>0</v>
      </c>
      <c r="AA117" s="38">
        <f t="shared" si="55"/>
        <v>0</v>
      </c>
      <c r="AB117" s="38">
        <f>Inputs!$C$19*(1-Inputs!$C$70*$H117)+Inputs!$C$21+Inputs!$B$70*$J117</f>
        <v>495000</v>
      </c>
      <c r="AC117" s="38">
        <f t="shared" si="56"/>
        <v>-495000</v>
      </c>
      <c r="AD117" s="38">
        <f t="shared" si="57"/>
        <v>1</v>
      </c>
      <c r="AE117" s="38">
        <f>MAX(0,MIN(Inputs!$D$36,AJ116,AF117+AG117+AH117+Inputs!$D$6-AI116))</f>
        <v>0</v>
      </c>
      <c r="AF117" s="38">
        <f>Inputs!$D$27*(1+Inputs!$D$28)^($A117/12)*IF(Inputs!$B$70=1,$G117,1)*(1-Inputs!$C$70*$H117*(1-Inputs!$E$54*Inputs!$B$70))*(1+$I117)*IF(Inputs!$D$29=0,1,(MAX(AI116,0)/Inputs!$D$6)^Inputs!$D$29)</f>
        <v>4165.0138348171849</v>
      </c>
      <c r="AG117" s="38">
        <f>Inputs!$D$32*AI116/Inputs!$D$6</f>
        <v>1789.0965253355289</v>
      </c>
      <c r="AH117" s="38">
        <f>Inputs!$D$33</f>
        <v>1500</v>
      </c>
      <c r="AI117" s="38">
        <f t="shared" si="58"/>
        <v>367404.20923395816</v>
      </c>
      <c r="AJ117" s="38">
        <f t="shared" si="59"/>
        <v>0</v>
      </c>
      <c r="AK117" s="38">
        <f>Inputs!$D$19*(1-Inputs!$C$70*$H117)+Inputs!$D$21+Inputs!$B$70*$J117</f>
        <v>404800</v>
      </c>
      <c r="AL117" s="38">
        <f t="shared" si="60"/>
        <v>-37395.790766041842</v>
      </c>
      <c r="AM117" s="38">
        <f t="shared" si="61"/>
        <v>1</v>
      </c>
      <c r="AN117" s="38">
        <f>MAX(0,MIN(Inputs!$B$36,AS116,AO117+AP117+AQ117+Inputs!$B$6-AR116))</f>
        <v>0</v>
      </c>
      <c r="AO117" s="38">
        <f>Inputs!$B$27*(1+Inputs!$B$28)^($A117/12)*IF(Inputs!$B$71=1,$G117,1)*(1-Inputs!$C$71*$H117*(1-Inputs!$E$54*Inputs!$B$71))*(1+$I117)*IF(Inputs!$B$29=0,1,(MAX(AR116,0)/Inputs!$B$6)^Inputs!$B$29)</f>
        <v>20519.588530550587</v>
      </c>
      <c r="AP117" s="38">
        <f>Inputs!$B$32*AR116/Inputs!$B$6</f>
        <v>0</v>
      </c>
      <c r="AQ117" s="38">
        <f>Inputs!$B$33</f>
        <v>2500</v>
      </c>
      <c r="AR117" s="38">
        <f t="shared" si="62"/>
        <v>0</v>
      </c>
      <c r="AS117" s="38">
        <f t="shared" si="63"/>
        <v>0</v>
      </c>
      <c r="AT117" s="38">
        <f>Inputs!$B$19*(1-Inputs!$C$71*$H117)+Inputs!$B$21+Inputs!$B$71*$J117</f>
        <v>601000</v>
      </c>
      <c r="AU117" s="38">
        <f t="shared" si="64"/>
        <v>-601000</v>
      </c>
      <c r="AV117" s="38">
        <f t="shared" si="65"/>
        <v>1</v>
      </c>
      <c r="AW117" s="38">
        <f>MAX(0,MIN(Inputs!$C$36,BB116,AX117+AY117+AZ117+Inputs!$C$6-BA116))</f>
        <v>0</v>
      </c>
      <c r="AX117" s="38">
        <f>Inputs!$C$27*(1+Inputs!$C$28)^($A117/12)*IF(Inputs!$B$71=1,$G117,1)*(1-Inputs!$C$71*$H117*(1-Inputs!$E$54*Inputs!$B$71))*(1+$I117)*IF(Inputs!$C$29=0,1,(MAX(BA116,0)/Inputs!$C$6)^Inputs!$C$29)</f>
        <v>0</v>
      </c>
      <c r="AY117" s="38">
        <f>Inputs!$C$32*BA116/Inputs!$C$6</f>
        <v>0</v>
      </c>
      <c r="AZ117" s="38">
        <f>Inputs!$C$33</f>
        <v>2000</v>
      </c>
      <c r="BA117" s="38">
        <f t="shared" si="66"/>
        <v>0</v>
      </c>
      <c r="BB117" s="38">
        <f t="shared" si="67"/>
        <v>0</v>
      </c>
      <c r="BC117" s="38">
        <f>Inputs!$C$19*(1-Inputs!$C$71*$H117)+Inputs!$C$21+Inputs!$B$71*$J117</f>
        <v>501000</v>
      </c>
      <c r="BD117" s="38">
        <f t="shared" si="68"/>
        <v>-501000</v>
      </c>
      <c r="BE117" s="38">
        <f t="shared" si="69"/>
        <v>1</v>
      </c>
      <c r="BF117" s="38">
        <f>MAX(0,MIN(Inputs!$D$36,BK116,BG117+BH117+BI117+Inputs!$D$6-BJ116))</f>
        <v>0</v>
      </c>
      <c r="BG117" s="38">
        <f>Inputs!$D$27*(1+Inputs!$D$28)^($A117/12)*IF(Inputs!$B$71=1,$G117,1)*(1-Inputs!$C$71*$H117*(1-Inputs!$E$54*Inputs!$B$71))*(1+$I117)*IF(Inputs!$D$29=0,1,(MAX(BJ116,0)/Inputs!$D$6)^Inputs!$D$29)</f>
        <v>3867.8481071339888</v>
      </c>
      <c r="BH117" s="38">
        <f>Inputs!$D$32*BJ116/Inputs!$D$6</f>
        <v>2174.6679380287833</v>
      </c>
      <c r="BI117" s="38">
        <f>Inputs!$D$33</f>
        <v>1500</v>
      </c>
      <c r="BJ117" s="38">
        <f t="shared" si="70"/>
        <v>448102.19477991562</v>
      </c>
      <c r="BK117" s="38">
        <f t="shared" si="71"/>
        <v>0</v>
      </c>
      <c r="BL117" s="38">
        <f>Inputs!$D$19*(1-Inputs!$C$71*$H117)+Inputs!$D$21+Inputs!$B$71*$J117</f>
        <v>410800</v>
      </c>
      <c r="BM117" s="38">
        <f t="shared" si="72"/>
        <v>37302.194779915619</v>
      </c>
      <c r="BN117" s="38">
        <f t="shared" si="73"/>
        <v>0</v>
      </c>
      <c r="BO117" s="38">
        <f>MAX(0,MIN(Inputs!$B$36,BT116,BP117+BQ117+BR117+Inputs!$B$6-BS116))</f>
        <v>0</v>
      </c>
      <c r="BP117" s="38">
        <f>Inputs!$B$27*(1+Inputs!$B$28)^($A117/12)*IF(Inputs!$B$72=1,$G117,1)*(1-Inputs!$C$72*$H117*(1-Inputs!$E$54*Inputs!$B$72))*(1+$I117)*IF(Inputs!$B$29=0,1,(MAX(BS116,0)/Inputs!$B$6)^Inputs!$B$29)</f>
        <v>21924.90824426536</v>
      </c>
      <c r="BQ117" s="38">
        <f>Inputs!$B$32*BS116/Inputs!$B$6</f>
        <v>0</v>
      </c>
      <c r="BR117" s="38">
        <f>Inputs!$B$33</f>
        <v>2500</v>
      </c>
      <c r="BS117" s="38">
        <f t="shared" si="74"/>
        <v>0</v>
      </c>
      <c r="BT117" s="38">
        <f t="shared" si="75"/>
        <v>0</v>
      </c>
      <c r="BU117" s="38">
        <f>Inputs!$B$19*(1-Inputs!$C$72*$H117)+Inputs!$B$21+Inputs!$B$72*$J117</f>
        <v>577500</v>
      </c>
      <c r="BV117" s="38">
        <f t="shared" si="76"/>
        <v>-577500</v>
      </c>
      <c r="BW117" s="38">
        <f t="shared" si="77"/>
        <v>1</v>
      </c>
      <c r="BX117" s="38">
        <f>MAX(0,MIN(Inputs!$C$36,CC116,BY117+BZ117+CA117+Inputs!$C$6-CB116))</f>
        <v>0</v>
      </c>
      <c r="BY117" s="38">
        <f>Inputs!$C$27*(1+Inputs!$C$28)^($A117/12)*IF(Inputs!$B$72=1,$G117,1)*(1-Inputs!$C$72*$H117*(1-Inputs!$E$54*Inputs!$B$72))*(1+$I117)*IF(Inputs!$C$29=0,1,(MAX(CB116,0)/Inputs!$C$6)^Inputs!$C$29)</f>
        <v>0</v>
      </c>
      <c r="BZ117" s="38">
        <f>Inputs!$C$32*CB116/Inputs!$C$6</f>
        <v>0</v>
      </c>
      <c r="CA117" s="38">
        <f>Inputs!$C$33</f>
        <v>2000</v>
      </c>
      <c r="CB117" s="38">
        <f t="shared" si="78"/>
        <v>0</v>
      </c>
      <c r="CC117" s="38">
        <f t="shared" si="79"/>
        <v>0</v>
      </c>
      <c r="CD117" s="38">
        <f>Inputs!$C$19*(1-Inputs!$C$72*$H117)+Inputs!$C$21+Inputs!$B$72*$J117</f>
        <v>480000</v>
      </c>
      <c r="CE117" s="38">
        <f t="shared" si="80"/>
        <v>-480000</v>
      </c>
      <c r="CF117" s="38">
        <f t="shared" si="81"/>
        <v>1</v>
      </c>
      <c r="CG117" s="38">
        <f>MAX(0,MIN(Inputs!$D$36,CL116,CH117+CI117+CJ117+Inputs!$D$6-CK116))</f>
        <v>0</v>
      </c>
      <c r="CH117" s="38">
        <f>Inputs!$D$27*(1+Inputs!$D$28)^($A117/12)*IF(Inputs!$B$72=1,$G117,1)*(1-Inputs!$C$72*$H117*(1-Inputs!$E$54*Inputs!$B$72))*(1+$I117)*IF(Inputs!$D$29=0,1,(MAX(CK116,0)/Inputs!$D$6)^Inputs!$D$29)</f>
        <v>3964.3558528361823</v>
      </c>
      <c r="CI117" s="38">
        <f>Inputs!$D$32*CK116/Inputs!$D$6</f>
        <v>2001.0646459018956</v>
      </c>
      <c r="CJ117" s="38">
        <f>Inputs!$D$33</f>
        <v>1500</v>
      </c>
      <c r="CK117" s="38">
        <f t="shared" si="82"/>
        <v>411805.2672140401</v>
      </c>
      <c r="CL117" s="38">
        <f t="shared" si="83"/>
        <v>0</v>
      </c>
      <c r="CM117" s="38">
        <f>Inputs!$D$19*(1-Inputs!$C$72*$H117)+Inputs!$D$21+Inputs!$B$72*$J117</f>
        <v>392150</v>
      </c>
      <c r="CN117" s="38">
        <f t="shared" si="84"/>
        <v>19655.267214040097</v>
      </c>
      <c r="CO117" s="38">
        <f t="shared" si="85"/>
        <v>0</v>
      </c>
      <c r="CP117" s="38">
        <f>MAX(0,MIN(Inputs!$B$36,CU116,CQ117+CR117+CS117+Inputs!$B$6-CT116))</f>
        <v>0</v>
      </c>
      <c r="CQ117" s="38">
        <f>Inputs!$B$27*(1+Inputs!$B$28)^($A117/12)*IF(Inputs!$B$73=1,$G117,1)*(1-Inputs!$C$73*$H117*(1-Inputs!$E$54*Inputs!$B$73))*(1+$I117)*IF(Inputs!$B$29=0,1,(MAX(CT116,0)/Inputs!$B$6)^Inputs!$B$29)</f>
        <v>19493.609104023057</v>
      </c>
      <c r="CR117" s="38">
        <f>Inputs!$B$32*CT116/Inputs!$B$6</f>
        <v>0</v>
      </c>
      <c r="CS117" s="38">
        <f>Inputs!$B$33</f>
        <v>2500</v>
      </c>
      <c r="CT117" s="38">
        <f t="shared" si="86"/>
        <v>0</v>
      </c>
      <c r="CU117" s="38">
        <f t="shared" si="87"/>
        <v>0</v>
      </c>
      <c r="CV117" s="38">
        <f>Inputs!$B$19*(1-Inputs!$C$73*$H117)+Inputs!$B$21+Inputs!$B$73*$J117</f>
        <v>583500</v>
      </c>
      <c r="CW117" s="38">
        <f t="shared" si="88"/>
        <v>-583500</v>
      </c>
      <c r="CX117" s="38">
        <f t="shared" si="89"/>
        <v>1</v>
      </c>
      <c r="CY117" s="38">
        <f>MAX(0,MIN(Inputs!$C$36,DD116,CZ117+DA117+DB117+Inputs!$C$6-DC116))</f>
        <v>0</v>
      </c>
      <c r="CZ117" s="38">
        <f>Inputs!$C$27*(1+Inputs!$C$28)^($A117/12)*IF(Inputs!$B$73=1,$G117,1)*(1-Inputs!$C$73*$H117*(1-Inputs!$E$54*Inputs!$B$73))*(1+$I117)*IF(Inputs!$C$29=0,1,(MAX(DC116,0)/Inputs!$C$6)^Inputs!$C$29)</f>
        <v>0</v>
      </c>
      <c r="DA117" s="38">
        <f>Inputs!$C$32*DC116/Inputs!$C$6</f>
        <v>0</v>
      </c>
      <c r="DB117" s="38">
        <f>Inputs!$C$33</f>
        <v>2000</v>
      </c>
      <c r="DC117" s="38">
        <f t="shared" si="90"/>
        <v>0</v>
      </c>
      <c r="DD117" s="38">
        <f t="shared" si="91"/>
        <v>0</v>
      </c>
      <c r="DE117" s="38">
        <f>Inputs!$C$19*(1-Inputs!$C$73*$H117)+Inputs!$C$21+Inputs!$B$73*$J117</f>
        <v>486000</v>
      </c>
      <c r="DF117" s="38">
        <f t="shared" si="92"/>
        <v>-486000</v>
      </c>
      <c r="DG117" s="38">
        <f t="shared" si="93"/>
        <v>1</v>
      </c>
      <c r="DH117" s="38">
        <f>MAX(0,MIN(Inputs!$D$36,DM116,DI117+DJ117+DK117+Inputs!$D$6-DL116))</f>
        <v>0</v>
      </c>
      <c r="DI117" s="38">
        <f>Inputs!$D$27*(1+Inputs!$D$28)^($A117/12)*IF(Inputs!$B$73=1,$G117,1)*(1-Inputs!$C$73*$H117*(1-Inputs!$E$54*Inputs!$B$73))*(1+$I117)*IF(Inputs!$D$29=0,1,(MAX(DL116,0)/Inputs!$D$6)^Inputs!$D$29)</f>
        <v>3755.6560186626625</v>
      </c>
      <c r="DJ117" s="38">
        <f>Inputs!$D$32*DL116/Inputs!$D$6</f>
        <v>2271.844154862612</v>
      </c>
      <c r="DK117" s="38">
        <f>Inputs!$D$33</f>
        <v>1500</v>
      </c>
      <c r="DL117" s="38">
        <f t="shared" si="94"/>
        <v>468477.9417976886</v>
      </c>
      <c r="DM117" s="38">
        <f t="shared" si="95"/>
        <v>0</v>
      </c>
      <c r="DN117" s="38">
        <f>Inputs!$D$19*(1-Inputs!$C$73*$H117)+Inputs!$D$21+Inputs!$B$73*$J117</f>
        <v>398150</v>
      </c>
      <c r="DO117" s="38">
        <f t="shared" si="96"/>
        <v>70327.941797688603</v>
      </c>
      <c r="DP117" s="38">
        <f t="shared" si="97"/>
        <v>0</v>
      </c>
    </row>
    <row r="118" spans="1:120" x14ac:dyDescent="0.35">
      <c r="A118" s="29">
        <v>113</v>
      </c>
      <c r="B118" s="34">
        <f>EDATE(Inputs!$B$67,$A118)</f>
        <v>49706</v>
      </c>
      <c r="C118" s="35">
        <f>IF(Inputs!$E$47&lt;=0,Inputs!$E$46,Inputs!$E$44+(Inputs!$E$46-Inputs!$E$44)*MIN($A118/Inputs!$E$47,1))</f>
        <v>0.7</v>
      </c>
      <c r="D118" s="35">
        <f>MIN(Inputs!$E$57,Inputs!$E$55*(1+Inputs!$E$56)^($A118/12))*Inputs!$E$58*(1+Inputs!$E$59)^($A118/12)/Inputs!$E$45</f>
        <v>1.5</v>
      </c>
      <c r="E118" s="35">
        <f>MAX(Inputs!$E$44,MIN(C118,D118))</f>
        <v>0.7</v>
      </c>
      <c r="F118" s="35">
        <f>IF(Inputs!$E$50&lt;=0,Inputs!$E$49,Inputs!$E$48+(Inputs!$E$49-Inputs!$E$48)*MIN($A118/Inputs!$E$50,1))</f>
        <v>0.12</v>
      </c>
      <c r="G118" s="36">
        <f>(Inputs!$E$41*(1-E118*Inputs!$E$51)+Inputs!$E$42*(1-F118*Inputs!$E$51))/(Inputs!$E$41*(1-Inputs!$E$44*Inputs!$E$51)+Inputs!$E$42*(1-Inputs!$E$48*Inputs!$E$51))</f>
        <v>0.8423127463863338</v>
      </c>
      <c r="H118" s="35">
        <f>IF(Inputs!$E$53&lt;=0,Inputs!$E$52,Inputs!$E$52*MIN($A118/Inputs!$E$53,1))</f>
        <v>0.1</v>
      </c>
      <c r="I118" s="35">
        <f>IF(Inputs!$E$64&lt;=0,Inputs!$E$63,Inputs!$E$62+(Inputs!$E$63-Inputs!$E$62)*MIN($A118/Inputs!$E$64,1))</f>
        <v>0.03</v>
      </c>
      <c r="J118" s="37">
        <f>(E118-Inputs!$E$44)*Inputs!$E$45/Inputs!$E$60*Inputs!$E$61</f>
        <v>5999.9999999999991</v>
      </c>
      <c r="K118" s="29">
        <f t="shared" si="49"/>
        <v>0</v>
      </c>
      <c r="L118" s="29"/>
      <c r="M118" s="38">
        <f>MAX(0,MIN(Inputs!$B$36,R117,N118+O118+P118+Inputs!$B$6-Q117))</f>
        <v>0</v>
      </c>
      <c r="N118" s="38">
        <f>Inputs!$B$27*(1+Inputs!$B$28)^($A118/12)*IF(Inputs!$B$70=1,$G118,1)*(1-Inputs!$C$70*$H118*(1-Inputs!$E$54*Inputs!$B$70))*(1+$I118)*IF(Inputs!$B$29=0,1,(MAX(Q117,0)/Inputs!$B$6)^Inputs!$B$29)</f>
        <v>24460.258927108473</v>
      </c>
      <c r="O118" s="38">
        <f>Inputs!$B$32*Q117/Inputs!$B$6</f>
        <v>0</v>
      </c>
      <c r="P118" s="38">
        <f>Inputs!$B$33</f>
        <v>2500</v>
      </c>
      <c r="Q118" s="38">
        <f t="shared" si="50"/>
        <v>0</v>
      </c>
      <c r="R118" s="38">
        <f t="shared" si="51"/>
        <v>0</v>
      </c>
      <c r="S118" s="38">
        <f>Inputs!$B$19*(1-Inputs!$C$70*$H118)+Inputs!$B$21+Inputs!$B$70*$J118</f>
        <v>595000</v>
      </c>
      <c r="T118" s="38">
        <f t="shared" si="52"/>
        <v>-595000</v>
      </c>
      <c r="U118" s="38">
        <f t="shared" si="53"/>
        <v>1</v>
      </c>
      <c r="V118" s="38">
        <f>MAX(0,MIN(Inputs!$C$36,AA117,W118+X118+Y118+Inputs!$C$6-Z117))</f>
        <v>0</v>
      </c>
      <c r="W118" s="38">
        <f>Inputs!$C$27*(1+Inputs!$C$28)^($A118/12)*IF(Inputs!$B$70=1,$G118,1)*(1-Inputs!$C$70*$H118*(1-Inputs!$E$54*Inputs!$B$70))*(1+$I118)*IF(Inputs!$C$29=0,1,(MAX(Z117,0)/Inputs!$C$6)^Inputs!$C$29)</f>
        <v>0</v>
      </c>
      <c r="X118" s="38">
        <f>Inputs!$C$32*Z117/Inputs!$C$6</f>
        <v>0</v>
      </c>
      <c r="Y118" s="38">
        <f>Inputs!$C$33</f>
        <v>2000</v>
      </c>
      <c r="Z118" s="38">
        <f t="shared" si="54"/>
        <v>0</v>
      </c>
      <c r="AA118" s="38">
        <f t="shared" si="55"/>
        <v>0</v>
      </c>
      <c r="AB118" s="38">
        <f>Inputs!$C$19*(1-Inputs!$C$70*$H118)+Inputs!$C$21+Inputs!$B$70*$J118</f>
        <v>495000</v>
      </c>
      <c r="AC118" s="38">
        <f t="shared" si="56"/>
        <v>-495000</v>
      </c>
      <c r="AD118" s="38">
        <f t="shared" si="57"/>
        <v>1</v>
      </c>
      <c r="AE118" s="38">
        <f>MAX(0,MIN(Inputs!$D$36,AJ117,AF118+AG118+AH118+Inputs!$D$6-AI117))</f>
        <v>0</v>
      </c>
      <c r="AF118" s="38">
        <f>Inputs!$D$27*(1+Inputs!$D$28)^($A118/12)*IF(Inputs!$B$70=1,$G118,1)*(1-Inputs!$C$70*$H118*(1-Inputs!$E$54*Inputs!$B$70))*(1+$I118)*IF(Inputs!$D$29=0,1,(MAX(AI117,0)/Inputs!$D$6)^Inputs!$D$29)</f>
        <v>4105.8073599721074</v>
      </c>
      <c r="AG118" s="38">
        <f>Inputs!$D$32*AI117/Inputs!$D$6</f>
        <v>1753.5200895257094</v>
      </c>
      <c r="AH118" s="38">
        <f>Inputs!$D$33</f>
        <v>1500</v>
      </c>
      <c r="AI118" s="38">
        <f t="shared" si="58"/>
        <v>360044.88178446033</v>
      </c>
      <c r="AJ118" s="38">
        <f t="shared" si="59"/>
        <v>0</v>
      </c>
      <c r="AK118" s="38">
        <f>Inputs!$D$19*(1-Inputs!$C$70*$H118)+Inputs!$D$21+Inputs!$B$70*$J118</f>
        <v>404800</v>
      </c>
      <c r="AL118" s="38">
        <f t="shared" si="60"/>
        <v>-44755.118215539667</v>
      </c>
      <c r="AM118" s="38">
        <f t="shared" si="61"/>
        <v>1</v>
      </c>
      <c r="AN118" s="38">
        <f>MAX(0,MIN(Inputs!$B$36,AS117,AO118+AP118+AQ118+Inputs!$B$6-AR117))</f>
        <v>0</v>
      </c>
      <c r="AO118" s="38">
        <f>Inputs!$B$27*(1+Inputs!$B$28)^($A118/12)*IF(Inputs!$B$71=1,$G118,1)*(1-Inputs!$C$71*$H118*(1-Inputs!$E$54*Inputs!$B$71))*(1+$I118)*IF(Inputs!$B$29=0,1,(MAX(AR117,0)/Inputs!$B$6)^Inputs!$B$29)</f>
        <v>20603.187874213574</v>
      </c>
      <c r="AP118" s="38">
        <f>Inputs!$B$32*AR117/Inputs!$B$6</f>
        <v>0</v>
      </c>
      <c r="AQ118" s="38">
        <f>Inputs!$B$33</f>
        <v>2500</v>
      </c>
      <c r="AR118" s="38">
        <f t="shared" si="62"/>
        <v>0</v>
      </c>
      <c r="AS118" s="38">
        <f t="shared" si="63"/>
        <v>0</v>
      </c>
      <c r="AT118" s="38">
        <f>Inputs!$B$19*(1-Inputs!$C$71*$H118)+Inputs!$B$21+Inputs!$B$71*$J118</f>
        <v>601000</v>
      </c>
      <c r="AU118" s="38">
        <f t="shared" si="64"/>
        <v>-601000</v>
      </c>
      <c r="AV118" s="38">
        <f t="shared" si="65"/>
        <v>1</v>
      </c>
      <c r="AW118" s="38">
        <f>MAX(0,MIN(Inputs!$C$36,BB117,AX118+AY118+AZ118+Inputs!$C$6-BA117))</f>
        <v>0</v>
      </c>
      <c r="AX118" s="38">
        <f>Inputs!$C$27*(1+Inputs!$C$28)^($A118/12)*IF(Inputs!$B$71=1,$G118,1)*(1-Inputs!$C$71*$H118*(1-Inputs!$E$54*Inputs!$B$71))*(1+$I118)*IF(Inputs!$C$29=0,1,(MAX(BA117,0)/Inputs!$C$6)^Inputs!$C$29)</f>
        <v>0</v>
      </c>
      <c r="AY118" s="38">
        <f>Inputs!$C$32*BA117/Inputs!$C$6</f>
        <v>0</v>
      </c>
      <c r="AZ118" s="38">
        <f>Inputs!$C$33</f>
        <v>2000</v>
      </c>
      <c r="BA118" s="38">
        <f t="shared" si="66"/>
        <v>0</v>
      </c>
      <c r="BB118" s="38">
        <f t="shared" si="67"/>
        <v>0</v>
      </c>
      <c r="BC118" s="38">
        <f>Inputs!$C$19*(1-Inputs!$C$71*$H118)+Inputs!$C$21+Inputs!$B$71*$J118</f>
        <v>501000</v>
      </c>
      <c r="BD118" s="38">
        <f t="shared" si="68"/>
        <v>-501000</v>
      </c>
      <c r="BE118" s="38">
        <f t="shared" si="69"/>
        <v>1</v>
      </c>
      <c r="BF118" s="38">
        <f>MAX(0,MIN(Inputs!$D$36,BK117,BG118+BH118+BI118+Inputs!$D$6-BJ117))</f>
        <v>0</v>
      </c>
      <c r="BG118" s="38">
        <f>Inputs!$D$27*(1+Inputs!$D$28)^($A118/12)*IF(Inputs!$B$71=1,$G118,1)*(1-Inputs!$C$71*$H118*(1-Inputs!$E$54*Inputs!$B$71))*(1+$I118)*IF(Inputs!$D$29=0,1,(MAX(BJ117,0)/Inputs!$D$6)^Inputs!$D$29)</f>
        <v>3819.3408101896607</v>
      </c>
      <c r="BH118" s="38">
        <f>Inputs!$D$32*BJ117/Inputs!$D$6</f>
        <v>2138.6695659950519</v>
      </c>
      <c r="BI118" s="38">
        <f>Inputs!$D$33</f>
        <v>1500</v>
      </c>
      <c r="BJ118" s="38">
        <f t="shared" si="70"/>
        <v>440644.18440373091</v>
      </c>
      <c r="BK118" s="38">
        <f t="shared" si="71"/>
        <v>0</v>
      </c>
      <c r="BL118" s="38">
        <f>Inputs!$D$19*(1-Inputs!$C$71*$H118)+Inputs!$D$21+Inputs!$B$71*$J118</f>
        <v>410800</v>
      </c>
      <c r="BM118" s="38">
        <f t="shared" si="72"/>
        <v>29844.184403730906</v>
      </c>
      <c r="BN118" s="38">
        <f t="shared" si="73"/>
        <v>0</v>
      </c>
      <c r="BO118" s="38">
        <f>MAX(0,MIN(Inputs!$B$36,BT117,BP118+BQ118+BR118+Inputs!$B$6-BS117))</f>
        <v>0</v>
      </c>
      <c r="BP118" s="38">
        <f>Inputs!$B$27*(1+Inputs!$B$28)^($A118/12)*IF(Inputs!$B$72=1,$G118,1)*(1-Inputs!$C$72*$H118*(1-Inputs!$E$54*Inputs!$B$72))*(1+$I118)*IF(Inputs!$B$29=0,1,(MAX(BS117,0)/Inputs!$B$6)^Inputs!$B$29)</f>
        <v>22014.233034397625</v>
      </c>
      <c r="BQ118" s="38">
        <f>Inputs!$B$32*BS117/Inputs!$B$6</f>
        <v>0</v>
      </c>
      <c r="BR118" s="38">
        <f>Inputs!$B$33</f>
        <v>2500</v>
      </c>
      <c r="BS118" s="38">
        <f t="shared" si="74"/>
        <v>0</v>
      </c>
      <c r="BT118" s="38">
        <f t="shared" si="75"/>
        <v>0</v>
      </c>
      <c r="BU118" s="38">
        <f>Inputs!$B$19*(1-Inputs!$C$72*$H118)+Inputs!$B$21+Inputs!$B$72*$J118</f>
        <v>577500</v>
      </c>
      <c r="BV118" s="38">
        <f t="shared" si="76"/>
        <v>-577500</v>
      </c>
      <c r="BW118" s="38">
        <f t="shared" si="77"/>
        <v>1</v>
      </c>
      <c r="BX118" s="38">
        <f>MAX(0,MIN(Inputs!$C$36,CC117,BY118+BZ118+CA118+Inputs!$C$6-CB117))</f>
        <v>0</v>
      </c>
      <c r="BY118" s="38">
        <f>Inputs!$C$27*(1+Inputs!$C$28)^($A118/12)*IF(Inputs!$B$72=1,$G118,1)*(1-Inputs!$C$72*$H118*(1-Inputs!$E$54*Inputs!$B$72))*(1+$I118)*IF(Inputs!$C$29=0,1,(MAX(CB117,0)/Inputs!$C$6)^Inputs!$C$29)</f>
        <v>0</v>
      </c>
      <c r="BZ118" s="38">
        <f>Inputs!$C$32*CB117/Inputs!$C$6</f>
        <v>0</v>
      </c>
      <c r="CA118" s="38">
        <f>Inputs!$C$33</f>
        <v>2000</v>
      </c>
      <c r="CB118" s="38">
        <f t="shared" si="78"/>
        <v>0</v>
      </c>
      <c r="CC118" s="38">
        <f t="shared" si="79"/>
        <v>0</v>
      </c>
      <c r="CD118" s="38">
        <f>Inputs!$C$19*(1-Inputs!$C$72*$H118)+Inputs!$C$21+Inputs!$B$72*$J118</f>
        <v>480000</v>
      </c>
      <c r="CE118" s="38">
        <f t="shared" si="80"/>
        <v>-480000</v>
      </c>
      <c r="CF118" s="38">
        <f t="shared" si="81"/>
        <v>1</v>
      </c>
      <c r="CG118" s="38">
        <f>MAX(0,MIN(Inputs!$D$36,CL117,CH118+CI118+CJ118+Inputs!$D$6-CK117))</f>
        <v>0</v>
      </c>
      <c r="CH118" s="38">
        <f>Inputs!$D$27*(1+Inputs!$D$28)^($A118/12)*IF(Inputs!$B$72=1,$G118,1)*(1-Inputs!$C$72*$H118*(1-Inputs!$E$54*Inputs!$B$72))*(1+$I118)*IF(Inputs!$D$29=0,1,(MAX(CK117,0)/Inputs!$D$6)^Inputs!$D$29)</f>
        <v>3912.1451801310691</v>
      </c>
      <c r="CI118" s="38">
        <f>Inputs!$D$32*CK117/Inputs!$D$6</f>
        <v>1965.4342298851914</v>
      </c>
      <c r="CJ118" s="38">
        <f>Inputs!$D$33</f>
        <v>1500</v>
      </c>
      <c r="CK118" s="38">
        <f t="shared" si="82"/>
        <v>404427.68780402385</v>
      </c>
      <c r="CL118" s="38">
        <f t="shared" si="83"/>
        <v>0</v>
      </c>
      <c r="CM118" s="38">
        <f>Inputs!$D$19*(1-Inputs!$C$72*$H118)+Inputs!$D$21+Inputs!$B$72*$J118</f>
        <v>392150</v>
      </c>
      <c r="CN118" s="38">
        <f t="shared" si="84"/>
        <v>12277.687804023852</v>
      </c>
      <c r="CO118" s="38">
        <f t="shared" si="85"/>
        <v>0</v>
      </c>
      <c r="CP118" s="38">
        <f>MAX(0,MIN(Inputs!$B$36,CU117,CQ118+CR118+CS118+Inputs!$B$6-CT117))</f>
        <v>0</v>
      </c>
      <c r="CQ118" s="38">
        <f>Inputs!$B$27*(1+Inputs!$B$28)^($A118/12)*IF(Inputs!$B$73=1,$G118,1)*(1-Inputs!$C$73*$H118*(1-Inputs!$E$54*Inputs!$B$73))*(1+$I118)*IF(Inputs!$B$29=0,1,(MAX(CT117,0)/Inputs!$B$6)^Inputs!$B$29)</f>
        <v>19573.028480502897</v>
      </c>
      <c r="CR118" s="38">
        <f>Inputs!$B$32*CT117/Inputs!$B$6</f>
        <v>0</v>
      </c>
      <c r="CS118" s="38">
        <f>Inputs!$B$33</f>
        <v>2500</v>
      </c>
      <c r="CT118" s="38">
        <f t="shared" si="86"/>
        <v>0</v>
      </c>
      <c r="CU118" s="38">
        <f t="shared" si="87"/>
        <v>0</v>
      </c>
      <c r="CV118" s="38">
        <f>Inputs!$B$19*(1-Inputs!$C$73*$H118)+Inputs!$B$21+Inputs!$B$73*$J118</f>
        <v>583500</v>
      </c>
      <c r="CW118" s="38">
        <f t="shared" si="88"/>
        <v>-583500</v>
      </c>
      <c r="CX118" s="38">
        <f t="shared" si="89"/>
        <v>1</v>
      </c>
      <c r="CY118" s="38">
        <f>MAX(0,MIN(Inputs!$C$36,DD117,CZ118+DA118+DB118+Inputs!$C$6-DC117))</f>
        <v>0</v>
      </c>
      <c r="CZ118" s="38">
        <f>Inputs!$C$27*(1+Inputs!$C$28)^($A118/12)*IF(Inputs!$B$73=1,$G118,1)*(1-Inputs!$C$73*$H118*(1-Inputs!$E$54*Inputs!$B$73))*(1+$I118)*IF(Inputs!$C$29=0,1,(MAX(DC117,0)/Inputs!$C$6)^Inputs!$C$29)</f>
        <v>0</v>
      </c>
      <c r="DA118" s="38">
        <f>Inputs!$C$32*DC117/Inputs!$C$6</f>
        <v>0</v>
      </c>
      <c r="DB118" s="38">
        <f>Inputs!$C$33</f>
        <v>2000</v>
      </c>
      <c r="DC118" s="38">
        <f t="shared" si="90"/>
        <v>0</v>
      </c>
      <c r="DD118" s="38">
        <f t="shared" si="91"/>
        <v>0</v>
      </c>
      <c r="DE118" s="38">
        <f>Inputs!$C$19*(1-Inputs!$C$73*$H118)+Inputs!$C$21+Inputs!$B$73*$J118</f>
        <v>486000</v>
      </c>
      <c r="DF118" s="38">
        <f t="shared" si="92"/>
        <v>-486000</v>
      </c>
      <c r="DG118" s="38">
        <f t="shared" si="93"/>
        <v>1</v>
      </c>
      <c r="DH118" s="38">
        <f>MAX(0,MIN(Inputs!$D$36,DM117,DI118+DJ118+DK118+Inputs!$D$6-DL117))</f>
        <v>0</v>
      </c>
      <c r="DI118" s="38">
        <f>Inputs!$D$27*(1+Inputs!$D$28)^($A118/12)*IF(Inputs!$B$73=1,$G118,1)*(1-Inputs!$C$73*$H118*(1-Inputs!$E$54*Inputs!$B$73))*(1+$I118)*IF(Inputs!$D$29=0,1,(MAX(DL117,0)/Inputs!$D$6)^Inputs!$D$29)</f>
        <v>3709.9500008498944</v>
      </c>
      <c r="DJ118" s="38">
        <f>Inputs!$D$32*DL117/Inputs!$D$6</f>
        <v>2235.917449488968</v>
      </c>
      <c r="DK118" s="38">
        <f>Inputs!$D$33</f>
        <v>1500</v>
      </c>
      <c r="DL118" s="38">
        <f t="shared" si="94"/>
        <v>461032.07434734976</v>
      </c>
      <c r="DM118" s="38">
        <f t="shared" si="95"/>
        <v>0</v>
      </c>
      <c r="DN118" s="38">
        <f>Inputs!$D$19*(1-Inputs!$C$73*$H118)+Inputs!$D$21+Inputs!$B$73*$J118</f>
        <v>398150</v>
      </c>
      <c r="DO118" s="38">
        <f t="shared" si="96"/>
        <v>62882.074347349757</v>
      </c>
      <c r="DP118" s="38">
        <f t="shared" si="97"/>
        <v>0</v>
      </c>
    </row>
    <row r="119" spans="1:120" x14ac:dyDescent="0.35">
      <c r="A119" s="29">
        <v>114</v>
      </c>
      <c r="B119" s="34">
        <f>EDATE(Inputs!$B$67,$A119)</f>
        <v>49735</v>
      </c>
      <c r="C119" s="35">
        <f>IF(Inputs!$E$47&lt;=0,Inputs!$E$46,Inputs!$E$44+(Inputs!$E$46-Inputs!$E$44)*MIN($A119/Inputs!$E$47,1))</f>
        <v>0.7</v>
      </c>
      <c r="D119" s="35">
        <f>MIN(Inputs!$E$57,Inputs!$E$55*(1+Inputs!$E$56)^($A119/12))*Inputs!$E$58*(1+Inputs!$E$59)^($A119/12)/Inputs!$E$45</f>
        <v>1.5</v>
      </c>
      <c r="E119" s="35">
        <f>MAX(Inputs!$E$44,MIN(C119,D119))</f>
        <v>0.7</v>
      </c>
      <c r="F119" s="35">
        <f>IF(Inputs!$E$50&lt;=0,Inputs!$E$49,Inputs!$E$48+(Inputs!$E$49-Inputs!$E$48)*MIN($A119/Inputs!$E$50,1))</f>
        <v>0.12</v>
      </c>
      <c r="G119" s="36">
        <f>(Inputs!$E$41*(1-E119*Inputs!$E$51)+Inputs!$E$42*(1-F119*Inputs!$E$51))/(Inputs!$E$41*(1-Inputs!$E$44*Inputs!$E$51)+Inputs!$E$42*(1-Inputs!$E$48*Inputs!$E$51))</f>
        <v>0.8423127463863338</v>
      </c>
      <c r="H119" s="35">
        <f>IF(Inputs!$E$53&lt;=0,Inputs!$E$52,Inputs!$E$52*MIN($A119/Inputs!$E$53,1))</f>
        <v>0.1</v>
      </c>
      <c r="I119" s="35">
        <f>IF(Inputs!$E$64&lt;=0,Inputs!$E$63,Inputs!$E$62+(Inputs!$E$63-Inputs!$E$62)*MIN($A119/Inputs!$E$64,1))</f>
        <v>0.03</v>
      </c>
      <c r="J119" s="37">
        <f>(E119-Inputs!$E$44)*Inputs!$E$45/Inputs!$E$60*Inputs!$E$61</f>
        <v>5999.9999999999991</v>
      </c>
      <c r="K119" s="29">
        <f t="shared" si="49"/>
        <v>0</v>
      </c>
      <c r="L119" s="29"/>
      <c r="M119" s="38">
        <f>MAX(0,MIN(Inputs!$B$36,R118,N119+O119+P119+Inputs!$B$6-Q118))</f>
        <v>0</v>
      </c>
      <c r="N119" s="38">
        <f>Inputs!$B$27*(1+Inputs!$B$28)^($A119/12)*IF(Inputs!$B$70=1,$G119,1)*(1-Inputs!$C$70*$H119*(1-Inputs!$E$54*Inputs!$B$70))*(1+$I119)*IF(Inputs!$B$29=0,1,(MAX(Q118,0)/Inputs!$B$6)^Inputs!$B$29)</f>
        <v>24559.913049757601</v>
      </c>
      <c r="O119" s="38">
        <f>Inputs!$B$32*Q118/Inputs!$B$6</f>
        <v>0</v>
      </c>
      <c r="P119" s="38">
        <f>Inputs!$B$33</f>
        <v>2500</v>
      </c>
      <c r="Q119" s="38">
        <f t="shared" si="50"/>
        <v>0</v>
      </c>
      <c r="R119" s="38">
        <f t="shared" si="51"/>
        <v>0</v>
      </c>
      <c r="S119" s="38">
        <f>Inputs!$B$19*(1-Inputs!$C$70*$H119)+Inputs!$B$21+Inputs!$B$70*$J119</f>
        <v>595000</v>
      </c>
      <c r="T119" s="38">
        <f t="shared" si="52"/>
        <v>-595000</v>
      </c>
      <c r="U119" s="38">
        <f t="shared" si="53"/>
        <v>1</v>
      </c>
      <c r="V119" s="38">
        <f>MAX(0,MIN(Inputs!$C$36,AA118,W119+X119+Y119+Inputs!$C$6-Z118))</f>
        <v>0</v>
      </c>
      <c r="W119" s="38">
        <f>Inputs!$C$27*(1+Inputs!$C$28)^($A119/12)*IF(Inputs!$B$70=1,$G119,1)*(1-Inputs!$C$70*$H119*(1-Inputs!$E$54*Inputs!$B$70))*(1+$I119)*IF(Inputs!$C$29=0,1,(MAX(Z118,0)/Inputs!$C$6)^Inputs!$C$29)</f>
        <v>0</v>
      </c>
      <c r="X119" s="38">
        <f>Inputs!$C$32*Z118/Inputs!$C$6</f>
        <v>0</v>
      </c>
      <c r="Y119" s="38">
        <f>Inputs!$C$33</f>
        <v>2000</v>
      </c>
      <c r="Z119" s="38">
        <f t="shared" si="54"/>
        <v>0</v>
      </c>
      <c r="AA119" s="38">
        <f t="shared" si="55"/>
        <v>0</v>
      </c>
      <c r="AB119" s="38">
        <f>Inputs!$C$19*(1-Inputs!$C$70*$H119)+Inputs!$C$21+Inputs!$B$70*$J119</f>
        <v>495000</v>
      </c>
      <c r="AC119" s="38">
        <f t="shared" si="56"/>
        <v>-495000</v>
      </c>
      <c r="AD119" s="38">
        <f t="shared" si="57"/>
        <v>1</v>
      </c>
      <c r="AE119" s="38">
        <f>MAX(0,MIN(Inputs!$D$36,AJ118,AF119+AG119+AH119+Inputs!$D$6-AI118))</f>
        <v>0</v>
      </c>
      <c r="AF119" s="38">
        <f>Inputs!$D$27*(1+Inputs!$D$28)^($A119/12)*IF(Inputs!$B$70=1,$G119,1)*(1-Inputs!$C$70*$H119*(1-Inputs!$E$54*Inputs!$B$70))*(1+$I119)*IF(Inputs!$D$29=0,1,(MAX(AI118,0)/Inputs!$D$6)^Inputs!$D$29)</f>
        <v>4047.1421597474332</v>
      </c>
      <c r="AG119" s="38">
        <f>Inputs!$D$32*AI118/Inputs!$D$6</f>
        <v>1718.3960266985607</v>
      </c>
      <c r="AH119" s="38">
        <f>Inputs!$D$33</f>
        <v>1500</v>
      </c>
      <c r="AI119" s="38">
        <f t="shared" si="58"/>
        <v>352779.34359801433</v>
      </c>
      <c r="AJ119" s="38">
        <f t="shared" si="59"/>
        <v>0</v>
      </c>
      <c r="AK119" s="38">
        <f>Inputs!$D$19*(1-Inputs!$C$70*$H119)+Inputs!$D$21+Inputs!$B$70*$J119</f>
        <v>404800</v>
      </c>
      <c r="AL119" s="38">
        <f t="shared" si="60"/>
        <v>-52020.656401985674</v>
      </c>
      <c r="AM119" s="38">
        <f t="shared" si="61"/>
        <v>1</v>
      </c>
      <c r="AN119" s="38">
        <f>MAX(0,MIN(Inputs!$B$36,AS118,AO119+AP119+AQ119+Inputs!$B$6-AR118))</f>
        <v>0</v>
      </c>
      <c r="AO119" s="38">
        <f>Inputs!$B$27*(1+Inputs!$B$28)^($A119/12)*IF(Inputs!$B$71=1,$G119,1)*(1-Inputs!$C$71*$H119*(1-Inputs!$E$54*Inputs!$B$71))*(1+$I119)*IF(Inputs!$B$29=0,1,(MAX(AR118,0)/Inputs!$B$6)^Inputs!$B$29)</f>
        <v>20687.127811950886</v>
      </c>
      <c r="AP119" s="38">
        <f>Inputs!$B$32*AR118/Inputs!$B$6</f>
        <v>0</v>
      </c>
      <c r="AQ119" s="38">
        <f>Inputs!$B$33</f>
        <v>2500</v>
      </c>
      <c r="AR119" s="38">
        <f t="shared" si="62"/>
        <v>0</v>
      </c>
      <c r="AS119" s="38">
        <f t="shared" si="63"/>
        <v>0</v>
      </c>
      <c r="AT119" s="38">
        <f>Inputs!$B$19*(1-Inputs!$C$71*$H119)+Inputs!$B$21+Inputs!$B$71*$J119</f>
        <v>601000</v>
      </c>
      <c r="AU119" s="38">
        <f t="shared" si="64"/>
        <v>-601000</v>
      </c>
      <c r="AV119" s="38">
        <f t="shared" si="65"/>
        <v>1</v>
      </c>
      <c r="AW119" s="38">
        <f>MAX(0,MIN(Inputs!$C$36,BB118,AX119+AY119+AZ119+Inputs!$C$6-BA118))</f>
        <v>0</v>
      </c>
      <c r="AX119" s="38">
        <f>Inputs!$C$27*(1+Inputs!$C$28)^($A119/12)*IF(Inputs!$B$71=1,$G119,1)*(1-Inputs!$C$71*$H119*(1-Inputs!$E$54*Inputs!$B$71))*(1+$I119)*IF(Inputs!$C$29=0,1,(MAX(BA118,0)/Inputs!$C$6)^Inputs!$C$29)</f>
        <v>0</v>
      </c>
      <c r="AY119" s="38">
        <f>Inputs!$C$32*BA118/Inputs!$C$6</f>
        <v>0</v>
      </c>
      <c r="AZ119" s="38">
        <f>Inputs!$C$33</f>
        <v>2000</v>
      </c>
      <c r="BA119" s="38">
        <f t="shared" si="66"/>
        <v>0</v>
      </c>
      <c r="BB119" s="38">
        <f t="shared" si="67"/>
        <v>0</v>
      </c>
      <c r="BC119" s="38">
        <f>Inputs!$C$19*(1-Inputs!$C$71*$H119)+Inputs!$C$21+Inputs!$B$71*$J119</f>
        <v>501000</v>
      </c>
      <c r="BD119" s="38">
        <f t="shared" si="68"/>
        <v>-501000</v>
      </c>
      <c r="BE119" s="38">
        <f t="shared" si="69"/>
        <v>1</v>
      </c>
      <c r="BF119" s="38">
        <f>MAX(0,MIN(Inputs!$D$36,BK118,BG119+BH119+BI119+Inputs!$D$6-BJ118))</f>
        <v>0</v>
      </c>
      <c r="BG119" s="38">
        <f>Inputs!$D$27*(1+Inputs!$D$28)^($A119/12)*IF(Inputs!$B$71=1,$G119,1)*(1-Inputs!$C$71*$H119*(1-Inputs!$E$54*Inputs!$B$71))*(1+$I119)*IF(Inputs!$D$29=0,1,(MAX(BJ118,0)/Inputs!$D$6)^Inputs!$D$29)</f>
        <v>3771.2691890403553</v>
      </c>
      <c r="BH119" s="38">
        <f>Inputs!$D$32*BJ118/Inputs!$D$6</f>
        <v>2103.0745164723521</v>
      </c>
      <c r="BI119" s="38">
        <f>Inputs!$D$33</f>
        <v>1500</v>
      </c>
      <c r="BJ119" s="38">
        <f t="shared" si="70"/>
        <v>433269.84069821821</v>
      </c>
      <c r="BK119" s="38">
        <f t="shared" si="71"/>
        <v>0</v>
      </c>
      <c r="BL119" s="38">
        <f>Inputs!$D$19*(1-Inputs!$C$71*$H119)+Inputs!$D$21+Inputs!$B$71*$J119</f>
        <v>410800</v>
      </c>
      <c r="BM119" s="38">
        <f t="shared" si="72"/>
        <v>22469.840698218206</v>
      </c>
      <c r="BN119" s="38">
        <f t="shared" si="73"/>
        <v>0</v>
      </c>
      <c r="BO119" s="38">
        <f>MAX(0,MIN(Inputs!$B$36,BT118,BP119+BQ119+BR119+Inputs!$B$6-BS118))</f>
        <v>0</v>
      </c>
      <c r="BP119" s="38">
        <f>Inputs!$B$27*(1+Inputs!$B$28)^($A119/12)*IF(Inputs!$B$72=1,$G119,1)*(1-Inputs!$C$72*$H119*(1-Inputs!$E$54*Inputs!$B$72))*(1+$I119)*IF(Inputs!$B$29=0,1,(MAX(BS118,0)/Inputs!$B$6)^Inputs!$B$29)</f>
        <v>22103.921744781845</v>
      </c>
      <c r="BQ119" s="38">
        <f>Inputs!$B$32*BS118/Inputs!$B$6</f>
        <v>0</v>
      </c>
      <c r="BR119" s="38">
        <f>Inputs!$B$33</f>
        <v>2500</v>
      </c>
      <c r="BS119" s="38">
        <f t="shared" si="74"/>
        <v>0</v>
      </c>
      <c r="BT119" s="38">
        <f t="shared" si="75"/>
        <v>0</v>
      </c>
      <c r="BU119" s="38">
        <f>Inputs!$B$19*(1-Inputs!$C$72*$H119)+Inputs!$B$21+Inputs!$B$72*$J119</f>
        <v>577500</v>
      </c>
      <c r="BV119" s="38">
        <f t="shared" si="76"/>
        <v>-577500</v>
      </c>
      <c r="BW119" s="38">
        <f t="shared" si="77"/>
        <v>1</v>
      </c>
      <c r="BX119" s="38">
        <f>MAX(0,MIN(Inputs!$C$36,CC118,BY119+BZ119+CA119+Inputs!$C$6-CB118))</f>
        <v>0</v>
      </c>
      <c r="BY119" s="38">
        <f>Inputs!$C$27*(1+Inputs!$C$28)^($A119/12)*IF(Inputs!$B$72=1,$G119,1)*(1-Inputs!$C$72*$H119*(1-Inputs!$E$54*Inputs!$B$72))*(1+$I119)*IF(Inputs!$C$29=0,1,(MAX(CB118,0)/Inputs!$C$6)^Inputs!$C$29)</f>
        <v>0</v>
      </c>
      <c r="BZ119" s="38">
        <f>Inputs!$C$32*CB118/Inputs!$C$6</f>
        <v>0</v>
      </c>
      <c r="CA119" s="38">
        <f>Inputs!$C$33</f>
        <v>2000</v>
      </c>
      <c r="CB119" s="38">
        <f t="shared" si="78"/>
        <v>0</v>
      </c>
      <c r="CC119" s="38">
        <f t="shared" si="79"/>
        <v>0</v>
      </c>
      <c r="CD119" s="38">
        <f>Inputs!$C$19*(1-Inputs!$C$72*$H119)+Inputs!$C$21+Inputs!$B$72*$J119</f>
        <v>480000</v>
      </c>
      <c r="CE119" s="38">
        <f t="shared" si="80"/>
        <v>-480000</v>
      </c>
      <c r="CF119" s="38">
        <f t="shared" si="81"/>
        <v>1</v>
      </c>
      <c r="CG119" s="38">
        <f>MAX(0,MIN(Inputs!$D$36,CL118,CH119+CI119+CJ119+Inputs!$D$6-CK118))</f>
        <v>0</v>
      </c>
      <c r="CH119" s="38">
        <f>Inputs!$D$27*(1+Inputs!$D$28)^($A119/12)*IF(Inputs!$B$72=1,$G119,1)*(1-Inputs!$C$72*$H119*(1-Inputs!$E$54*Inputs!$B$72))*(1+$I119)*IF(Inputs!$D$29=0,1,(MAX(CK118,0)/Inputs!$D$6)^Inputs!$D$29)</f>
        <v>3860.4069475693063</v>
      </c>
      <c r="CI119" s="38">
        <f>Inputs!$D$32*CK118/Inputs!$D$6</f>
        <v>1930.2230554282958</v>
      </c>
      <c r="CJ119" s="38">
        <f>Inputs!$D$33</f>
        <v>1500</v>
      </c>
      <c r="CK119" s="38">
        <f t="shared" si="82"/>
        <v>397137.05780102627</v>
      </c>
      <c r="CL119" s="38">
        <f t="shared" si="83"/>
        <v>0</v>
      </c>
      <c r="CM119" s="38">
        <f>Inputs!$D$19*(1-Inputs!$C$72*$H119)+Inputs!$D$21+Inputs!$B$72*$J119</f>
        <v>392150</v>
      </c>
      <c r="CN119" s="38">
        <f t="shared" si="84"/>
        <v>4987.0578010262689</v>
      </c>
      <c r="CO119" s="38">
        <f t="shared" si="85"/>
        <v>0</v>
      </c>
      <c r="CP119" s="38">
        <f>MAX(0,MIN(Inputs!$B$36,CU118,CQ119+CR119+CS119+Inputs!$B$6-CT118))</f>
        <v>0</v>
      </c>
      <c r="CQ119" s="38">
        <f>Inputs!$B$27*(1+Inputs!$B$28)^($A119/12)*IF(Inputs!$B$73=1,$G119,1)*(1-Inputs!$C$73*$H119*(1-Inputs!$E$54*Inputs!$B$73))*(1+$I119)*IF(Inputs!$B$29=0,1,(MAX(CT118,0)/Inputs!$B$6)^Inputs!$B$29)</f>
        <v>19652.77142135334</v>
      </c>
      <c r="CR119" s="38">
        <f>Inputs!$B$32*CT118/Inputs!$B$6</f>
        <v>0</v>
      </c>
      <c r="CS119" s="38">
        <f>Inputs!$B$33</f>
        <v>2500</v>
      </c>
      <c r="CT119" s="38">
        <f t="shared" si="86"/>
        <v>0</v>
      </c>
      <c r="CU119" s="38">
        <f t="shared" si="87"/>
        <v>0</v>
      </c>
      <c r="CV119" s="38">
        <f>Inputs!$B$19*(1-Inputs!$C$73*$H119)+Inputs!$B$21+Inputs!$B$73*$J119</f>
        <v>583500</v>
      </c>
      <c r="CW119" s="38">
        <f t="shared" si="88"/>
        <v>-583500</v>
      </c>
      <c r="CX119" s="38">
        <f t="shared" si="89"/>
        <v>1</v>
      </c>
      <c r="CY119" s="38">
        <f>MAX(0,MIN(Inputs!$C$36,DD118,CZ119+DA119+DB119+Inputs!$C$6-DC118))</f>
        <v>0</v>
      </c>
      <c r="CZ119" s="38">
        <f>Inputs!$C$27*(1+Inputs!$C$28)^($A119/12)*IF(Inputs!$B$73=1,$G119,1)*(1-Inputs!$C$73*$H119*(1-Inputs!$E$54*Inputs!$B$73))*(1+$I119)*IF(Inputs!$C$29=0,1,(MAX(DC118,0)/Inputs!$C$6)^Inputs!$C$29)</f>
        <v>0</v>
      </c>
      <c r="DA119" s="38">
        <f>Inputs!$C$32*DC118/Inputs!$C$6</f>
        <v>0</v>
      </c>
      <c r="DB119" s="38">
        <f>Inputs!$C$33</f>
        <v>2000</v>
      </c>
      <c r="DC119" s="38">
        <f t="shared" si="90"/>
        <v>0</v>
      </c>
      <c r="DD119" s="38">
        <f t="shared" si="91"/>
        <v>0</v>
      </c>
      <c r="DE119" s="38">
        <f>Inputs!$C$19*(1-Inputs!$C$73*$H119)+Inputs!$C$21+Inputs!$B$73*$J119</f>
        <v>486000</v>
      </c>
      <c r="DF119" s="38">
        <f t="shared" si="92"/>
        <v>-486000</v>
      </c>
      <c r="DG119" s="38">
        <f t="shared" si="93"/>
        <v>1</v>
      </c>
      <c r="DH119" s="38">
        <f>MAX(0,MIN(Inputs!$D$36,DM118,DI119+DJ119+DK119+Inputs!$D$6-DL118))</f>
        <v>0</v>
      </c>
      <c r="DI119" s="38">
        <f>Inputs!$D$27*(1+Inputs!$D$28)^($A119/12)*IF(Inputs!$B$73=1,$G119,1)*(1-Inputs!$C$73*$H119*(1-Inputs!$E$54*Inputs!$B$73))*(1+$I119)*IF(Inputs!$D$29=0,1,(MAX(DL118,0)/Inputs!$D$6)^Inputs!$D$29)</f>
        <v>3664.6515565529699</v>
      </c>
      <c r="DJ119" s="38">
        <f>Inputs!$D$32*DL118/Inputs!$D$6</f>
        <v>2200.3803548396236</v>
      </c>
      <c r="DK119" s="38">
        <f>Inputs!$D$33</f>
        <v>1500</v>
      </c>
      <c r="DL119" s="38">
        <f t="shared" si="94"/>
        <v>453667.04243595718</v>
      </c>
      <c r="DM119" s="38">
        <f t="shared" si="95"/>
        <v>0</v>
      </c>
      <c r="DN119" s="38">
        <f>Inputs!$D$19*(1-Inputs!$C$73*$H119)+Inputs!$D$21+Inputs!$B$73*$J119</f>
        <v>398150</v>
      </c>
      <c r="DO119" s="38">
        <f t="shared" si="96"/>
        <v>55517.042435957177</v>
      </c>
      <c r="DP119" s="38">
        <f t="shared" si="97"/>
        <v>0</v>
      </c>
    </row>
    <row r="120" spans="1:120" x14ac:dyDescent="0.35">
      <c r="A120" s="29">
        <v>115</v>
      </c>
      <c r="B120" s="34">
        <f>EDATE(Inputs!$B$67,$A120)</f>
        <v>49766</v>
      </c>
      <c r="C120" s="35">
        <f>IF(Inputs!$E$47&lt;=0,Inputs!$E$46,Inputs!$E$44+(Inputs!$E$46-Inputs!$E$44)*MIN($A120/Inputs!$E$47,1))</f>
        <v>0.7</v>
      </c>
      <c r="D120" s="35">
        <f>MIN(Inputs!$E$57,Inputs!$E$55*(1+Inputs!$E$56)^($A120/12))*Inputs!$E$58*(1+Inputs!$E$59)^($A120/12)/Inputs!$E$45</f>
        <v>1.5</v>
      </c>
      <c r="E120" s="35">
        <f>MAX(Inputs!$E$44,MIN(C120,D120))</f>
        <v>0.7</v>
      </c>
      <c r="F120" s="35">
        <f>IF(Inputs!$E$50&lt;=0,Inputs!$E$49,Inputs!$E$48+(Inputs!$E$49-Inputs!$E$48)*MIN($A120/Inputs!$E$50,1))</f>
        <v>0.12</v>
      </c>
      <c r="G120" s="36">
        <f>(Inputs!$E$41*(1-E120*Inputs!$E$51)+Inputs!$E$42*(1-F120*Inputs!$E$51))/(Inputs!$E$41*(1-Inputs!$E$44*Inputs!$E$51)+Inputs!$E$42*(1-Inputs!$E$48*Inputs!$E$51))</f>
        <v>0.8423127463863338</v>
      </c>
      <c r="H120" s="35">
        <f>IF(Inputs!$E$53&lt;=0,Inputs!$E$52,Inputs!$E$52*MIN($A120/Inputs!$E$53,1))</f>
        <v>0.1</v>
      </c>
      <c r="I120" s="35">
        <f>IF(Inputs!$E$64&lt;=0,Inputs!$E$63,Inputs!$E$62+(Inputs!$E$63-Inputs!$E$62)*MIN($A120/Inputs!$E$64,1))</f>
        <v>0.03</v>
      </c>
      <c r="J120" s="37">
        <f>(E120-Inputs!$E$44)*Inputs!$E$45/Inputs!$E$60*Inputs!$E$61</f>
        <v>5999.9999999999991</v>
      </c>
      <c r="K120" s="29">
        <f t="shared" si="49"/>
        <v>0</v>
      </c>
      <c r="L120" s="29"/>
      <c r="M120" s="38">
        <f>MAX(0,MIN(Inputs!$B$36,R119,N120+O120+P120+Inputs!$B$6-Q119))</f>
        <v>0</v>
      </c>
      <c r="N120" s="38">
        <f>Inputs!$B$27*(1+Inputs!$B$28)^($A120/12)*IF(Inputs!$B$70=1,$G120,1)*(1-Inputs!$C$70*$H120*(1-Inputs!$E$54*Inputs!$B$70))*(1+$I120)*IF(Inputs!$B$29=0,1,(MAX(Q119,0)/Inputs!$B$6)^Inputs!$B$29)</f>
        <v>24659.973175637955</v>
      </c>
      <c r="O120" s="38">
        <f>Inputs!$B$32*Q119/Inputs!$B$6</f>
        <v>0</v>
      </c>
      <c r="P120" s="38">
        <f>Inputs!$B$33</f>
        <v>2500</v>
      </c>
      <c r="Q120" s="38">
        <f t="shared" si="50"/>
        <v>0</v>
      </c>
      <c r="R120" s="38">
        <f t="shared" si="51"/>
        <v>0</v>
      </c>
      <c r="S120" s="38">
        <f>Inputs!$B$19*(1-Inputs!$C$70*$H120)+Inputs!$B$21+Inputs!$B$70*$J120</f>
        <v>595000</v>
      </c>
      <c r="T120" s="38">
        <f t="shared" si="52"/>
        <v>-595000</v>
      </c>
      <c r="U120" s="38">
        <f t="shared" si="53"/>
        <v>1</v>
      </c>
      <c r="V120" s="38">
        <f>MAX(0,MIN(Inputs!$C$36,AA119,W120+X120+Y120+Inputs!$C$6-Z119))</f>
        <v>0</v>
      </c>
      <c r="W120" s="38">
        <f>Inputs!$C$27*(1+Inputs!$C$28)^($A120/12)*IF(Inputs!$B$70=1,$G120,1)*(1-Inputs!$C$70*$H120*(1-Inputs!$E$54*Inputs!$B$70))*(1+$I120)*IF(Inputs!$C$29=0,1,(MAX(Z119,0)/Inputs!$C$6)^Inputs!$C$29)</f>
        <v>0</v>
      </c>
      <c r="X120" s="38">
        <f>Inputs!$C$32*Z119/Inputs!$C$6</f>
        <v>0</v>
      </c>
      <c r="Y120" s="38">
        <f>Inputs!$C$33</f>
        <v>2000</v>
      </c>
      <c r="Z120" s="38">
        <f t="shared" si="54"/>
        <v>0</v>
      </c>
      <c r="AA120" s="38">
        <f t="shared" si="55"/>
        <v>0</v>
      </c>
      <c r="AB120" s="38">
        <f>Inputs!$C$19*(1-Inputs!$C$70*$H120)+Inputs!$C$21+Inputs!$B$70*$J120</f>
        <v>495000</v>
      </c>
      <c r="AC120" s="38">
        <f t="shared" si="56"/>
        <v>-495000</v>
      </c>
      <c r="AD120" s="38">
        <f t="shared" si="57"/>
        <v>1</v>
      </c>
      <c r="AE120" s="38">
        <f>MAX(0,MIN(Inputs!$D$36,AJ119,AF120+AG120+AH120+Inputs!$D$6-AI119))</f>
        <v>0</v>
      </c>
      <c r="AF120" s="38">
        <f>Inputs!$D$27*(1+Inputs!$D$28)^($A120/12)*IF(Inputs!$B$70=1,$G120,1)*(1-Inputs!$C$70*$H120*(1-Inputs!$E$54*Inputs!$B$70))*(1+$I120)*IF(Inputs!$D$29=0,1,(MAX(AI119,0)/Inputs!$D$6)^Inputs!$D$29)</f>
        <v>3989.0120346661638</v>
      </c>
      <c r="AG120" s="38">
        <f>Inputs!$D$32*AI119/Inputs!$D$6</f>
        <v>1683.7195944450684</v>
      </c>
      <c r="AH120" s="38">
        <f>Inputs!$D$33</f>
        <v>1500</v>
      </c>
      <c r="AI120" s="38">
        <f t="shared" si="58"/>
        <v>345606.6119689031</v>
      </c>
      <c r="AJ120" s="38">
        <f t="shared" si="59"/>
        <v>0</v>
      </c>
      <c r="AK120" s="38">
        <f>Inputs!$D$19*(1-Inputs!$C$70*$H120)+Inputs!$D$21+Inputs!$B$70*$J120</f>
        <v>404800</v>
      </c>
      <c r="AL120" s="38">
        <f t="shared" si="60"/>
        <v>-59193.388031096896</v>
      </c>
      <c r="AM120" s="38">
        <f t="shared" si="61"/>
        <v>1</v>
      </c>
      <c r="AN120" s="38">
        <f>MAX(0,MIN(Inputs!$B$36,AS119,AO120+AP120+AQ120+Inputs!$B$6-AR119))</f>
        <v>0</v>
      </c>
      <c r="AO120" s="38">
        <f>Inputs!$B$27*(1+Inputs!$B$28)^($A120/12)*IF(Inputs!$B$71=1,$G120,1)*(1-Inputs!$C$71*$H120*(1-Inputs!$E$54*Inputs!$B$71))*(1+$I120)*IF(Inputs!$B$29=0,1,(MAX(AR119,0)/Inputs!$B$6)^Inputs!$B$29)</f>
        <v>20771.409731384931</v>
      </c>
      <c r="AP120" s="38">
        <f>Inputs!$B$32*AR119/Inputs!$B$6</f>
        <v>0</v>
      </c>
      <c r="AQ120" s="38">
        <f>Inputs!$B$33</f>
        <v>2500</v>
      </c>
      <c r="AR120" s="38">
        <f t="shared" si="62"/>
        <v>0</v>
      </c>
      <c r="AS120" s="38">
        <f t="shared" si="63"/>
        <v>0</v>
      </c>
      <c r="AT120" s="38">
        <f>Inputs!$B$19*(1-Inputs!$C$71*$H120)+Inputs!$B$21+Inputs!$B$71*$J120</f>
        <v>601000</v>
      </c>
      <c r="AU120" s="38">
        <f t="shared" si="64"/>
        <v>-601000</v>
      </c>
      <c r="AV120" s="38">
        <f t="shared" si="65"/>
        <v>1</v>
      </c>
      <c r="AW120" s="38">
        <f>MAX(0,MIN(Inputs!$C$36,BB119,AX120+AY120+AZ120+Inputs!$C$6-BA119))</f>
        <v>0</v>
      </c>
      <c r="AX120" s="38">
        <f>Inputs!$C$27*(1+Inputs!$C$28)^($A120/12)*IF(Inputs!$B$71=1,$G120,1)*(1-Inputs!$C$71*$H120*(1-Inputs!$E$54*Inputs!$B$71))*(1+$I120)*IF(Inputs!$C$29=0,1,(MAX(BA119,0)/Inputs!$C$6)^Inputs!$C$29)</f>
        <v>0</v>
      </c>
      <c r="AY120" s="38">
        <f>Inputs!$C$32*BA119/Inputs!$C$6</f>
        <v>0</v>
      </c>
      <c r="AZ120" s="38">
        <f>Inputs!$C$33</f>
        <v>2000</v>
      </c>
      <c r="BA120" s="38">
        <f t="shared" si="66"/>
        <v>0</v>
      </c>
      <c r="BB120" s="38">
        <f t="shared" si="67"/>
        <v>0</v>
      </c>
      <c r="BC120" s="38">
        <f>Inputs!$C$19*(1-Inputs!$C$71*$H120)+Inputs!$C$21+Inputs!$B$71*$J120</f>
        <v>501000</v>
      </c>
      <c r="BD120" s="38">
        <f t="shared" si="68"/>
        <v>-501000</v>
      </c>
      <c r="BE120" s="38">
        <f t="shared" si="69"/>
        <v>1</v>
      </c>
      <c r="BF120" s="38">
        <f>MAX(0,MIN(Inputs!$D$36,BK119,BG120+BH120+BI120+Inputs!$D$6-BJ119))</f>
        <v>0</v>
      </c>
      <c r="BG120" s="38">
        <f>Inputs!$D$27*(1+Inputs!$D$28)^($A120/12)*IF(Inputs!$B$71=1,$G120,1)*(1-Inputs!$C$71*$H120*(1-Inputs!$E$54*Inputs!$B$71))*(1+$I120)*IF(Inputs!$D$29=0,1,(MAX(BJ119,0)/Inputs!$D$6)^Inputs!$D$29)</f>
        <v>3723.6287526622932</v>
      </c>
      <c r="BH120" s="38">
        <f>Inputs!$D$32*BJ119/Inputs!$D$6</f>
        <v>2067.8787851505872</v>
      </c>
      <c r="BI120" s="38">
        <f>Inputs!$D$33</f>
        <v>1500</v>
      </c>
      <c r="BJ120" s="38">
        <f t="shared" si="70"/>
        <v>425978.33316040534</v>
      </c>
      <c r="BK120" s="38">
        <f t="shared" si="71"/>
        <v>0</v>
      </c>
      <c r="BL120" s="38">
        <f>Inputs!$D$19*(1-Inputs!$C$71*$H120)+Inputs!$D$21+Inputs!$B$71*$J120</f>
        <v>410800</v>
      </c>
      <c r="BM120" s="38">
        <f t="shared" si="72"/>
        <v>15178.333160405338</v>
      </c>
      <c r="BN120" s="38">
        <f t="shared" si="73"/>
        <v>0</v>
      </c>
      <c r="BO120" s="38">
        <f>MAX(0,MIN(Inputs!$B$36,BT119,BP120+BQ120+BR120+Inputs!$B$6-BS119))</f>
        <v>0</v>
      </c>
      <c r="BP120" s="38">
        <f>Inputs!$B$27*(1+Inputs!$B$28)^($A120/12)*IF(Inputs!$B$72=1,$G120,1)*(1-Inputs!$C$72*$H120*(1-Inputs!$E$54*Inputs!$B$72))*(1+$I120)*IF(Inputs!$B$29=0,1,(MAX(BS119,0)/Inputs!$B$6)^Inputs!$B$29)</f>
        <v>22193.975858074162</v>
      </c>
      <c r="BQ120" s="38">
        <f>Inputs!$B$32*BS119/Inputs!$B$6</f>
        <v>0</v>
      </c>
      <c r="BR120" s="38">
        <f>Inputs!$B$33</f>
        <v>2500</v>
      </c>
      <c r="BS120" s="38">
        <f t="shared" si="74"/>
        <v>0</v>
      </c>
      <c r="BT120" s="38">
        <f t="shared" si="75"/>
        <v>0</v>
      </c>
      <c r="BU120" s="38">
        <f>Inputs!$B$19*(1-Inputs!$C$72*$H120)+Inputs!$B$21+Inputs!$B$72*$J120</f>
        <v>577500</v>
      </c>
      <c r="BV120" s="38">
        <f t="shared" si="76"/>
        <v>-577500</v>
      </c>
      <c r="BW120" s="38">
        <f t="shared" si="77"/>
        <v>1</v>
      </c>
      <c r="BX120" s="38">
        <f>MAX(0,MIN(Inputs!$C$36,CC119,BY120+BZ120+CA120+Inputs!$C$6-CB119))</f>
        <v>0</v>
      </c>
      <c r="BY120" s="38">
        <f>Inputs!$C$27*(1+Inputs!$C$28)^($A120/12)*IF(Inputs!$B$72=1,$G120,1)*(1-Inputs!$C$72*$H120*(1-Inputs!$E$54*Inputs!$B$72))*(1+$I120)*IF(Inputs!$C$29=0,1,(MAX(CB119,0)/Inputs!$C$6)^Inputs!$C$29)</f>
        <v>0</v>
      </c>
      <c r="BZ120" s="38">
        <f>Inputs!$C$32*CB119/Inputs!$C$6</f>
        <v>0</v>
      </c>
      <c r="CA120" s="38">
        <f>Inputs!$C$33</f>
        <v>2000</v>
      </c>
      <c r="CB120" s="38">
        <f t="shared" si="78"/>
        <v>0</v>
      </c>
      <c r="CC120" s="38">
        <f t="shared" si="79"/>
        <v>0</v>
      </c>
      <c r="CD120" s="38">
        <f>Inputs!$C$19*(1-Inputs!$C$72*$H120)+Inputs!$C$21+Inputs!$B$72*$J120</f>
        <v>480000</v>
      </c>
      <c r="CE120" s="38">
        <f t="shared" si="80"/>
        <v>-480000</v>
      </c>
      <c r="CF120" s="38">
        <f t="shared" si="81"/>
        <v>1</v>
      </c>
      <c r="CG120" s="38">
        <f>MAX(0,MIN(Inputs!$D$36,CL119,CH120+CI120+CJ120+Inputs!$D$6-CK119))</f>
        <v>0</v>
      </c>
      <c r="CH120" s="38">
        <f>Inputs!$D$27*(1+Inputs!$D$28)^($A120/12)*IF(Inputs!$B$72=1,$G120,1)*(1-Inputs!$C$72*$H120*(1-Inputs!$E$54*Inputs!$B$72))*(1+$I120)*IF(Inputs!$D$29=0,1,(MAX(CK119,0)/Inputs!$D$6)^Inputs!$D$29)</f>
        <v>3809.1360899877513</v>
      </c>
      <c r="CI120" s="38">
        <f>Inputs!$D$32*CK119/Inputs!$D$6</f>
        <v>1895.4268667776255</v>
      </c>
      <c r="CJ120" s="38">
        <f>Inputs!$D$33</f>
        <v>1500</v>
      </c>
      <c r="CK120" s="38">
        <f t="shared" si="82"/>
        <v>389932.49484426086</v>
      </c>
      <c r="CL120" s="38">
        <f t="shared" si="83"/>
        <v>0</v>
      </c>
      <c r="CM120" s="38">
        <f>Inputs!$D$19*(1-Inputs!$C$72*$H120)+Inputs!$D$21+Inputs!$B$72*$J120</f>
        <v>392150</v>
      </c>
      <c r="CN120" s="38">
        <f t="shared" si="84"/>
        <v>-2217.5051557391416</v>
      </c>
      <c r="CO120" s="38">
        <f t="shared" si="85"/>
        <v>1</v>
      </c>
      <c r="CP120" s="38">
        <f>MAX(0,MIN(Inputs!$B$36,CU119,CQ120+CR120+CS120+Inputs!$B$6-CT119))</f>
        <v>0</v>
      </c>
      <c r="CQ120" s="38">
        <f>Inputs!$B$27*(1+Inputs!$B$28)^($A120/12)*IF(Inputs!$B$73=1,$G120,1)*(1-Inputs!$C$73*$H120*(1-Inputs!$E$54*Inputs!$B$73))*(1+$I120)*IF(Inputs!$B$29=0,1,(MAX(CT119,0)/Inputs!$B$6)^Inputs!$B$29)</f>
        <v>19732.839244815685</v>
      </c>
      <c r="CR120" s="38">
        <f>Inputs!$B$32*CT119/Inputs!$B$6</f>
        <v>0</v>
      </c>
      <c r="CS120" s="38">
        <f>Inputs!$B$33</f>
        <v>2500</v>
      </c>
      <c r="CT120" s="38">
        <f t="shared" si="86"/>
        <v>0</v>
      </c>
      <c r="CU120" s="38">
        <f t="shared" si="87"/>
        <v>0</v>
      </c>
      <c r="CV120" s="38">
        <f>Inputs!$B$19*(1-Inputs!$C$73*$H120)+Inputs!$B$21+Inputs!$B$73*$J120</f>
        <v>583500</v>
      </c>
      <c r="CW120" s="38">
        <f t="shared" si="88"/>
        <v>-583500</v>
      </c>
      <c r="CX120" s="38">
        <f t="shared" si="89"/>
        <v>1</v>
      </c>
      <c r="CY120" s="38">
        <f>MAX(0,MIN(Inputs!$C$36,DD119,CZ120+DA120+DB120+Inputs!$C$6-DC119))</f>
        <v>0</v>
      </c>
      <c r="CZ120" s="38">
        <f>Inputs!$C$27*(1+Inputs!$C$28)^($A120/12)*IF(Inputs!$B$73=1,$G120,1)*(1-Inputs!$C$73*$H120*(1-Inputs!$E$54*Inputs!$B$73))*(1+$I120)*IF(Inputs!$C$29=0,1,(MAX(DC119,0)/Inputs!$C$6)^Inputs!$C$29)</f>
        <v>0</v>
      </c>
      <c r="DA120" s="38">
        <f>Inputs!$C$32*DC119/Inputs!$C$6</f>
        <v>0</v>
      </c>
      <c r="DB120" s="38">
        <f>Inputs!$C$33</f>
        <v>2000</v>
      </c>
      <c r="DC120" s="38">
        <f t="shared" si="90"/>
        <v>0</v>
      </c>
      <c r="DD120" s="38">
        <f t="shared" si="91"/>
        <v>0</v>
      </c>
      <c r="DE120" s="38">
        <f>Inputs!$C$19*(1-Inputs!$C$73*$H120)+Inputs!$C$21+Inputs!$B$73*$J120</f>
        <v>486000</v>
      </c>
      <c r="DF120" s="38">
        <f t="shared" si="92"/>
        <v>-486000</v>
      </c>
      <c r="DG120" s="38">
        <f t="shared" si="93"/>
        <v>1</v>
      </c>
      <c r="DH120" s="38">
        <f>MAX(0,MIN(Inputs!$D$36,DM119,DI120+DJ120+DK120+Inputs!$D$6-DL119))</f>
        <v>0</v>
      </c>
      <c r="DI120" s="38">
        <f>Inputs!$D$27*(1+Inputs!$D$28)^($A120/12)*IF(Inputs!$B$73=1,$G120,1)*(1-Inputs!$C$73*$H120*(1-Inputs!$E$54*Inputs!$B$73))*(1+$I120)*IF(Inputs!$D$29=0,1,(MAX(DL119,0)/Inputs!$D$6)^Inputs!$D$29)</f>
        <v>3619.7565761839655</v>
      </c>
      <c r="DJ120" s="38">
        <f>Inputs!$D$32*DL119/Inputs!$D$6</f>
        <v>2165.2290661716138</v>
      </c>
      <c r="DK120" s="38">
        <f>Inputs!$D$33</f>
        <v>1500</v>
      </c>
      <c r="DL120" s="38">
        <f t="shared" si="94"/>
        <v>446382.0567936016</v>
      </c>
      <c r="DM120" s="38">
        <f t="shared" si="95"/>
        <v>0</v>
      </c>
      <c r="DN120" s="38">
        <f>Inputs!$D$19*(1-Inputs!$C$73*$H120)+Inputs!$D$21+Inputs!$B$73*$J120</f>
        <v>398150</v>
      </c>
      <c r="DO120" s="38">
        <f t="shared" si="96"/>
        <v>48232.056793601601</v>
      </c>
      <c r="DP120" s="38">
        <f t="shared" si="97"/>
        <v>0</v>
      </c>
    </row>
    <row r="121" spans="1:120" x14ac:dyDescent="0.35">
      <c r="A121" s="29">
        <v>116</v>
      </c>
      <c r="B121" s="34">
        <f>EDATE(Inputs!$B$67,$A121)</f>
        <v>49796</v>
      </c>
      <c r="C121" s="35">
        <f>IF(Inputs!$E$47&lt;=0,Inputs!$E$46,Inputs!$E$44+(Inputs!$E$46-Inputs!$E$44)*MIN($A121/Inputs!$E$47,1))</f>
        <v>0.7</v>
      </c>
      <c r="D121" s="35">
        <f>MIN(Inputs!$E$57,Inputs!$E$55*(1+Inputs!$E$56)^($A121/12))*Inputs!$E$58*(1+Inputs!$E$59)^($A121/12)/Inputs!$E$45</f>
        <v>1.5</v>
      </c>
      <c r="E121" s="35">
        <f>MAX(Inputs!$E$44,MIN(C121,D121))</f>
        <v>0.7</v>
      </c>
      <c r="F121" s="35">
        <f>IF(Inputs!$E$50&lt;=0,Inputs!$E$49,Inputs!$E$48+(Inputs!$E$49-Inputs!$E$48)*MIN($A121/Inputs!$E$50,1))</f>
        <v>0.12</v>
      </c>
      <c r="G121" s="36">
        <f>(Inputs!$E$41*(1-E121*Inputs!$E$51)+Inputs!$E$42*(1-F121*Inputs!$E$51))/(Inputs!$E$41*(1-Inputs!$E$44*Inputs!$E$51)+Inputs!$E$42*(1-Inputs!$E$48*Inputs!$E$51))</f>
        <v>0.8423127463863338</v>
      </c>
      <c r="H121" s="35">
        <f>IF(Inputs!$E$53&lt;=0,Inputs!$E$52,Inputs!$E$52*MIN($A121/Inputs!$E$53,1))</f>
        <v>0.1</v>
      </c>
      <c r="I121" s="35">
        <f>IF(Inputs!$E$64&lt;=0,Inputs!$E$63,Inputs!$E$62+(Inputs!$E$63-Inputs!$E$62)*MIN($A121/Inputs!$E$64,1))</f>
        <v>0.03</v>
      </c>
      <c r="J121" s="37">
        <f>(E121-Inputs!$E$44)*Inputs!$E$45/Inputs!$E$60*Inputs!$E$61</f>
        <v>5999.9999999999991</v>
      </c>
      <c r="K121" s="29">
        <f t="shared" si="49"/>
        <v>0</v>
      </c>
      <c r="L121" s="29"/>
      <c r="M121" s="38">
        <f>MAX(0,MIN(Inputs!$B$36,R120,N121+O121+P121+Inputs!$B$6-Q120))</f>
        <v>0</v>
      </c>
      <c r="N121" s="38">
        <f>Inputs!$B$27*(1+Inputs!$B$28)^($A121/12)*IF(Inputs!$B$70=1,$G121,1)*(1-Inputs!$C$70*$H121*(1-Inputs!$E$54*Inputs!$B$70))*(1+$I121)*IF(Inputs!$B$29=0,1,(MAX(Q120,0)/Inputs!$B$6)^Inputs!$B$29)</f>
        <v>24760.440958856954</v>
      </c>
      <c r="O121" s="38">
        <f>Inputs!$B$32*Q120/Inputs!$B$6</f>
        <v>0</v>
      </c>
      <c r="P121" s="38">
        <f>Inputs!$B$33</f>
        <v>2500</v>
      </c>
      <c r="Q121" s="38">
        <f t="shared" si="50"/>
        <v>0</v>
      </c>
      <c r="R121" s="38">
        <f t="shared" si="51"/>
        <v>0</v>
      </c>
      <c r="S121" s="38">
        <f>Inputs!$B$19*(1-Inputs!$C$70*$H121)+Inputs!$B$21+Inputs!$B$70*$J121</f>
        <v>595000</v>
      </c>
      <c r="T121" s="38">
        <f t="shared" si="52"/>
        <v>-595000</v>
      </c>
      <c r="U121" s="38">
        <f t="shared" si="53"/>
        <v>1</v>
      </c>
      <c r="V121" s="38">
        <f>MAX(0,MIN(Inputs!$C$36,AA120,W121+X121+Y121+Inputs!$C$6-Z120))</f>
        <v>0</v>
      </c>
      <c r="W121" s="38">
        <f>Inputs!$C$27*(1+Inputs!$C$28)^($A121/12)*IF(Inputs!$B$70=1,$G121,1)*(1-Inputs!$C$70*$H121*(1-Inputs!$E$54*Inputs!$B$70))*(1+$I121)*IF(Inputs!$C$29=0,1,(MAX(Z120,0)/Inputs!$C$6)^Inputs!$C$29)</f>
        <v>0</v>
      </c>
      <c r="X121" s="38">
        <f>Inputs!$C$32*Z120/Inputs!$C$6</f>
        <v>0</v>
      </c>
      <c r="Y121" s="38">
        <f>Inputs!$C$33</f>
        <v>2000</v>
      </c>
      <c r="Z121" s="38">
        <f t="shared" si="54"/>
        <v>0</v>
      </c>
      <c r="AA121" s="38">
        <f t="shared" si="55"/>
        <v>0</v>
      </c>
      <c r="AB121" s="38">
        <f>Inputs!$C$19*(1-Inputs!$C$70*$H121)+Inputs!$C$21+Inputs!$B$70*$J121</f>
        <v>495000</v>
      </c>
      <c r="AC121" s="38">
        <f t="shared" si="56"/>
        <v>-495000</v>
      </c>
      <c r="AD121" s="38">
        <f t="shared" si="57"/>
        <v>1</v>
      </c>
      <c r="AE121" s="38">
        <f>MAX(0,MIN(Inputs!$D$36,AJ120,AF121+AG121+AH121+Inputs!$D$6-AI120))</f>
        <v>0</v>
      </c>
      <c r="AF121" s="38">
        <f>Inputs!$D$27*(1+Inputs!$D$28)^($A121/12)*IF(Inputs!$B$70=1,$G121,1)*(1-Inputs!$C$70*$H121*(1-Inputs!$E$54*Inputs!$B$70))*(1+$I121)*IF(Inputs!$D$29=0,1,(MAX(AI120,0)/Inputs!$D$6)^Inputs!$D$29)</f>
        <v>3931.4108120682904</v>
      </c>
      <c r="AG121" s="38">
        <f>Inputs!$D$32*AI120/Inputs!$D$6</f>
        <v>1649.4861025788557</v>
      </c>
      <c r="AH121" s="38">
        <f>Inputs!$D$33</f>
        <v>1500</v>
      </c>
      <c r="AI121" s="38">
        <f t="shared" si="58"/>
        <v>338525.71505425597</v>
      </c>
      <c r="AJ121" s="38">
        <f t="shared" si="59"/>
        <v>0</v>
      </c>
      <c r="AK121" s="38">
        <f>Inputs!$D$19*(1-Inputs!$C$70*$H121)+Inputs!$D$21+Inputs!$B$70*$J121</f>
        <v>404800</v>
      </c>
      <c r="AL121" s="38">
        <f t="shared" si="60"/>
        <v>-66274.284945744032</v>
      </c>
      <c r="AM121" s="38">
        <f t="shared" si="61"/>
        <v>1</v>
      </c>
      <c r="AN121" s="38">
        <f>MAX(0,MIN(Inputs!$B$36,AS120,AO121+AP121+AQ121+Inputs!$B$6-AR120))</f>
        <v>0</v>
      </c>
      <c r="AO121" s="38">
        <f>Inputs!$B$27*(1+Inputs!$B$28)^($A121/12)*IF(Inputs!$B$71=1,$G121,1)*(1-Inputs!$C$71*$H121*(1-Inputs!$E$54*Inputs!$B$71))*(1+$I121)*IF(Inputs!$B$29=0,1,(MAX(AR120,0)/Inputs!$B$6)^Inputs!$B$29)</f>
        <v>20856.035025791465</v>
      </c>
      <c r="AP121" s="38">
        <f>Inputs!$B$32*AR120/Inputs!$B$6</f>
        <v>0</v>
      </c>
      <c r="AQ121" s="38">
        <f>Inputs!$B$33</f>
        <v>2500</v>
      </c>
      <c r="AR121" s="38">
        <f t="shared" si="62"/>
        <v>0</v>
      </c>
      <c r="AS121" s="38">
        <f t="shared" si="63"/>
        <v>0</v>
      </c>
      <c r="AT121" s="38">
        <f>Inputs!$B$19*(1-Inputs!$C$71*$H121)+Inputs!$B$21+Inputs!$B$71*$J121</f>
        <v>601000</v>
      </c>
      <c r="AU121" s="38">
        <f t="shared" si="64"/>
        <v>-601000</v>
      </c>
      <c r="AV121" s="38">
        <f t="shared" si="65"/>
        <v>1</v>
      </c>
      <c r="AW121" s="38">
        <f>MAX(0,MIN(Inputs!$C$36,BB120,AX121+AY121+AZ121+Inputs!$C$6-BA120))</f>
        <v>0</v>
      </c>
      <c r="AX121" s="38">
        <f>Inputs!$C$27*(1+Inputs!$C$28)^($A121/12)*IF(Inputs!$B$71=1,$G121,1)*(1-Inputs!$C$71*$H121*(1-Inputs!$E$54*Inputs!$B$71))*(1+$I121)*IF(Inputs!$C$29=0,1,(MAX(BA120,0)/Inputs!$C$6)^Inputs!$C$29)</f>
        <v>0</v>
      </c>
      <c r="AY121" s="38">
        <f>Inputs!$C$32*BA120/Inputs!$C$6</f>
        <v>0</v>
      </c>
      <c r="AZ121" s="38">
        <f>Inputs!$C$33</f>
        <v>2000</v>
      </c>
      <c r="BA121" s="38">
        <f t="shared" si="66"/>
        <v>0</v>
      </c>
      <c r="BB121" s="38">
        <f t="shared" si="67"/>
        <v>0</v>
      </c>
      <c r="BC121" s="38">
        <f>Inputs!$C$19*(1-Inputs!$C$71*$H121)+Inputs!$C$21+Inputs!$B$71*$J121</f>
        <v>501000</v>
      </c>
      <c r="BD121" s="38">
        <f t="shared" si="68"/>
        <v>-501000</v>
      </c>
      <c r="BE121" s="38">
        <f t="shared" si="69"/>
        <v>1</v>
      </c>
      <c r="BF121" s="38">
        <f>MAX(0,MIN(Inputs!$D$36,BK120,BG121+BH121+BI121+Inputs!$D$6-BJ120))</f>
        <v>0</v>
      </c>
      <c r="BG121" s="38">
        <f>Inputs!$D$27*(1+Inputs!$D$28)^($A121/12)*IF(Inputs!$B$71=1,$G121,1)*(1-Inputs!$C$71*$H121*(1-Inputs!$E$54*Inputs!$B$71))*(1+$I121)*IF(Inputs!$D$29=0,1,(MAX(BJ120,0)/Inputs!$D$6)^Inputs!$D$29)</f>
        <v>3676.4150398229513</v>
      </c>
      <c r="BH121" s="38">
        <f>Inputs!$D$32*BJ120/Inputs!$D$6</f>
        <v>2033.0784082655709</v>
      </c>
      <c r="BI121" s="38">
        <f>Inputs!$D$33</f>
        <v>1500</v>
      </c>
      <c r="BJ121" s="38">
        <f t="shared" si="70"/>
        <v>418768.83971231687</v>
      </c>
      <c r="BK121" s="38">
        <f t="shared" si="71"/>
        <v>0</v>
      </c>
      <c r="BL121" s="38">
        <f>Inputs!$D$19*(1-Inputs!$C$71*$H121)+Inputs!$D$21+Inputs!$B$71*$J121</f>
        <v>410800</v>
      </c>
      <c r="BM121" s="38">
        <f t="shared" si="72"/>
        <v>7968.8397123168688</v>
      </c>
      <c r="BN121" s="38">
        <f t="shared" si="73"/>
        <v>0</v>
      </c>
      <c r="BO121" s="38">
        <f>MAX(0,MIN(Inputs!$B$36,BT120,BP121+BQ121+BR121+Inputs!$B$6-BS120))</f>
        <v>0</v>
      </c>
      <c r="BP121" s="38">
        <f>Inputs!$B$27*(1+Inputs!$B$28)^($A121/12)*IF(Inputs!$B$72=1,$G121,1)*(1-Inputs!$C$72*$H121*(1-Inputs!$E$54*Inputs!$B$72))*(1+$I121)*IF(Inputs!$B$29=0,1,(MAX(BS120,0)/Inputs!$B$6)^Inputs!$B$29)</f>
        <v>22284.396862971258</v>
      </c>
      <c r="BQ121" s="38">
        <f>Inputs!$B$32*BS120/Inputs!$B$6</f>
        <v>0</v>
      </c>
      <c r="BR121" s="38">
        <f>Inputs!$B$33</f>
        <v>2500</v>
      </c>
      <c r="BS121" s="38">
        <f t="shared" si="74"/>
        <v>0</v>
      </c>
      <c r="BT121" s="38">
        <f t="shared" si="75"/>
        <v>0</v>
      </c>
      <c r="BU121" s="38">
        <f>Inputs!$B$19*(1-Inputs!$C$72*$H121)+Inputs!$B$21+Inputs!$B$72*$J121</f>
        <v>577500</v>
      </c>
      <c r="BV121" s="38">
        <f t="shared" si="76"/>
        <v>-577500</v>
      </c>
      <c r="BW121" s="38">
        <f t="shared" si="77"/>
        <v>1</v>
      </c>
      <c r="BX121" s="38">
        <f>MAX(0,MIN(Inputs!$C$36,CC120,BY121+BZ121+CA121+Inputs!$C$6-CB120))</f>
        <v>0</v>
      </c>
      <c r="BY121" s="38">
        <f>Inputs!$C$27*(1+Inputs!$C$28)^($A121/12)*IF(Inputs!$B$72=1,$G121,1)*(1-Inputs!$C$72*$H121*(1-Inputs!$E$54*Inputs!$B$72))*(1+$I121)*IF(Inputs!$C$29=0,1,(MAX(CB120,0)/Inputs!$C$6)^Inputs!$C$29)</f>
        <v>0</v>
      </c>
      <c r="BZ121" s="38">
        <f>Inputs!$C$32*CB120/Inputs!$C$6</f>
        <v>0</v>
      </c>
      <c r="CA121" s="38">
        <f>Inputs!$C$33</f>
        <v>2000</v>
      </c>
      <c r="CB121" s="38">
        <f t="shared" si="78"/>
        <v>0</v>
      </c>
      <c r="CC121" s="38">
        <f t="shared" si="79"/>
        <v>0</v>
      </c>
      <c r="CD121" s="38">
        <f>Inputs!$C$19*(1-Inputs!$C$72*$H121)+Inputs!$C$21+Inputs!$B$72*$J121</f>
        <v>480000</v>
      </c>
      <c r="CE121" s="38">
        <f t="shared" si="80"/>
        <v>-480000</v>
      </c>
      <c r="CF121" s="38">
        <f t="shared" si="81"/>
        <v>1</v>
      </c>
      <c r="CG121" s="38">
        <f>MAX(0,MIN(Inputs!$D$36,CL120,CH121+CI121+CJ121+Inputs!$D$6-CK120))</f>
        <v>0</v>
      </c>
      <c r="CH121" s="38">
        <f>Inputs!$D$27*(1+Inputs!$D$28)^($A121/12)*IF(Inputs!$B$72=1,$G121,1)*(1-Inputs!$C$72*$H121*(1-Inputs!$E$54*Inputs!$B$72))*(1+$I121)*IF(Inputs!$D$29=0,1,(MAX(CK120,0)/Inputs!$D$6)^Inputs!$D$29)</f>
        <v>3758.3275719661706</v>
      </c>
      <c r="CI121" s="38">
        <f>Inputs!$D$32*CK120/Inputs!$D$6</f>
        <v>1861.0414526657903</v>
      </c>
      <c r="CJ121" s="38">
        <f>Inputs!$D$33</f>
        <v>1500</v>
      </c>
      <c r="CK121" s="38">
        <f t="shared" si="82"/>
        <v>382813.12581962888</v>
      </c>
      <c r="CL121" s="38">
        <f t="shared" si="83"/>
        <v>0</v>
      </c>
      <c r="CM121" s="38">
        <f>Inputs!$D$19*(1-Inputs!$C$72*$H121)+Inputs!$D$21+Inputs!$B$72*$J121</f>
        <v>392150</v>
      </c>
      <c r="CN121" s="38">
        <f t="shared" si="84"/>
        <v>-9336.8741803711164</v>
      </c>
      <c r="CO121" s="38">
        <f t="shared" si="85"/>
        <v>1</v>
      </c>
      <c r="CP121" s="38">
        <f>MAX(0,MIN(Inputs!$B$36,CU120,CQ121+CR121+CS121+Inputs!$B$6-CT120))</f>
        <v>0</v>
      </c>
      <c r="CQ121" s="38">
        <f>Inputs!$B$27*(1+Inputs!$B$28)^($A121/12)*IF(Inputs!$B$73=1,$G121,1)*(1-Inputs!$C$73*$H121*(1-Inputs!$E$54*Inputs!$B$73))*(1+$I121)*IF(Inputs!$B$29=0,1,(MAX(CT120,0)/Inputs!$B$6)^Inputs!$B$29)</f>
        <v>19813.233274501894</v>
      </c>
      <c r="CR121" s="38">
        <f>Inputs!$B$32*CT120/Inputs!$B$6</f>
        <v>0</v>
      </c>
      <c r="CS121" s="38">
        <f>Inputs!$B$33</f>
        <v>2500</v>
      </c>
      <c r="CT121" s="38">
        <f t="shared" si="86"/>
        <v>0</v>
      </c>
      <c r="CU121" s="38">
        <f t="shared" si="87"/>
        <v>0</v>
      </c>
      <c r="CV121" s="38">
        <f>Inputs!$B$19*(1-Inputs!$C$73*$H121)+Inputs!$B$21+Inputs!$B$73*$J121</f>
        <v>583500</v>
      </c>
      <c r="CW121" s="38">
        <f t="shared" si="88"/>
        <v>-583500</v>
      </c>
      <c r="CX121" s="38">
        <f t="shared" si="89"/>
        <v>1</v>
      </c>
      <c r="CY121" s="38">
        <f>MAX(0,MIN(Inputs!$C$36,DD120,CZ121+DA121+DB121+Inputs!$C$6-DC120))</f>
        <v>0</v>
      </c>
      <c r="CZ121" s="38">
        <f>Inputs!$C$27*(1+Inputs!$C$28)^($A121/12)*IF(Inputs!$B$73=1,$G121,1)*(1-Inputs!$C$73*$H121*(1-Inputs!$E$54*Inputs!$B$73))*(1+$I121)*IF(Inputs!$C$29=0,1,(MAX(DC120,0)/Inputs!$C$6)^Inputs!$C$29)</f>
        <v>0</v>
      </c>
      <c r="DA121" s="38">
        <f>Inputs!$C$32*DC120/Inputs!$C$6</f>
        <v>0</v>
      </c>
      <c r="DB121" s="38">
        <f>Inputs!$C$33</f>
        <v>2000</v>
      </c>
      <c r="DC121" s="38">
        <f t="shared" si="90"/>
        <v>0</v>
      </c>
      <c r="DD121" s="38">
        <f t="shared" si="91"/>
        <v>0</v>
      </c>
      <c r="DE121" s="38">
        <f>Inputs!$C$19*(1-Inputs!$C$73*$H121)+Inputs!$C$21+Inputs!$B$73*$J121</f>
        <v>486000</v>
      </c>
      <c r="DF121" s="38">
        <f t="shared" si="92"/>
        <v>-486000</v>
      </c>
      <c r="DG121" s="38">
        <f t="shared" si="93"/>
        <v>1</v>
      </c>
      <c r="DH121" s="38">
        <f>MAX(0,MIN(Inputs!$D$36,DM120,DI121+DJ121+DK121+Inputs!$D$6-DL120))</f>
        <v>0</v>
      </c>
      <c r="DI121" s="38">
        <f>Inputs!$D$27*(1+Inputs!$D$28)^($A121/12)*IF(Inputs!$B$73=1,$G121,1)*(1-Inputs!$C$73*$H121*(1-Inputs!$E$54*Inputs!$B$73))*(1+$I121)*IF(Inputs!$D$29=0,1,(MAX(DL120,0)/Inputs!$D$6)^Inputs!$D$29)</f>
        <v>3575.2609787963802</v>
      </c>
      <c r="DJ121" s="38">
        <f>Inputs!$D$32*DL120/Inputs!$D$6</f>
        <v>2130.4598165149168</v>
      </c>
      <c r="DK121" s="38">
        <f>Inputs!$D$33</f>
        <v>1500</v>
      </c>
      <c r="DL121" s="38">
        <f t="shared" si="94"/>
        <v>439176.33599829028</v>
      </c>
      <c r="DM121" s="38">
        <f t="shared" si="95"/>
        <v>0</v>
      </c>
      <c r="DN121" s="38">
        <f>Inputs!$D$19*(1-Inputs!$C$73*$H121)+Inputs!$D$21+Inputs!$B$73*$J121</f>
        <v>398150</v>
      </c>
      <c r="DO121" s="38">
        <f t="shared" si="96"/>
        <v>41026.335998290277</v>
      </c>
      <c r="DP121" s="38">
        <f t="shared" si="97"/>
        <v>0</v>
      </c>
    </row>
    <row r="122" spans="1:120" x14ac:dyDescent="0.35">
      <c r="A122" s="29">
        <v>117</v>
      </c>
      <c r="B122" s="34">
        <f>EDATE(Inputs!$B$67,$A122)</f>
        <v>49827</v>
      </c>
      <c r="C122" s="35">
        <f>IF(Inputs!$E$47&lt;=0,Inputs!$E$46,Inputs!$E$44+(Inputs!$E$46-Inputs!$E$44)*MIN($A122/Inputs!$E$47,1))</f>
        <v>0.7</v>
      </c>
      <c r="D122" s="35">
        <f>MIN(Inputs!$E$57,Inputs!$E$55*(1+Inputs!$E$56)^($A122/12))*Inputs!$E$58*(1+Inputs!$E$59)^($A122/12)/Inputs!$E$45</f>
        <v>1.5</v>
      </c>
      <c r="E122" s="35">
        <f>MAX(Inputs!$E$44,MIN(C122,D122))</f>
        <v>0.7</v>
      </c>
      <c r="F122" s="35">
        <f>IF(Inputs!$E$50&lt;=0,Inputs!$E$49,Inputs!$E$48+(Inputs!$E$49-Inputs!$E$48)*MIN($A122/Inputs!$E$50,1))</f>
        <v>0.12</v>
      </c>
      <c r="G122" s="36">
        <f>(Inputs!$E$41*(1-E122*Inputs!$E$51)+Inputs!$E$42*(1-F122*Inputs!$E$51))/(Inputs!$E$41*(1-Inputs!$E$44*Inputs!$E$51)+Inputs!$E$42*(1-Inputs!$E$48*Inputs!$E$51))</f>
        <v>0.8423127463863338</v>
      </c>
      <c r="H122" s="35">
        <f>IF(Inputs!$E$53&lt;=0,Inputs!$E$52,Inputs!$E$52*MIN($A122/Inputs!$E$53,1))</f>
        <v>0.1</v>
      </c>
      <c r="I122" s="35">
        <f>IF(Inputs!$E$64&lt;=0,Inputs!$E$63,Inputs!$E$62+(Inputs!$E$63-Inputs!$E$62)*MIN($A122/Inputs!$E$64,1))</f>
        <v>0.03</v>
      </c>
      <c r="J122" s="37">
        <f>(E122-Inputs!$E$44)*Inputs!$E$45/Inputs!$E$60*Inputs!$E$61</f>
        <v>5999.9999999999991</v>
      </c>
      <c r="K122" s="29">
        <f t="shared" si="49"/>
        <v>0</v>
      </c>
      <c r="L122" s="29"/>
      <c r="M122" s="38">
        <f>MAX(0,MIN(Inputs!$B$36,R121,N122+O122+P122+Inputs!$B$6-Q121))</f>
        <v>0</v>
      </c>
      <c r="N122" s="38">
        <f>Inputs!$B$27*(1+Inputs!$B$28)^($A122/12)*IF(Inputs!$B$70=1,$G122,1)*(1-Inputs!$C$70*$H122*(1-Inputs!$E$54*Inputs!$B$70))*(1+$I122)*IF(Inputs!$B$29=0,1,(MAX(Q121,0)/Inputs!$B$6)^Inputs!$B$29)</f>
        <v>24861.318060261048</v>
      </c>
      <c r="O122" s="38">
        <f>Inputs!$B$32*Q121/Inputs!$B$6</f>
        <v>0</v>
      </c>
      <c r="P122" s="38">
        <f>Inputs!$B$33</f>
        <v>2500</v>
      </c>
      <c r="Q122" s="38">
        <f t="shared" si="50"/>
        <v>0</v>
      </c>
      <c r="R122" s="38">
        <f t="shared" si="51"/>
        <v>0</v>
      </c>
      <c r="S122" s="38">
        <f>Inputs!$B$19*(1-Inputs!$C$70*$H122)+Inputs!$B$21+Inputs!$B$70*$J122</f>
        <v>595000</v>
      </c>
      <c r="T122" s="38">
        <f t="shared" si="52"/>
        <v>-595000</v>
      </c>
      <c r="U122" s="38">
        <f t="shared" si="53"/>
        <v>1</v>
      </c>
      <c r="V122" s="38">
        <f>MAX(0,MIN(Inputs!$C$36,AA121,W122+X122+Y122+Inputs!$C$6-Z121))</f>
        <v>0</v>
      </c>
      <c r="W122" s="38">
        <f>Inputs!$C$27*(1+Inputs!$C$28)^($A122/12)*IF(Inputs!$B$70=1,$G122,1)*(1-Inputs!$C$70*$H122*(1-Inputs!$E$54*Inputs!$B$70))*(1+$I122)*IF(Inputs!$C$29=0,1,(MAX(Z121,0)/Inputs!$C$6)^Inputs!$C$29)</f>
        <v>0</v>
      </c>
      <c r="X122" s="38">
        <f>Inputs!$C$32*Z121/Inputs!$C$6</f>
        <v>0</v>
      </c>
      <c r="Y122" s="38">
        <f>Inputs!$C$33</f>
        <v>2000</v>
      </c>
      <c r="Z122" s="38">
        <f t="shared" si="54"/>
        <v>0</v>
      </c>
      <c r="AA122" s="38">
        <f t="shared" si="55"/>
        <v>0</v>
      </c>
      <c r="AB122" s="38">
        <f>Inputs!$C$19*(1-Inputs!$C$70*$H122)+Inputs!$C$21+Inputs!$B$70*$J122</f>
        <v>495000</v>
      </c>
      <c r="AC122" s="38">
        <f t="shared" si="56"/>
        <v>-495000</v>
      </c>
      <c r="AD122" s="38">
        <f t="shared" si="57"/>
        <v>1</v>
      </c>
      <c r="AE122" s="38">
        <f>MAX(0,MIN(Inputs!$D$36,AJ121,AF122+AG122+AH122+Inputs!$D$6-AI121))</f>
        <v>0</v>
      </c>
      <c r="AF122" s="38">
        <f>Inputs!$D$27*(1+Inputs!$D$28)^($A122/12)*IF(Inputs!$B$70=1,$G122,1)*(1-Inputs!$C$70*$H122*(1-Inputs!$E$54*Inputs!$B$70))*(1+$I122)*IF(Inputs!$D$29=0,1,(MAX(AI121,0)/Inputs!$D$6)^Inputs!$D$29)</f>
        <v>3874.3323445758497</v>
      </c>
      <c r="AG122" s="38">
        <f>Inputs!$D$32*AI121/Inputs!$D$6</f>
        <v>1615.6909127589488</v>
      </c>
      <c r="AH122" s="38">
        <f>Inputs!$D$33</f>
        <v>1500</v>
      </c>
      <c r="AI122" s="38">
        <f t="shared" si="58"/>
        <v>331535.69179692119</v>
      </c>
      <c r="AJ122" s="38">
        <f t="shared" si="59"/>
        <v>0</v>
      </c>
      <c r="AK122" s="38">
        <f>Inputs!$D$19*(1-Inputs!$C$70*$H122)+Inputs!$D$21+Inputs!$B$70*$J122</f>
        <v>404800</v>
      </c>
      <c r="AL122" s="38">
        <f t="shared" si="60"/>
        <v>-73264.308203078806</v>
      </c>
      <c r="AM122" s="38">
        <f t="shared" si="61"/>
        <v>1</v>
      </c>
      <c r="AN122" s="38">
        <f>MAX(0,MIN(Inputs!$B$36,AS121,AO122+AP122+AQ122+Inputs!$B$6-AR121))</f>
        <v>0</v>
      </c>
      <c r="AO122" s="38">
        <f>Inputs!$B$27*(1+Inputs!$B$28)^($A122/12)*IF(Inputs!$B$71=1,$G122,1)*(1-Inputs!$C$71*$H122*(1-Inputs!$E$54*Inputs!$B$71))*(1+$I122)*IF(Inputs!$B$29=0,1,(MAX(AR121,0)/Inputs!$B$6)^Inputs!$B$29)</f>
        <v>20941.005094122647</v>
      </c>
      <c r="AP122" s="38">
        <f>Inputs!$B$32*AR121/Inputs!$B$6</f>
        <v>0</v>
      </c>
      <c r="AQ122" s="38">
        <f>Inputs!$B$33</f>
        <v>2500</v>
      </c>
      <c r="AR122" s="38">
        <f t="shared" si="62"/>
        <v>0</v>
      </c>
      <c r="AS122" s="38">
        <f t="shared" si="63"/>
        <v>0</v>
      </c>
      <c r="AT122" s="38">
        <f>Inputs!$B$19*(1-Inputs!$C$71*$H122)+Inputs!$B$21+Inputs!$B$71*$J122</f>
        <v>601000</v>
      </c>
      <c r="AU122" s="38">
        <f t="shared" si="64"/>
        <v>-601000</v>
      </c>
      <c r="AV122" s="38">
        <f t="shared" si="65"/>
        <v>1</v>
      </c>
      <c r="AW122" s="38">
        <f>MAX(0,MIN(Inputs!$C$36,BB121,AX122+AY122+AZ122+Inputs!$C$6-BA121))</f>
        <v>0</v>
      </c>
      <c r="AX122" s="38">
        <f>Inputs!$C$27*(1+Inputs!$C$28)^($A122/12)*IF(Inputs!$B$71=1,$G122,1)*(1-Inputs!$C$71*$H122*(1-Inputs!$E$54*Inputs!$B$71))*(1+$I122)*IF(Inputs!$C$29=0,1,(MAX(BA121,0)/Inputs!$C$6)^Inputs!$C$29)</f>
        <v>0</v>
      </c>
      <c r="AY122" s="38">
        <f>Inputs!$C$32*BA121/Inputs!$C$6</f>
        <v>0</v>
      </c>
      <c r="AZ122" s="38">
        <f>Inputs!$C$33</f>
        <v>2000</v>
      </c>
      <c r="BA122" s="38">
        <f t="shared" si="66"/>
        <v>0</v>
      </c>
      <c r="BB122" s="38">
        <f t="shared" si="67"/>
        <v>0</v>
      </c>
      <c r="BC122" s="38">
        <f>Inputs!$C$19*(1-Inputs!$C$71*$H122)+Inputs!$C$21+Inputs!$B$71*$J122</f>
        <v>501000</v>
      </c>
      <c r="BD122" s="38">
        <f t="shared" si="68"/>
        <v>-501000</v>
      </c>
      <c r="BE122" s="38">
        <f t="shared" si="69"/>
        <v>1</v>
      </c>
      <c r="BF122" s="38">
        <f>MAX(0,MIN(Inputs!$D$36,BK121,BG122+BH122+BI122+Inputs!$D$6-BJ121))</f>
        <v>0</v>
      </c>
      <c r="BG122" s="38">
        <f>Inputs!$D$27*(1+Inputs!$D$28)^($A122/12)*IF(Inputs!$B$71=1,$G122,1)*(1-Inputs!$C$71*$H122*(1-Inputs!$E$54*Inputs!$B$71))*(1+$I122)*IF(Inputs!$D$29=0,1,(MAX(BJ121,0)/Inputs!$D$6)^Inputs!$D$29)</f>
        <v>3629.6236184456125</v>
      </c>
      <c r="BH122" s="38">
        <f>Inputs!$D$32*BJ121/Inputs!$D$6</f>
        <v>1998.6694622633306</v>
      </c>
      <c r="BI122" s="38">
        <f>Inputs!$D$33</f>
        <v>1500</v>
      </c>
      <c r="BJ122" s="38">
        <f t="shared" si="70"/>
        <v>411640.54663160793</v>
      </c>
      <c r="BK122" s="38">
        <f t="shared" si="71"/>
        <v>0</v>
      </c>
      <c r="BL122" s="38">
        <f>Inputs!$D$19*(1-Inputs!$C$71*$H122)+Inputs!$D$21+Inputs!$B$71*$J122</f>
        <v>410800</v>
      </c>
      <c r="BM122" s="38">
        <f t="shared" si="72"/>
        <v>840.54663160792552</v>
      </c>
      <c r="BN122" s="38">
        <f t="shared" si="73"/>
        <v>0</v>
      </c>
      <c r="BO122" s="38">
        <f>MAX(0,MIN(Inputs!$B$36,BT121,BP122+BQ122+BR122+Inputs!$B$6-BS121))</f>
        <v>0</v>
      </c>
      <c r="BP122" s="38">
        <f>Inputs!$B$27*(1+Inputs!$B$28)^($A122/12)*IF(Inputs!$B$72=1,$G122,1)*(1-Inputs!$C$72*$H122*(1-Inputs!$E$54*Inputs!$B$72))*(1+$I122)*IF(Inputs!$B$29=0,1,(MAX(BS121,0)/Inputs!$B$6)^Inputs!$B$29)</f>
        <v>22375.186254234941</v>
      </c>
      <c r="BQ122" s="38">
        <f>Inputs!$B$32*BS121/Inputs!$B$6</f>
        <v>0</v>
      </c>
      <c r="BR122" s="38">
        <f>Inputs!$B$33</f>
        <v>2500</v>
      </c>
      <c r="BS122" s="38">
        <f t="shared" si="74"/>
        <v>0</v>
      </c>
      <c r="BT122" s="38">
        <f t="shared" si="75"/>
        <v>0</v>
      </c>
      <c r="BU122" s="38">
        <f>Inputs!$B$19*(1-Inputs!$C$72*$H122)+Inputs!$B$21+Inputs!$B$72*$J122</f>
        <v>577500</v>
      </c>
      <c r="BV122" s="38">
        <f t="shared" si="76"/>
        <v>-577500</v>
      </c>
      <c r="BW122" s="38">
        <f t="shared" si="77"/>
        <v>1</v>
      </c>
      <c r="BX122" s="38">
        <f>MAX(0,MIN(Inputs!$C$36,CC121,BY122+BZ122+CA122+Inputs!$C$6-CB121))</f>
        <v>0</v>
      </c>
      <c r="BY122" s="38">
        <f>Inputs!$C$27*(1+Inputs!$C$28)^($A122/12)*IF(Inputs!$B$72=1,$G122,1)*(1-Inputs!$C$72*$H122*(1-Inputs!$E$54*Inputs!$B$72))*(1+$I122)*IF(Inputs!$C$29=0,1,(MAX(CB121,0)/Inputs!$C$6)^Inputs!$C$29)</f>
        <v>0</v>
      </c>
      <c r="BZ122" s="38">
        <f>Inputs!$C$32*CB121/Inputs!$C$6</f>
        <v>0</v>
      </c>
      <c r="CA122" s="38">
        <f>Inputs!$C$33</f>
        <v>2000</v>
      </c>
      <c r="CB122" s="38">
        <f t="shared" si="78"/>
        <v>0</v>
      </c>
      <c r="CC122" s="38">
        <f t="shared" si="79"/>
        <v>0</v>
      </c>
      <c r="CD122" s="38">
        <f>Inputs!$C$19*(1-Inputs!$C$72*$H122)+Inputs!$C$21+Inputs!$B$72*$J122</f>
        <v>480000</v>
      </c>
      <c r="CE122" s="38">
        <f t="shared" si="80"/>
        <v>-480000</v>
      </c>
      <c r="CF122" s="38">
        <f t="shared" si="81"/>
        <v>1</v>
      </c>
      <c r="CG122" s="38">
        <f>MAX(0,MIN(Inputs!$D$36,CL121,CH122+CI122+CJ122+Inputs!$D$6-CK121))</f>
        <v>0</v>
      </c>
      <c r="CH122" s="38">
        <f>Inputs!$D$27*(1+Inputs!$D$28)^($A122/12)*IF(Inputs!$B$72=1,$G122,1)*(1-Inputs!$C$72*$H122*(1-Inputs!$E$54*Inputs!$B$72))*(1+$I122)*IF(Inputs!$D$29=0,1,(MAX(CK121,0)/Inputs!$D$6)^Inputs!$D$29)</f>
        <v>3707.9763869467392</v>
      </c>
      <c r="CI122" s="38">
        <f>Inputs!$D$32*CK121/Inputs!$D$6</f>
        <v>1827.0626459573195</v>
      </c>
      <c r="CJ122" s="38">
        <f>Inputs!$D$33</f>
        <v>1500</v>
      </c>
      <c r="CK122" s="38">
        <f t="shared" si="82"/>
        <v>375778.0867867248</v>
      </c>
      <c r="CL122" s="38">
        <f t="shared" si="83"/>
        <v>0</v>
      </c>
      <c r="CM122" s="38">
        <f>Inputs!$D$19*(1-Inputs!$C$72*$H122)+Inputs!$D$21+Inputs!$B$72*$J122</f>
        <v>392150</v>
      </c>
      <c r="CN122" s="38">
        <f t="shared" si="84"/>
        <v>-16371.913213275198</v>
      </c>
      <c r="CO122" s="38">
        <f t="shared" si="85"/>
        <v>1</v>
      </c>
      <c r="CP122" s="38">
        <f>MAX(0,MIN(Inputs!$B$36,CU121,CQ122+CR122+CS122+Inputs!$B$6-CT121))</f>
        <v>0</v>
      </c>
      <c r="CQ122" s="38">
        <f>Inputs!$B$27*(1+Inputs!$B$28)^($A122/12)*IF(Inputs!$B$73=1,$G122,1)*(1-Inputs!$C$73*$H122*(1-Inputs!$E$54*Inputs!$B$73))*(1+$I122)*IF(Inputs!$B$29=0,1,(MAX(CT121,0)/Inputs!$B$6)^Inputs!$B$29)</f>
        <v>19893.95483941651</v>
      </c>
      <c r="CR122" s="38">
        <f>Inputs!$B$32*CT121/Inputs!$B$6</f>
        <v>0</v>
      </c>
      <c r="CS122" s="38">
        <f>Inputs!$B$33</f>
        <v>2500</v>
      </c>
      <c r="CT122" s="38">
        <f t="shared" si="86"/>
        <v>0</v>
      </c>
      <c r="CU122" s="38">
        <f t="shared" si="87"/>
        <v>0</v>
      </c>
      <c r="CV122" s="38">
        <f>Inputs!$B$19*(1-Inputs!$C$73*$H122)+Inputs!$B$21+Inputs!$B$73*$J122</f>
        <v>583500</v>
      </c>
      <c r="CW122" s="38">
        <f t="shared" si="88"/>
        <v>-583500</v>
      </c>
      <c r="CX122" s="38">
        <f t="shared" si="89"/>
        <v>1</v>
      </c>
      <c r="CY122" s="38">
        <f>MAX(0,MIN(Inputs!$C$36,DD121,CZ122+DA122+DB122+Inputs!$C$6-DC121))</f>
        <v>0</v>
      </c>
      <c r="CZ122" s="38">
        <f>Inputs!$C$27*(1+Inputs!$C$28)^($A122/12)*IF(Inputs!$B$73=1,$G122,1)*(1-Inputs!$C$73*$H122*(1-Inputs!$E$54*Inputs!$B$73))*(1+$I122)*IF(Inputs!$C$29=0,1,(MAX(DC121,0)/Inputs!$C$6)^Inputs!$C$29)</f>
        <v>0</v>
      </c>
      <c r="DA122" s="38">
        <f>Inputs!$C$32*DC121/Inputs!$C$6</f>
        <v>0</v>
      </c>
      <c r="DB122" s="38">
        <f>Inputs!$C$33</f>
        <v>2000</v>
      </c>
      <c r="DC122" s="38">
        <f t="shared" si="90"/>
        <v>0</v>
      </c>
      <c r="DD122" s="38">
        <f t="shared" si="91"/>
        <v>0</v>
      </c>
      <c r="DE122" s="38">
        <f>Inputs!$C$19*(1-Inputs!$C$73*$H122)+Inputs!$C$21+Inputs!$B$73*$J122</f>
        <v>486000</v>
      </c>
      <c r="DF122" s="38">
        <f t="shared" si="92"/>
        <v>-486000</v>
      </c>
      <c r="DG122" s="38">
        <f t="shared" si="93"/>
        <v>1</v>
      </c>
      <c r="DH122" s="38">
        <f>MAX(0,MIN(Inputs!$D$36,DM121,DI122+DJ122+DK122+Inputs!$D$6-DL121))</f>
        <v>0</v>
      </c>
      <c r="DI122" s="38">
        <f>Inputs!$D$27*(1+Inputs!$D$28)^($A122/12)*IF(Inputs!$B$73=1,$G122,1)*(1-Inputs!$C$73*$H122*(1-Inputs!$E$54*Inputs!$B$73))*(1+$I122)*IF(Inputs!$D$29=0,1,(MAX(DL121,0)/Inputs!$D$6)^Inputs!$D$29)</f>
        <v>3531.1607115617967</v>
      </c>
      <c r="DJ122" s="38">
        <f>Inputs!$D$32*DL121/Inputs!$D$6</f>
        <v>2096.0688763554763</v>
      </c>
      <c r="DK122" s="38">
        <f>Inputs!$D$33</f>
        <v>1500</v>
      </c>
      <c r="DL122" s="38">
        <f t="shared" si="94"/>
        <v>432049.106410373</v>
      </c>
      <c r="DM122" s="38">
        <f t="shared" si="95"/>
        <v>0</v>
      </c>
      <c r="DN122" s="38">
        <f>Inputs!$D$19*(1-Inputs!$C$73*$H122)+Inputs!$D$21+Inputs!$B$73*$J122</f>
        <v>398150</v>
      </c>
      <c r="DO122" s="38">
        <f t="shared" si="96"/>
        <v>33899.106410373002</v>
      </c>
      <c r="DP122" s="38">
        <f t="shared" si="97"/>
        <v>0</v>
      </c>
    </row>
    <row r="123" spans="1:120" x14ac:dyDescent="0.35">
      <c r="A123" s="29">
        <v>118</v>
      </c>
      <c r="B123" s="34">
        <f>EDATE(Inputs!$B$67,$A123)</f>
        <v>49857</v>
      </c>
      <c r="C123" s="35">
        <f>IF(Inputs!$E$47&lt;=0,Inputs!$E$46,Inputs!$E$44+(Inputs!$E$46-Inputs!$E$44)*MIN($A123/Inputs!$E$47,1))</f>
        <v>0.7</v>
      </c>
      <c r="D123" s="35">
        <f>MIN(Inputs!$E$57,Inputs!$E$55*(1+Inputs!$E$56)^($A123/12))*Inputs!$E$58*(1+Inputs!$E$59)^($A123/12)/Inputs!$E$45</f>
        <v>1.5</v>
      </c>
      <c r="E123" s="35">
        <f>MAX(Inputs!$E$44,MIN(C123,D123))</f>
        <v>0.7</v>
      </c>
      <c r="F123" s="35">
        <f>IF(Inputs!$E$50&lt;=0,Inputs!$E$49,Inputs!$E$48+(Inputs!$E$49-Inputs!$E$48)*MIN($A123/Inputs!$E$50,1))</f>
        <v>0.12</v>
      </c>
      <c r="G123" s="36">
        <f>(Inputs!$E$41*(1-E123*Inputs!$E$51)+Inputs!$E$42*(1-F123*Inputs!$E$51))/(Inputs!$E$41*(1-Inputs!$E$44*Inputs!$E$51)+Inputs!$E$42*(1-Inputs!$E$48*Inputs!$E$51))</f>
        <v>0.8423127463863338</v>
      </c>
      <c r="H123" s="35">
        <f>IF(Inputs!$E$53&lt;=0,Inputs!$E$52,Inputs!$E$52*MIN($A123/Inputs!$E$53,1))</f>
        <v>0.1</v>
      </c>
      <c r="I123" s="35">
        <f>IF(Inputs!$E$64&lt;=0,Inputs!$E$63,Inputs!$E$62+(Inputs!$E$63-Inputs!$E$62)*MIN($A123/Inputs!$E$64,1))</f>
        <v>0.03</v>
      </c>
      <c r="J123" s="37">
        <f>(E123-Inputs!$E$44)*Inputs!$E$45/Inputs!$E$60*Inputs!$E$61</f>
        <v>5999.9999999999991</v>
      </c>
      <c r="K123" s="29">
        <f t="shared" si="49"/>
        <v>0</v>
      </c>
      <c r="L123" s="29"/>
      <c r="M123" s="38">
        <f>MAX(0,MIN(Inputs!$B$36,R122,N123+O123+P123+Inputs!$B$6-Q122))</f>
        <v>0</v>
      </c>
      <c r="N123" s="38">
        <f>Inputs!$B$27*(1+Inputs!$B$28)^($A123/12)*IF(Inputs!$B$70=1,$G123,1)*(1-Inputs!$C$70*$H123*(1-Inputs!$E$54*Inputs!$B$70))*(1+$I123)*IF(Inputs!$B$29=0,1,(MAX(Q122,0)/Inputs!$B$6)^Inputs!$B$29)</f>
        <v>24962.606147463204</v>
      </c>
      <c r="O123" s="38">
        <f>Inputs!$B$32*Q122/Inputs!$B$6</f>
        <v>0</v>
      </c>
      <c r="P123" s="38">
        <f>Inputs!$B$33</f>
        <v>2500</v>
      </c>
      <c r="Q123" s="38">
        <f t="shared" si="50"/>
        <v>0</v>
      </c>
      <c r="R123" s="38">
        <f t="shared" si="51"/>
        <v>0</v>
      </c>
      <c r="S123" s="38">
        <f>Inputs!$B$19*(1-Inputs!$C$70*$H123)+Inputs!$B$21+Inputs!$B$70*$J123</f>
        <v>595000</v>
      </c>
      <c r="T123" s="38">
        <f t="shared" si="52"/>
        <v>-595000</v>
      </c>
      <c r="U123" s="38">
        <f t="shared" si="53"/>
        <v>1</v>
      </c>
      <c r="V123" s="38">
        <f>MAX(0,MIN(Inputs!$C$36,AA122,W123+X123+Y123+Inputs!$C$6-Z122))</f>
        <v>0</v>
      </c>
      <c r="W123" s="38">
        <f>Inputs!$C$27*(1+Inputs!$C$28)^($A123/12)*IF(Inputs!$B$70=1,$G123,1)*(1-Inputs!$C$70*$H123*(1-Inputs!$E$54*Inputs!$B$70))*(1+$I123)*IF(Inputs!$C$29=0,1,(MAX(Z122,0)/Inputs!$C$6)^Inputs!$C$29)</f>
        <v>0</v>
      </c>
      <c r="X123" s="38">
        <f>Inputs!$C$32*Z122/Inputs!$C$6</f>
        <v>0</v>
      </c>
      <c r="Y123" s="38">
        <f>Inputs!$C$33</f>
        <v>2000</v>
      </c>
      <c r="Z123" s="38">
        <f t="shared" si="54"/>
        <v>0</v>
      </c>
      <c r="AA123" s="38">
        <f t="shared" si="55"/>
        <v>0</v>
      </c>
      <c r="AB123" s="38">
        <f>Inputs!$C$19*(1-Inputs!$C$70*$H123)+Inputs!$C$21+Inputs!$B$70*$J123</f>
        <v>495000</v>
      </c>
      <c r="AC123" s="38">
        <f t="shared" si="56"/>
        <v>-495000</v>
      </c>
      <c r="AD123" s="38">
        <f t="shared" si="57"/>
        <v>1</v>
      </c>
      <c r="AE123" s="38">
        <f>MAX(0,MIN(Inputs!$D$36,AJ122,AF123+AG123+AH123+Inputs!$D$6-AI122))</f>
        <v>0</v>
      </c>
      <c r="AF123" s="38">
        <f>Inputs!$D$27*(1+Inputs!$D$28)^($A123/12)*IF(Inputs!$B$70=1,$G123,1)*(1-Inputs!$C$70*$H123*(1-Inputs!$E$54*Inputs!$B$70))*(1+$I123)*IF(Inputs!$D$29=0,1,(MAX(AI122,0)/Inputs!$D$6)^Inputs!$D$29)</f>
        <v>3817.7705085003167</v>
      </c>
      <c r="AG123" s="38">
        <f>Inputs!$D$32*AI122/Inputs!$D$6</f>
        <v>1582.3294381216695</v>
      </c>
      <c r="AH123" s="38">
        <f>Inputs!$D$33</f>
        <v>1500</v>
      </c>
      <c r="AI123" s="38">
        <f t="shared" si="58"/>
        <v>324635.59185029916</v>
      </c>
      <c r="AJ123" s="38">
        <f t="shared" si="59"/>
        <v>0</v>
      </c>
      <c r="AK123" s="38">
        <f>Inputs!$D$19*(1-Inputs!$C$70*$H123)+Inputs!$D$21+Inputs!$B$70*$J123</f>
        <v>404800</v>
      </c>
      <c r="AL123" s="38">
        <f t="shared" si="60"/>
        <v>-80164.408149700845</v>
      </c>
      <c r="AM123" s="38">
        <f t="shared" si="61"/>
        <v>1</v>
      </c>
      <c r="AN123" s="38">
        <f>MAX(0,MIN(Inputs!$B$36,AS122,AO123+AP123+AQ123+Inputs!$B$6-AR122))</f>
        <v>0</v>
      </c>
      <c r="AO123" s="38">
        <f>Inputs!$B$27*(1+Inputs!$B$28)^($A123/12)*IF(Inputs!$B$71=1,$G123,1)*(1-Inputs!$C$71*$H123*(1-Inputs!$E$54*Inputs!$B$71))*(1+$I123)*IF(Inputs!$B$29=0,1,(MAX(AR122,0)/Inputs!$B$6)^Inputs!$B$29)</f>
        <v>21026.32134103011</v>
      </c>
      <c r="AP123" s="38">
        <f>Inputs!$B$32*AR122/Inputs!$B$6</f>
        <v>0</v>
      </c>
      <c r="AQ123" s="38">
        <f>Inputs!$B$33</f>
        <v>2500</v>
      </c>
      <c r="AR123" s="38">
        <f t="shared" si="62"/>
        <v>0</v>
      </c>
      <c r="AS123" s="38">
        <f t="shared" si="63"/>
        <v>0</v>
      </c>
      <c r="AT123" s="38">
        <f>Inputs!$B$19*(1-Inputs!$C$71*$H123)+Inputs!$B$21+Inputs!$B$71*$J123</f>
        <v>601000</v>
      </c>
      <c r="AU123" s="38">
        <f t="shared" si="64"/>
        <v>-601000</v>
      </c>
      <c r="AV123" s="38">
        <f t="shared" si="65"/>
        <v>1</v>
      </c>
      <c r="AW123" s="38">
        <f>MAX(0,MIN(Inputs!$C$36,BB122,AX123+AY123+AZ123+Inputs!$C$6-BA122))</f>
        <v>0</v>
      </c>
      <c r="AX123" s="38">
        <f>Inputs!$C$27*(1+Inputs!$C$28)^($A123/12)*IF(Inputs!$B$71=1,$G123,1)*(1-Inputs!$C$71*$H123*(1-Inputs!$E$54*Inputs!$B$71))*(1+$I123)*IF(Inputs!$C$29=0,1,(MAX(BA122,0)/Inputs!$C$6)^Inputs!$C$29)</f>
        <v>0</v>
      </c>
      <c r="AY123" s="38">
        <f>Inputs!$C$32*BA122/Inputs!$C$6</f>
        <v>0</v>
      </c>
      <c r="AZ123" s="38">
        <f>Inputs!$C$33</f>
        <v>2000</v>
      </c>
      <c r="BA123" s="38">
        <f t="shared" si="66"/>
        <v>0</v>
      </c>
      <c r="BB123" s="38">
        <f t="shared" si="67"/>
        <v>0</v>
      </c>
      <c r="BC123" s="38">
        <f>Inputs!$C$19*(1-Inputs!$C$71*$H123)+Inputs!$C$21+Inputs!$B$71*$J123</f>
        <v>501000</v>
      </c>
      <c r="BD123" s="38">
        <f t="shared" si="68"/>
        <v>-501000</v>
      </c>
      <c r="BE123" s="38">
        <f t="shared" si="69"/>
        <v>1</v>
      </c>
      <c r="BF123" s="38">
        <f>MAX(0,MIN(Inputs!$D$36,BK122,BG123+BH123+BI123+Inputs!$D$6-BJ122))</f>
        <v>0</v>
      </c>
      <c r="BG123" s="38">
        <f>Inputs!$D$27*(1+Inputs!$D$28)^($A123/12)*IF(Inputs!$B$71=1,$G123,1)*(1-Inputs!$C$71*$H123*(1-Inputs!$E$54*Inputs!$B$71))*(1+$I123)*IF(Inputs!$D$29=0,1,(MAX(BJ122,0)/Inputs!$D$6)^Inputs!$D$29)</f>
        <v>3583.2500849632443</v>
      </c>
      <c r="BH123" s="38">
        <f>Inputs!$D$32*BJ122/Inputs!$D$6</f>
        <v>1964.6480634690379</v>
      </c>
      <c r="BI123" s="38">
        <f>Inputs!$D$33</f>
        <v>1500</v>
      </c>
      <c r="BJ123" s="38">
        <f t="shared" si="70"/>
        <v>404592.64848317567</v>
      </c>
      <c r="BK123" s="38">
        <f t="shared" si="71"/>
        <v>0</v>
      </c>
      <c r="BL123" s="38">
        <f>Inputs!$D$19*(1-Inputs!$C$71*$H123)+Inputs!$D$21+Inputs!$B$71*$J123</f>
        <v>410800</v>
      </c>
      <c r="BM123" s="38">
        <f t="shared" si="72"/>
        <v>-6207.3515168243321</v>
      </c>
      <c r="BN123" s="38">
        <f t="shared" si="73"/>
        <v>1</v>
      </c>
      <c r="BO123" s="38">
        <f>MAX(0,MIN(Inputs!$B$36,BT122,BP123+BQ123+BR123+Inputs!$B$6-BS122))</f>
        <v>0</v>
      </c>
      <c r="BP123" s="38">
        <f>Inputs!$B$27*(1+Inputs!$B$28)^($A123/12)*IF(Inputs!$B$72=1,$G123,1)*(1-Inputs!$C$72*$H123*(1-Inputs!$E$54*Inputs!$B$72))*(1+$I123)*IF(Inputs!$B$29=0,1,(MAX(BS122,0)/Inputs!$B$6)^Inputs!$B$29)</f>
        <v>22466.345532716885</v>
      </c>
      <c r="BQ123" s="38">
        <f>Inputs!$B$32*BS122/Inputs!$B$6</f>
        <v>0</v>
      </c>
      <c r="BR123" s="38">
        <f>Inputs!$B$33</f>
        <v>2500</v>
      </c>
      <c r="BS123" s="38">
        <f t="shared" si="74"/>
        <v>0</v>
      </c>
      <c r="BT123" s="38">
        <f t="shared" si="75"/>
        <v>0</v>
      </c>
      <c r="BU123" s="38">
        <f>Inputs!$B$19*(1-Inputs!$C$72*$H123)+Inputs!$B$21+Inputs!$B$72*$J123</f>
        <v>577500</v>
      </c>
      <c r="BV123" s="38">
        <f t="shared" si="76"/>
        <v>-577500</v>
      </c>
      <c r="BW123" s="38">
        <f t="shared" si="77"/>
        <v>1</v>
      </c>
      <c r="BX123" s="38">
        <f>MAX(0,MIN(Inputs!$C$36,CC122,BY123+BZ123+CA123+Inputs!$C$6-CB122))</f>
        <v>0</v>
      </c>
      <c r="BY123" s="38">
        <f>Inputs!$C$27*(1+Inputs!$C$28)^($A123/12)*IF(Inputs!$B$72=1,$G123,1)*(1-Inputs!$C$72*$H123*(1-Inputs!$E$54*Inputs!$B$72))*(1+$I123)*IF(Inputs!$C$29=0,1,(MAX(CB122,0)/Inputs!$C$6)^Inputs!$C$29)</f>
        <v>0</v>
      </c>
      <c r="BZ123" s="38">
        <f>Inputs!$C$32*CB122/Inputs!$C$6</f>
        <v>0</v>
      </c>
      <c r="CA123" s="38">
        <f>Inputs!$C$33</f>
        <v>2000</v>
      </c>
      <c r="CB123" s="38">
        <f t="shared" si="78"/>
        <v>0</v>
      </c>
      <c r="CC123" s="38">
        <f t="shared" si="79"/>
        <v>0</v>
      </c>
      <c r="CD123" s="38">
        <f>Inputs!$C$19*(1-Inputs!$C$72*$H123)+Inputs!$C$21+Inputs!$B$72*$J123</f>
        <v>480000</v>
      </c>
      <c r="CE123" s="38">
        <f t="shared" si="80"/>
        <v>-480000</v>
      </c>
      <c r="CF123" s="38">
        <f t="shared" si="81"/>
        <v>1</v>
      </c>
      <c r="CG123" s="38">
        <f>MAX(0,MIN(Inputs!$D$36,CL122,CH123+CI123+CJ123+Inputs!$D$6-CK122))</f>
        <v>0</v>
      </c>
      <c r="CH123" s="38">
        <f>Inputs!$D$27*(1+Inputs!$D$28)^($A123/12)*IF(Inputs!$B$72=1,$G123,1)*(1-Inputs!$C$72*$H123*(1-Inputs!$E$54*Inputs!$B$72))*(1+$I123)*IF(Inputs!$D$29=0,1,(MAX(CK122,0)/Inputs!$D$6)^Inputs!$D$29)</f>
        <v>3658.0775563317357</v>
      </c>
      <c r="CI123" s="38">
        <f>Inputs!$D$32*CK122/Inputs!$D$6</f>
        <v>1793.4863233002773</v>
      </c>
      <c r="CJ123" s="38">
        <f>Inputs!$D$33</f>
        <v>1500</v>
      </c>
      <c r="CK123" s="38">
        <f t="shared" si="82"/>
        <v>368826.52290709276</v>
      </c>
      <c r="CL123" s="38">
        <f t="shared" si="83"/>
        <v>0</v>
      </c>
      <c r="CM123" s="38">
        <f>Inputs!$D$19*(1-Inputs!$C$72*$H123)+Inputs!$D$21+Inputs!$B$72*$J123</f>
        <v>392150</v>
      </c>
      <c r="CN123" s="38">
        <f t="shared" si="84"/>
        <v>-23323.47709290724</v>
      </c>
      <c r="CO123" s="38">
        <f t="shared" si="85"/>
        <v>1</v>
      </c>
      <c r="CP123" s="38">
        <f>MAX(0,MIN(Inputs!$B$36,CU122,CQ123+CR123+CS123+Inputs!$B$6-CT122))</f>
        <v>0</v>
      </c>
      <c r="CQ123" s="38">
        <f>Inputs!$B$27*(1+Inputs!$B$28)^($A123/12)*IF(Inputs!$B$73=1,$G123,1)*(1-Inputs!$C$73*$H123*(1-Inputs!$E$54*Inputs!$B$73))*(1+$I123)*IF(Inputs!$B$29=0,1,(MAX(CT122,0)/Inputs!$B$6)^Inputs!$B$29)</f>
        <v>19975.005273978608</v>
      </c>
      <c r="CR123" s="38">
        <f>Inputs!$B$32*CT122/Inputs!$B$6</f>
        <v>0</v>
      </c>
      <c r="CS123" s="38">
        <f>Inputs!$B$33</f>
        <v>2500</v>
      </c>
      <c r="CT123" s="38">
        <f t="shared" si="86"/>
        <v>0</v>
      </c>
      <c r="CU123" s="38">
        <f t="shared" si="87"/>
        <v>0</v>
      </c>
      <c r="CV123" s="38">
        <f>Inputs!$B$19*(1-Inputs!$C$73*$H123)+Inputs!$B$21+Inputs!$B$73*$J123</f>
        <v>583500</v>
      </c>
      <c r="CW123" s="38">
        <f t="shared" si="88"/>
        <v>-583500</v>
      </c>
      <c r="CX123" s="38">
        <f t="shared" si="89"/>
        <v>1</v>
      </c>
      <c r="CY123" s="38">
        <f>MAX(0,MIN(Inputs!$C$36,DD122,CZ123+DA123+DB123+Inputs!$C$6-DC122))</f>
        <v>0</v>
      </c>
      <c r="CZ123" s="38">
        <f>Inputs!$C$27*(1+Inputs!$C$28)^($A123/12)*IF(Inputs!$B$73=1,$G123,1)*(1-Inputs!$C$73*$H123*(1-Inputs!$E$54*Inputs!$B$73))*(1+$I123)*IF(Inputs!$C$29=0,1,(MAX(DC122,0)/Inputs!$C$6)^Inputs!$C$29)</f>
        <v>0</v>
      </c>
      <c r="DA123" s="38">
        <f>Inputs!$C$32*DC122/Inputs!$C$6</f>
        <v>0</v>
      </c>
      <c r="DB123" s="38">
        <f>Inputs!$C$33</f>
        <v>2000</v>
      </c>
      <c r="DC123" s="38">
        <f t="shared" si="90"/>
        <v>0</v>
      </c>
      <c r="DD123" s="38">
        <f t="shared" si="91"/>
        <v>0</v>
      </c>
      <c r="DE123" s="38">
        <f>Inputs!$C$19*(1-Inputs!$C$73*$H123)+Inputs!$C$21+Inputs!$B$73*$J123</f>
        <v>486000</v>
      </c>
      <c r="DF123" s="38">
        <f t="shared" si="92"/>
        <v>-486000</v>
      </c>
      <c r="DG123" s="38">
        <f t="shared" si="93"/>
        <v>1</v>
      </c>
      <c r="DH123" s="38">
        <f>MAX(0,MIN(Inputs!$D$36,DM122,DI123+DJ123+DK123+Inputs!$D$6-DL122))</f>
        <v>0</v>
      </c>
      <c r="DI123" s="38">
        <f>Inputs!$D$27*(1+Inputs!$D$28)^($A123/12)*IF(Inputs!$B$73=1,$G123,1)*(1-Inputs!$C$73*$H123*(1-Inputs!$E$54*Inputs!$B$73))*(1+$I123)*IF(Inputs!$D$29=0,1,(MAX(DL122,0)/Inputs!$D$6)^Inputs!$D$29)</f>
        <v>3487.4517492399414</v>
      </c>
      <c r="DJ123" s="38">
        <f>Inputs!$D$32*DL122/Inputs!$D$6</f>
        <v>2062.0525533222349</v>
      </c>
      <c r="DK123" s="38">
        <f>Inputs!$D$33</f>
        <v>1500</v>
      </c>
      <c r="DL123" s="38">
        <f t="shared" si="94"/>
        <v>424999.60210781085</v>
      </c>
      <c r="DM123" s="38">
        <f t="shared" si="95"/>
        <v>0</v>
      </c>
      <c r="DN123" s="38">
        <f>Inputs!$D$19*(1-Inputs!$C$73*$H123)+Inputs!$D$21+Inputs!$B$73*$J123</f>
        <v>398150</v>
      </c>
      <c r="DO123" s="38">
        <f t="shared" si="96"/>
        <v>26849.602107810846</v>
      </c>
      <c r="DP123" s="38">
        <f t="shared" si="97"/>
        <v>0</v>
      </c>
    </row>
    <row r="124" spans="1:120" x14ac:dyDescent="0.35">
      <c r="A124" s="29">
        <v>119</v>
      </c>
      <c r="B124" s="34">
        <f>EDATE(Inputs!$B$67,$A124)</f>
        <v>49888</v>
      </c>
      <c r="C124" s="35">
        <f>IF(Inputs!$E$47&lt;=0,Inputs!$E$46,Inputs!$E$44+(Inputs!$E$46-Inputs!$E$44)*MIN($A124/Inputs!$E$47,1))</f>
        <v>0.7</v>
      </c>
      <c r="D124" s="35">
        <f>MIN(Inputs!$E$57,Inputs!$E$55*(1+Inputs!$E$56)^($A124/12))*Inputs!$E$58*(1+Inputs!$E$59)^($A124/12)/Inputs!$E$45</f>
        <v>1.5</v>
      </c>
      <c r="E124" s="35">
        <f>MAX(Inputs!$E$44,MIN(C124,D124))</f>
        <v>0.7</v>
      </c>
      <c r="F124" s="35">
        <f>IF(Inputs!$E$50&lt;=0,Inputs!$E$49,Inputs!$E$48+(Inputs!$E$49-Inputs!$E$48)*MIN($A124/Inputs!$E$50,1))</f>
        <v>0.12</v>
      </c>
      <c r="G124" s="36">
        <f>(Inputs!$E$41*(1-E124*Inputs!$E$51)+Inputs!$E$42*(1-F124*Inputs!$E$51))/(Inputs!$E$41*(1-Inputs!$E$44*Inputs!$E$51)+Inputs!$E$42*(1-Inputs!$E$48*Inputs!$E$51))</f>
        <v>0.8423127463863338</v>
      </c>
      <c r="H124" s="35">
        <f>IF(Inputs!$E$53&lt;=0,Inputs!$E$52,Inputs!$E$52*MIN($A124/Inputs!$E$53,1))</f>
        <v>0.1</v>
      </c>
      <c r="I124" s="35">
        <f>IF(Inputs!$E$64&lt;=0,Inputs!$E$63,Inputs!$E$62+(Inputs!$E$63-Inputs!$E$62)*MIN($A124/Inputs!$E$64,1))</f>
        <v>0.03</v>
      </c>
      <c r="J124" s="37">
        <f>(E124-Inputs!$E$44)*Inputs!$E$45/Inputs!$E$60*Inputs!$E$61</f>
        <v>5999.9999999999991</v>
      </c>
      <c r="K124" s="29">
        <f t="shared" si="49"/>
        <v>0</v>
      </c>
      <c r="L124" s="29"/>
      <c r="M124" s="38">
        <f>MAX(0,MIN(Inputs!$B$36,R123,N124+O124+P124+Inputs!$B$6-Q123))</f>
        <v>0</v>
      </c>
      <c r="N124" s="38">
        <f>Inputs!$B$27*(1+Inputs!$B$28)^($A124/12)*IF(Inputs!$B$70=1,$G124,1)*(1-Inputs!$C$70*$H124*(1-Inputs!$E$54*Inputs!$B$70))*(1+$I124)*IF(Inputs!$B$29=0,1,(MAX(Q123,0)/Inputs!$B$6)^Inputs!$B$29)</f>
        <v>25064.306894870428</v>
      </c>
      <c r="O124" s="38">
        <f>Inputs!$B$32*Q123/Inputs!$B$6</f>
        <v>0</v>
      </c>
      <c r="P124" s="38">
        <f>Inputs!$B$33</f>
        <v>2500</v>
      </c>
      <c r="Q124" s="38">
        <f t="shared" si="50"/>
        <v>0</v>
      </c>
      <c r="R124" s="38">
        <f t="shared" si="51"/>
        <v>0</v>
      </c>
      <c r="S124" s="38">
        <f>Inputs!$B$19*(1-Inputs!$C$70*$H124)+Inputs!$B$21+Inputs!$B$70*$J124</f>
        <v>595000</v>
      </c>
      <c r="T124" s="38">
        <f t="shared" si="52"/>
        <v>-595000</v>
      </c>
      <c r="U124" s="38">
        <f t="shared" si="53"/>
        <v>1</v>
      </c>
      <c r="V124" s="38">
        <f>MAX(0,MIN(Inputs!$C$36,AA123,W124+X124+Y124+Inputs!$C$6-Z123))</f>
        <v>0</v>
      </c>
      <c r="W124" s="38">
        <f>Inputs!$C$27*(1+Inputs!$C$28)^($A124/12)*IF(Inputs!$B$70=1,$G124,1)*(1-Inputs!$C$70*$H124*(1-Inputs!$E$54*Inputs!$B$70))*(1+$I124)*IF(Inputs!$C$29=0,1,(MAX(Z123,0)/Inputs!$C$6)^Inputs!$C$29)</f>
        <v>0</v>
      </c>
      <c r="X124" s="38">
        <f>Inputs!$C$32*Z123/Inputs!$C$6</f>
        <v>0</v>
      </c>
      <c r="Y124" s="38">
        <f>Inputs!$C$33</f>
        <v>2000</v>
      </c>
      <c r="Z124" s="38">
        <f t="shared" si="54"/>
        <v>0</v>
      </c>
      <c r="AA124" s="38">
        <f t="shared" si="55"/>
        <v>0</v>
      </c>
      <c r="AB124" s="38">
        <f>Inputs!$C$19*(1-Inputs!$C$70*$H124)+Inputs!$C$21+Inputs!$B$70*$J124</f>
        <v>495000</v>
      </c>
      <c r="AC124" s="38">
        <f t="shared" si="56"/>
        <v>-495000</v>
      </c>
      <c r="AD124" s="38">
        <f t="shared" si="57"/>
        <v>1</v>
      </c>
      <c r="AE124" s="38">
        <f>MAX(0,MIN(Inputs!$D$36,AJ123,AF124+AG124+AH124+Inputs!$D$6-AI123))</f>
        <v>0</v>
      </c>
      <c r="AF124" s="38">
        <f>Inputs!$D$27*(1+Inputs!$D$28)^($A124/12)*IF(Inputs!$B$70=1,$G124,1)*(1-Inputs!$C$70*$H124*(1-Inputs!$E$54*Inputs!$B$70))*(1+$I124)*IF(Inputs!$D$29=0,1,(MAX(AI123,0)/Inputs!$D$6)^Inputs!$D$29)</f>
        <v>3761.7192021879669</v>
      </c>
      <c r="AG124" s="38">
        <f>Inputs!$D$32*AI123/Inputs!$D$6</f>
        <v>1549.3971429218823</v>
      </c>
      <c r="AH124" s="38">
        <f>Inputs!$D$33</f>
        <v>1500</v>
      </c>
      <c r="AI124" s="38">
        <f t="shared" si="58"/>
        <v>317824.47550518933</v>
      </c>
      <c r="AJ124" s="38">
        <f t="shared" si="59"/>
        <v>0</v>
      </c>
      <c r="AK124" s="38">
        <f>Inputs!$D$19*(1-Inputs!$C$70*$H124)+Inputs!$D$21+Inputs!$B$70*$J124</f>
        <v>404800</v>
      </c>
      <c r="AL124" s="38">
        <f t="shared" si="60"/>
        <v>-86975.52449481067</v>
      </c>
      <c r="AM124" s="38">
        <f t="shared" si="61"/>
        <v>1</v>
      </c>
      <c r="AN124" s="38">
        <f>MAX(0,MIN(Inputs!$B$36,AS123,AO124+AP124+AQ124+Inputs!$B$6-AR123))</f>
        <v>0</v>
      </c>
      <c r="AO124" s="38">
        <f>Inputs!$B$27*(1+Inputs!$B$28)^($A124/12)*IF(Inputs!$B$71=1,$G124,1)*(1-Inputs!$C$71*$H124*(1-Inputs!$E$54*Inputs!$B$71))*(1+$I124)*IF(Inputs!$B$29=0,1,(MAX(AR123,0)/Inputs!$B$6)^Inputs!$B$29)</f>
        <v>21111.985176888236</v>
      </c>
      <c r="AP124" s="38">
        <f>Inputs!$B$32*AR123/Inputs!$B$6</f>
        <v>0</v>
      </c>
      <c r="AQ124" s="38">
        <f>Inputs!$B$33</f>
        <v>2500</v>
      </c>
      <c r="AR124" s="38">
        <f t="shared" si="62"/>
        <v>0</v>
      </c>
      <c r="AS124" s="38">
        <f t="shared" si="63"/>
        <v>0</v>
      </c>
      <c r="AT124" s="38">
        <f>Inputs!$B$19*(1-Inputs!$C$71*$H124)+Inputs!$B$21+Inputs!$B$71*$J124</f>
        <v>601000</v>
      </c>
      <c r="AU124" s="38">
        <f t="shared" si="64"/>
        <v>-601000</v>
      </c>
      <c r="AV124" s="38">
        <f t="shared" si="65"/>
        <v>1</v>
      </c>
      <c r="AW124" s="38">
        <f>MAX(0,MIN(Inputs!$C$36,BB123,AX124+AY124+AZ124+Inputs!$C$6-BA123))</f>
        <v>0</v>
      </c>
      <c r="AX124" s="38">
        <f>Inputs!$C$27*(1+Inputs!$C$28)^($A124/12)*IF(Inputs!$B$71=1,$G124,1)*(1-Inputs!$C$71*$H124*(1-Inputs!$E$54*Inputs!$B$71))*(1+$I124)*IF(Inputs!$C$29=0,1,(MAX(BA123,0)/Inputs!$C$6)^Inputs!$C$29)</f>
        <v>0</v>
      </c>
      <c r="AY124" s="38">
        <f>Inputs!$C$32*BA123/Inputs!$C$6</f>
        <v>0</v>
      </c>
      <c r="AZ124" s="38">
        <f>Inputs!$C$33</f>
        <v>2000</v>
      </c>
      <c r="BA124" s="38">
        <f t="shared" si="66"/>
        <v>0</v>
      </c>
      <c r="BB124" s="38">
        <f t="shared" si="67"/>
        <v>0</v>
      </c>
      <c r="BC124" s="38">
        <f>Inputs!$C$19*(1-Inputs!$C$71*$H124)+Inputs!$C$21+Inputs!$B$71*$J124</f>
        <v>501000</v>
      </c>
      <c r="BD124" s="38">
        <f t="shared" si="68"/>
        <v>-501000</v>
      </c>
      <c r="BE124" s="38">
        <f t="shared" si="69"/>
        <v>1</v>
      </c>
      <c r="BF124" s="38">
        <f>MAX(0,MIN(Inputs!$D$36,BK123,BG124+BH124+BI124+Inputs!$D$6-BJ123))</f>
        <v>0</v>
      </c>
      <c r="BG124" s="38">
        <f>Inputs!$D$27*(1+Inputs!$D$28)^($A124/12)*IF(Inputs!$B$71=1,$G124,1)*(1-Inputs!$C$71*$H124*(1-Inputs!$E$54*Inputs!$B$71))*(1+$I124)*IF(Inputs!$D$29=0,1,(MAX(BJ123,0)/Inputs!$D$6)^Inputs!$D$29)</f>
        <v>3537.2900636609093</v>
      </c>
      <c r="BH124" s="38">
        <f>Inputs!$D$32*BJ123/Inputs!$D$6</f>
        <v>1931.0103677606112</v>
      </c>
      <c r="BI124" s="38">
        <f>Inputs!$D$33</f>
        <v>1500</v>
      </c>
      <c r="BJ124" s="38">
        <f t="shared" si="70"/>
        <v>397624.34805175418</v>
      </c>
      <c r="BK124" s="38">
        <f t="shared" si="71"/>
        <v>0</v>
      </c>
      <c r="BL124" s="38">
        <f>Inputs!$D$19*(1-Inputs!$C$71*$H124)+Inputs!$D$21+Inputs!$B$71*$J124</f>
        <v>410800</v>
      </c>
      <c r="BM124" s="38">
        <f t="shared" si="72"/>
        <v>-13175.651948245824</v>
      </c>
      <c r="BN124" s="38">
        <f t="shared" si="73"/>
        <v>1</v>
      </c>
      <c r="BO124" s="38">
        <f>MAX(0,MIN(Inputs!$B$36,BT123,BP124+BQ124+BR124+Inputs!$B$6-BS123))</f>
        <v>0</v>
      </c>
      <c r="BP124" s="38">
        <f>Inputs!$B$27*(1+Inputs!$B$28)^($A124/12)*IF(Inputs!$B$72=1,$G124,1)*(1-Inputs!$C$72*$H124*(1-Inputs!$E$54*Inputs!$B$72))*(1+$I124)*IF(Inputs!$B$29=0,1,(MAX(BS123,0)/Inputs!$B$6)^Inputs!$B$29)</f>
        <v>22557.876205383385</v>
      </c>
      <c r="BQ124" s="38">
        <f>Inputs!$B$32*BS123/Inputs!$B$6</f>
        <v>0</v>
      </c>
      <c r="BR124" s="38">
        <f>Inputs!$B$33</f>
        <v>2500</v>
      </c>
      <c r="BS124" s="38">
        <f t="shared" si="74"/>
        <v>0</v>
      </c>
      <c r="BT124" s="38">
        <f t="shared" si="75"/>
        <v>0</v>
      </c>
      <c r="BU124" s="38">
        <f>Inputs!$B$19*(1-Inputs!$C$72*$H124)+Inputs!$B$21+Inputs!$B$72*$J124</f>
        <v>577500</v>
      </c>
      <c r="BV124" s="38">
        <f t="shared" si="76"/>
        <v>-577500</v>
      </c>
      <c r="BW124" s="38">
        <f t="shared" si="77"/>
        <v>1</v>
      </c>
      <c r="BX124" s="38">
        <f>MAX(0,MIN(Inputs!$C$36,CC123,BY124+BZ124+CA124+Inputs!$C$6-CB123))</f>
        <v>0</v>
      </c>
      <c r="BY124" s="38">
        <f>Inputs!$C$27*(1+Inputs!$C$28)^($A124/12)*IF(Inputs!$B$72=1,$G124,1)*(1-Inputs!$C$72*$H124*(1-Inputs!$E$54*Inputs!$B$72))*(1+$I124)*IF(Inputs!$C$29=0,1,(MAX(CB123,0)/Inputs!$C$6)^Inputs!$C$29)</f>
        <v>0</v>
      </c>
      <c r="BZ124" s="38">
        <f>Inputs!$C$32*CB123/Inputs!$C$6</f>
        <v>0</v>
      </c>
      <c r="CA124" s="38">
        <f>Inputs!$C$33</f>
        <v>2000</v>
      </c>
      <c r="CB124" s="38">
        <f t="shared" si="78"/>
        <v>0</v>
      </c>
      <c r="CC124" s="38">
        <f t="shared" si="79"/>
        <v>0</v>
      </c>
      <c r="CD124" s="38">
        <f>Inputs!$C$19*(1-Inputs!$C$72*$H124)+Inputs!$C$21+Inputs!$B$72*$J124</f>
        <v>480000</v>
      </c>
      <c r="CE124" s="38">
        <f t="shared" si="80"/>
        <v>-480000</v>
      </c>
      <c r="CF124" s="38">
        <f t="shared" si="81"/>
        <v>1</v>
      </c>
      <c r="CG124" s="38">
        <f>MAX(0,MIN(Inputs!$D$36,CL123,CH124+CI124+CJ124+Inputs!$D$6-CK123))</f>
        <v>0</v>
      </c>
      <c r="CH124" s="38">
        <f>Inputs!$D$27*(1+Inputs!$D$28)^($A124/12)*IF(Inputs!$B$72=1,$G124,1)*(1-Inputs!$C$72*$H124*(1-Inputs!$E$54*Inputs!$B$72))*(1+$I124)*IF(Inputs!$D$29=0,1,(MAX(CK123,0)/Inputs!$D$6)^Inputs!$D$29)</f>
        <v>3608.6261285578553</v>
      </c>
      <c r="CI124" s="38">
        <f>Inputs!$D$32*CK123/Inputs!$D$6</f>
        <v>1760.3084047838518</v>
      </c>
      <c r="CJ124" s="38">
        <f>Inputs!$D$33</f>
        <v>1500</v>
      </c>
      <c r="CK124" s="38">
        <f t="shared" si="82"/>
        <v>361957.58837375109</v>
      </c>
      <c r="CL124" s="38">
        <f t="shared" si="83"/>
        <v>0</v>
      </c>
      <c r="CM124" s="38">
        <f>Inputs!$D$19*(1-Inputs!$C$72*$H124)+Inputs!$D$21+Inputs!$B$72*$J124</f>
        <v>392150</v>
      </c>
      <c r="CN124" s="38">
        <f t="shared" si="84"/>
        <v>-30192.411626248911</v>
      </c>
      <c r="CO124" s="38">
        <f t="shared" si="85"/>
        <v>1</v>
      </c>
      <c r="CP124" s="38">
        <f>MAX(0,MIN(Inputs!$B$36,CU123,CQ124+CR124+CS124+Inputs!$B$6-CT123))</f>
        <v>0</v>
      </c>
      <c r="CQ124" s="38">
        <f>Inputs!$B$27*(1+Inputs!$B$28)^($A124/12)*IF(Inputs!$B$73=1,$G124,1)*(1-Inputs!$C$73*$H124*(1-Inputs!$E$54*Inputs!$B$73))*(1+$I124)*IF(Inputs!$B$29=0,1,(MAX(CT123,0)/Inputs!$B$6)^Inputs!$B$29)</f>
        <v>20056.385918043823</v>
      </c>
      <c r="CR124" s="38">
        <f>Inputs!$B$32*CT123/Inputs!$B$6</f>
        <v>0</v>
      </c>
      <c r="CS124" s="38">
        <f>Inputs!$B$33</f>
        <v>2500</v>
      </c>
      <c r="CT124" s="38">
        <f t="shared" si="86"/>
        <v>0</v>
      </c>
      <c r="CU124" s="38">
        <f t="shared" si="87"/>
        <v>0</v>
      </c>
      <c r="CV124" s="38">
        <f>Inputs!$B$19*(1-Inputs!$C$73*$H124)+Inputs!$B$21+Inputs!$B$73*$J124</f>
        <v>583500</v>
      </c>
      <c r="CW124" s="38">
        <f t="shared" si="88"/>
        <v>-583500</v>
      </c>
      <c r="CX124" s="38">
        <f t="shared" si="89"/>
        <v>1</v>
      </c>
      <c r="CY124" s="38">
        <f>MAX(0,MIN(Inputs!$C$36,DD123,CZ124+DA124+DB124+Inputs!$C$6-DC123))</f>
        <v>0</v>
      </c>
      <c r="CZ124" s="38">
        <f>Inputs!$C$27*(1+Inputs!$C$28)^($A124/12)*IF(Inputs!$B$73=1,$G124,1)*(1-Inputs!$C$73*$H124*(1-Inputs!$E$54*Inputs!$B$73))*(1+$I124)*IF(Inputs!$C$29=0,1,(MAX(DC123,0)/Inputs!$C$6)^Inputs!$C$29)</f>
        <v>0</v>
      </c>
      <c r="DA124" s="38">
        <f>Inputs!$C$32*DC123/Inputs!$C$6</f>
        <v>0</v>
      </c>
      <c r="DB124" s="38">
        <f>Inputs!$C$33</f>
        <v>2000</v>
      </c>
      <c r="DC124" s="38">
        <f t="shared" si="90"/>
        <v>0</v>
      </c>
      <c r="DD124" s="38">
        <f t="shared" si="91"/>
        <v>0</v>
      </c>
      <c r="DE124" s="38">
        <f>Inputs!$C$19*(1-Inputs!$C$73*$H124)+Inputs!$C$21+Inputs!$B$73*$J124</f>
        <v>486000</v>
      </c>
      <c r="DF124" s="38">
        <f t="shared" si="92"/>
        <v>-486000</v>
      </c>
      <c r="DG124" s="38">
        <f t="shared" si="93"/>
        <v>1</v>
      </c>
      <c r="DH124" s="38">
        <f>MAX(0,MIN(Inputs!$D$36,DM123,DI124+DJ124+DK124+Inputs!$D$6-DL123))</f>
        <v>0</v>
      </c>
      <c r="DI124" s="38">
        <f>Inputs!$D$27*(1+Inputs!$D$28)^($A124/12)*IF(Inputs!$B$73=1,$G124,1)*(1-Inputs!$C$73*$H124*(1-Inputs!$E$54*Inputs!$B$73))*(1+$I124)*IF(Inputs!$D$29=0,1,(MAX(DL123,0)/Inputs!$D$6)^Inputs!$D$29)</f>
        <v>3444.1300936416078</v>
      </c>
      <c r="DJ124" s="38">
        <f>Inputs!$D$32*DL123/Inputs!$D$6</f>
        <v>2028.4071918781881</v>
      </c>
      <c r="DK124" s="38">
        <f>Inputs!$D$33</f>
        <v>1500</v>
      </c>
      <c r="DL124" s="38">
        <f t="shared" si="94"/>
        <v>418027.06482229108</v>
      </c>
      <c r="DM124" s="38">
        <f t="shared" si="95"/>
        <v>0</v>
      </c>
      <c r="DN124" s="38">
        <f>Inputs!$D$19*(1-Inputs!$C$73*$H124)+Inputs!$D$21+Inputs!$B$73*$J124</f>
        <v>398150</v>
      </c>
      <c r="DO124" s="38">
        <f t="shared" si="96"/>
        <v>19877.064822291082</v>
      </c>
      <c r="DP124" s="38">
        <f t="shared" si="97"/>
        <v>0</v>
      </c>
    </row>
    <row r="125" spans="1:120" x14ac:dyDescent="0.35">
      <c r="A125" s="29">
        <v>120</v>
      </c>
      <c r="B125" s="34">
        <f>EDATE(Inputs!$B$67,$A125)</f>
        <v>49919</v>
      </c>
      <c r="C125" s="35">
        <f>IF(Inputs!$E$47&lt;=0,Inputs!$E$46,Inputs!$E$44+(Inputs!$E$46-Inputs!$E$44)*MIN($A125/Inputs!$E$47,1))</f>
        <v>0.7</v>
      </c>
      <c r="D125" s="35">
        <f>MIN(Inputs!$E$57,Inputs!$E$55*(1+Inputs!$E$56)^($A125/12))*Inputs!$E$58*(1+Inputs!$E$59)^($A125/12)/Inputs!$E$45</f>
        <v>1.5</v>
      </c>
      <c r="E125" s="35">
        <f>MAX(Inputs!$E$44,MIN(C125,D125))</f>
        <v>0.7</v>
      </c>
      <c r="F125" s="35">
        <f>IF(Inputs!$E$50&lt;=0,Inputs!$E$49,Inputs!$E$48+(Inputs!$E$49-Inputs!$E$48)*MIN($A125/Inputs!$E$50,1))</f>
        <v>0.12</v>
      </c>
      <c r="G125" s="36">
        <f>(Inputs!$E$41*(1-E125*Inputs!$E$51)+Inputs!$E$42*(1-F125*Inputs!$E$51))/(Inputs!$E$41*(1-Inputs!$E$44*Inputs!$E$51)+Inputs!$E$42*(1-Inputs!$E$48*Inputs!$E$51))</f>
        <v>0.8423127463863338</v>
      </c>
      <c r="H125" s="35">
        <f>IF(Inputs!$E$53&lt;=0,Inputs!$E$52,Inputs!$E$52*MIN($A125/Inputs!$E$53,1))</f>
        <v>0.1</v>
      </c>
      <c r="I125" s="35">
        <f>IF(Inputs!$E$64&lt;=0,Inputs!$E$63,Inputs!$E$62+(Inputs!$E$63-Inputs!$E$62)*MIN($A125/Inputs!$E$64,1))</f>
        <v>0.03</v>
      </c>
      <c r="J125" s="37">
        <f>(E125-Inputs!$E$44)*Inputs!$E$45/Inputs!$E$60*Inputs!$E$61</f>
        <v>5999.9999999999991</v>
      </c>
      <c r="K125" s="29">
        <f t="shared" si="49"/>
        <v>0</v>
      </c>
      <c r="L125" s="29"/>
      <c r="M125" s="38">
        <f>MAX(0,MIN(Inputs!$B$36,R124,N125+O125+P125+Inputs!$B$6-Q124))</f>
        <v>0</v>
      </c>
      <c r="N125" s="38">
        <f>Inputs!$B$27*(1+Inputs!$B$28)^($A125/12)*IF(Inputs!$B$70=1,$G125,1)*(1-Inputs!$C$70*$H125*(1-Inputs!$E$54*Inputs!$B$70))*(1+$I125)*IF(Inputs!$B$29=0,1,(MAX(Q124,0)/Inputs!$B$6)^Inputs!$B$29)</f>
        <v>25166.421983711472</v>
      </c>
      <c r="O125" s="38">
        <f>Inputs!$B$32*Q124/Inputs!$B$6</f>
        <v>0</v>
      </c>
      <c r="P125" s="38">
        <f>Inputs!$B$33</f>
        <v>2500</v>
      </c>
      <c r="Q125" s="38">
        <f t="shared" si="50"/>
        <v>0</v>
      </c>
      <c r="R125" s="38">
        <f t="shared" si="51"/>
        <v>0</v>
      </c>
      <c r="S125" s="38">
        <f>Inputs!$B$19*(1-Inputs!$C$70*$H125)+Inputs!$B$21+Inputs!$B$70*$J125</f>
        <v>595000</v>
      </c>
      <c r="T125" s="38">
        <f t="shared" si="52"/>
        <v>-595000</v>
      </c>
      <c r="U125" s="38">
        <f t="shared" si="53"/>
        <v>1</v>
      </c>
      <c r="V125" s="38">
        <f>MAX(0,MIN(Inputs!$C$36,AA124,W125+X125+Y125+Inputs!$C$6-Z124))</f>
        <v>0</v>
      </c>
      <c r="W125" s="38">
        <f>Inputs!$C$27*(1+Inputs!$C$28)^($A125/12)*IF(Inputs!$B$70=1,$G125,1)*(1-Inputs!$C$70*$H125*(1-Inputs!$E$54*Inputs!$B$70))*(1+$I125)*IF(Inputs!$C$29=0,1,(MAX(Z124,0)/Inputs!$C$6)^Inputs!$C$29)</f>
        <v>0</v>
      </c>
      <c r="X125" s="38">
        <f>Inputs!$C$32*Z124/Inputs!$C$6</f>
        <v>0</v>
      </c>
      <c r="Y125" s="38">
        <f>Inputs!$C$33</f>
        <v>2000</v>
      </c>
      <c r="Z125" s="38">
        <f t="shared" si="54"/>
        <v>0</v>
      </c>
      <c r="AA125" s="38">
        <f t="shared" si="55"/>
        <v>0</v>
      </c>
      <c r="AB125" s="38">
        <f>Inputs!$C$19*(1-Inputs!$C$70*$H125)+Inputs!$C$21+Inputs!$B$70*$J125</f>
        <v>495000</v>
      </c>
      <c r="AC125" s="38">
        <f t="shared" si="56"/>
        <v>-495000</v>
      </c>
      <c r="AD125" s="38">
        <f t="shared" si="57"/>
        <v>1</v>
      </c>
      <c r="AE125" s="38">
        <f>MAX(0,MIN(Inputs!$D$36,AJ124,AF125+AG125+AH125+Inputs!$D$6-AI124))</f>
        <v>0</v>
      </c>
      <c r="AF125" s="38">
        <f>Inputs!$D$27*(1+Inputs!$D$28)^($A125/12)*IF(Inputs!$B$70=1,$G125,1)*(1-Inputs!$C$70*$H125*(1-Inputs!$E$54*Inputs!$B$70))*(1+$I125)*IF(Inputs!$D$29=0,1,(MAX(AI124,0)/Inputs!$D$6)^Inputs!$D$29)</f>
        <v>3706.1723442984767</v>
      </c>
      <c r="AG125" s="38">
        <f>Inputs!$D$32*AI124/Inputs!$D$6</f>
        <v>1516.8895421838581</v>
      </c>
      <c r="AH125" s="38">
        <f>Inputs!$D$33</f>
        <v>1500</v>
      </c>
      <c r="AI125" s="38">
        <f t="shared" si="58"/>
        <v>311101.41361870704</v>
      </c>
      <c r="AJ125" s="38">
        <f t="shared" si="59"/>
        <v>0</v>
      </c>
      <c r="AK125" s="38">
        <f>Inputs!$D$19*(1-Inputs!$C$70*$H125)+Inputs!$D$21+Inputs!$B$70*$J125</f>
        <v>404800</v>
      </c>
      <c r="AL125" s="38">
        <f t="shared" si="60"/>
        <v>-93698.58638129296</v>
      </c>
      <c r="AM125" s="38">
        <f t="shared" si="61"/>
        <v>1</v>
      </c>
      <c r="AN125" s="38">
        <f>MAX(0,MIN(Inputs!$B$36,AS124,AO125+AP125+AQ125+Inputs!$B$6-AR124))</f>
        <v>0</v>
      </c>
      <c r="AO125" s="38">
        <f>Inputs!$B$27*(1+Inputs!$B$28)^($A125/12)*IF(Inputs!$B$71=1,$G125,1)*(1-Inputs!$C$71*$H125*(1-Inputs!$E$54*Inputs!$B$71))*(1+$I125)*IF(Inputs!$B$29=0,1,(MAX(AR124,0)/Inputs!$B$6)^Inputs!$B$29)</f>
        <v>21197.998017817416</v>
      </c>
      <c r="AP125" s="38">
        <f>Inputs!$B$32*AR124/Inputs!$B$6</f>
        <v>0</v>
      </c>
      <c r="AQ125" s="38">
        <f>Inputs!$B$33</f>
        <v>2500</v>
      </c>
      <c r="AR125" s="38">
        <f t="shared" si="62"/>
        <v>0</v>
      </c>
      <c r="AS125" s="38">
        <f t="shared" si="63"/>
        <v>0</v>
      </c>
      <c r="AT125" s="38">
        <f>Inputs!$B$19*(1-Inputs!$C$71*$H125)+Inputs!$B$21+Inputs!$B$71*$J125</f>
        <v>601000</v>
      </c>
      <c r="AU125" s="38">
        <f t="shared" si="64"/>
        <v>-601000</v>
      </c>
      <c r="AV125" s="38">
        <f t="shared" si="65"/>
        <v>1</v>
      </c>
      <c r="AW125" s="38">
        <f>MAX(0,MIN(Inputs!$C$36,BB124,AX125+AY125+AZ125+Inputs!$C$6-BA124))</f>
        <v>0</v>
      </c>
      <c r="AX125" s="38">
        <f>Inputs!$C$27*(1+Inputs!$C$28)^($A125/12)*IF(Inputs!$B$71=1,$G125,1)*(1-Inputs!$C$71*$H125*(1-Inputs!$E$54*Inputs!$B$71))*(1+$I125)*IF(Inputs!$C$29=0,1,(MAX(BA124,0)/Inputs!$C$6)^Inputs!$C$29)</f>
        <v>0</v>
      </c>
      <c r="AY125" s="38">
        <f>Inputs!$C$32*BA124/Inputs!$C$6</f>
        <v>0</v>
      </c>
      <c r="AZ125" s="38">
        <f>Inputs!$C$33</f>
        <v>2000</v>
      </c>
      <c r="BA125" s="38">
        <f t="shared" si="66"/>
        <v>0</v>
      </c>
      <c r="BB125" s="38">
        <f t="shared" si="67"/>
        <v>0</v>
      </c>
      <c r="BC125" s="38">
        <f>Inputs!$C$19*(1-Inputs!$C$71*$H125)+Inputs!$C$21+Inputs!$B$71*$J125</f>
        <v>501000</v>
      </c>
      <c r="BD125" s="38">
        <f t="shared" si="68"/>
        <v>-501000</v>
      </c>
      <c r="BE125" s="38">
        <f t="shared" si="69"/>
        <v>1</v>
      </c>
      <c r="BF125" s="38">
        <f>MAX(0,MIN(Inputs!$D$36,BK124,BG125+BH125+BI125+Inputs!$D$6-BJ124))</f>
        <v>0</v>
      </c>
      <c r="BG125" s="38">
        <f>Inputs!$D$27*(1+Inputs!$D$28)^($A125/12)*IF(Inputs!$B$71=1,$G125,1)*(1-Inputs!$C$71*$H125*(1-Inputs!$E$54*Inputs!$B$71))*(1+$I125)*IF(Inputs!$D$29=0,1,(MAX(BJ124,0)/Inputs!$D$6)^Inputs!$D$29)</f>
        <v>3491.7392060058537</v>
      </c>
      <c r="BH125" s="38">
        <f>Inputs!$D$32*BJ124/Inputs!$D$6</f>
        <v>1897.7525702470086</v>
      </c>
      <c r="BI125" s="38">
        <f>Inputs!$D$33</f>
        <v>1500</v>
      </c>
      <c r="BJ125" s="38">
        <f t="shared" si="70"/>
        <v>390734.85627550131</v>
      </c>
      <c r="BK125" s="38">
        <f t="shared" si="71"/>
        <v>0</v>
      </c>
      <c r="BL125" s="38">
        <f>Inputs!$D$19*(1-Inputs!$C$71*$H125)+Inputs!$D$21+Inputs!$B$71*$J125</f>
        <v>410800</v>
      </c>
      <c r="BM125" s="38">
        <f t="shared" si="72"/>
        <v>-20065.143724498688</v>
      </c>
      <c r="BN125" s="38">
        <f t="shared" si="73"/>
        <v>1</v>
      </c>
      <c r="BO125" s="38">
        <f>MAX(0,MIN(Inputs!$B$36,BT124,BP125+BQ125+BR125+Inputs!$B$6-BS124))</f>
        <v>0</v>
      </c>
      <c r="BP125" s="38">
        <f>Inputs!$B$27*(1+Inputs!$B$28)^($A125/12)*IF(Inputs!$B$72=1,$G125,1)*(1-Inputs!$C$72*$H125*(1-Inputs!$E$54*Inputs!$B$72))*(1+$I125)*IF(Inputs!$B$29=0,1,(MAX(BS124,0)/Inputs!$B$6)^Inputs!$B$29)</f>
        <v>22649.779785340324</v>
      </c>
      <c r="BQ125" s="38">
        <f>Inputs!$B$32*BS124/Inputs!$B$6</f>
        <v>0</v>
      </c>
      <c r="BR125" s="38">
        <f>Inputs!$B$33</f>
        <v>2500</v>
      </c>
      <c r="BS125" s="38">
        <f t="shared" si="74"/>
        <v>0</v>
      </c>
      <c r="BT125" s="38">
        <f t="shared" si="75"/>
        <v>0</v>
      </c>
      <c r="BU125" s="38">
        <f>Inputs!$B$19*(1-Inputs!$C$72*$H125)+Inputs!$B$21+Inputs!$B$72*$J125</f>
        <v>577500</v>
      </c>
      <c r="BV125" s="38">
        <f t="shared" si="76"/>
        <v>-577500</v>
      </c>
      <c r="BW125" s="38">
        <f t="shared" si="77"/>
        <v>1</v>
      </c>
      <c r="BX125" s="38">
        <f>MAX(0,MIN(Inputs!$C$36,CC124,BY125+BZ125+CA125+Inputs!$C$6-CB124))</f>
        <v>0</v>
      </c>
      <c r="BY125" s="38">
        <f>Inputs!$C$27*(1+Inputs!$C$28)^($A125/12)*IF(Inputs!$B$72=1,$G125,1)*(1-Inputs!$C$72*$H125*(1-Inputs!$E$54*Inputs!$B$72))*(1+$I125)*IF(Inputs!$C$29=0,1,(MAX(CB124,0)/Inputs!$C$6)^Inputs!$C$29)</f>
        <v>0</v>
      </c>
      <c r="BZ125" s="38">
        <f>Inputs!$C$32*CB124/Inputs!$C$6</f>
        <v>0</v>
      </c>
      <c r="CA125" s="38">
        <f>Inputs!$C$33</f>
        <v>2000</v>
      </c>
      <c r="CB125" s="38">
        <f t="shared" si="78"/>
        <v>0</v>
      </c>
      <c r="CC125" s="38">
        <f t="shared" si="79"/>
        <v>0</v>
      </c>
      <c r="CD125" s="38">
        <f>Inputs!$C$19*(1-Inputs!$C$72*$H125)+Inputs!$C$21+Inputs!$B$72*$J125</f>
        <v>480000</v>
      </c>
      <c r="CE125" s="38">
        <f t="shared" si="80"/>
        <v>-480000</v>
      </c>
      <c r="CF125" s="38">
        <f t="shared" si="81"/>
        <v>1</v>
      </c>
      <c r="CG125" s="38">
        <f>MAX(0,MIN(Inputs!$D$36,CL124,CH125+CI125+CJ125+Inputs!$D$6-CK124))</f>
        <v>0</v>
      </c>
      <c r="CH125" s="38">
        <f>Inputs!$D$27*(1+Inputs!$D$28)^($A125/12)*IF(Inputs!$B$72=1,$G125,1)*(1-Inputs!$C$72*$H125*(1-Inputs!$E$54*Inputs!$B$72))*(1+$I125)*IF(Inputs!$D$29=0,1,(MAX(CK124,0)/Inputs!$D$6)^Inputs!$D$29)</f>
        <v>3559.617178145455</v>
      </c>
      <c r="CI125" s="38">
        <f>Inputs!$D$32*CK124/Inputs!$D$6</f>
        <v>1727.5248536019938</v>
      </c>
      <c r="CJ125" s="38">
        <f>Inputs!$D$33</f>
        <v>1500</v>
      </c>
      <c r="CK125" s="38">
        <f t="shared" si="82"/>
        <v>355170.44634200365</v>
      </c>
      <c r="CL125" s="38">
        <f t="shared" si="83"/>
        <v>0</v>
      </c>
      <c r="CM125" s="38">
        <f>Inputs!$D$19*(1-Inputs!$C$72*$H125)+Inputs!$D$21+Inputs!$B$72*$J125</f>
        <v>392150</v>
      </c>
      <c r="CN125" s="38">
        <f t="shared" si="84"/>
        <v>-36979.553657996352</v>
      </c>
      <c r="CO125" s="38">
        <f t="shared" si="85"/>
        <v>1</v>
      </c>
      <c r="CP125" s="38">
        <f>MAX(0,MIN(Inputs!$B$36,CU124,CQ125+CR125+CS125+Inputs!$B$6-CT124))</f>
        <v>0</v>
      </c>
      <c r="CQ125" s="38">
        <f>Inputs!$B$27*(1+Inputs!$B$28)^($A125/12)*IF(Inputs!$B$73=1,$G125,1)*(1-Inputs!$C$73*$H125*(1-Inputs!$E$54*Inputs!$B$73))*(1+$I125)*IF(Inputs!$B$29=0,1,(MAX(CT124,0)/Inputs!$B$6)^Inputs!$B$29)</f>
        <v>20138.098116926543</v>
      </c>
      <c r="CR125" s="38">
        <f>Inputs!$B$32*CT124/Inputs!$B$6</f>
        <v>0</v>
      </c>
      <c r="CS125" s="38">
        <f>Inputs!$B$33</f>
        <v>2500</v>
      </c>
      <c r="CT125" s="38">
        <f t="shared" si="86"/>
        <v>0</v>
      </c>
      <c r="CU125" s="38">
        <f t="shared" si="87"/>
        <v>0</v>
      </c>
      <c r="CV125" s="38">
        <f>Inputs!$B$19*(1-Inputs!$C$73*$H125)+Inputs!$B$21+Inputs!$B$73*$J125</f>
        <v>583500</v>
      </c>
      <c r="CW125" s="38">
        <f t="shared" si="88"/>
        <v>-583500</v>
      </c>
      <c r="CX125" s="38">
        <f t="shared" si="89"/>
        <v>1</v>
      </c>
      <c r="CY125" s="38">
        <f>MAX(0,MIN(Inputs!$C$36,DD124,CZ125+DA125+DB125+Inputs!$C$6-DC124))</f>
        <v>0</v>
      </c>
      <c r="CZ125" s="38">
        <f>Inputs!$C$27*(1+Inputs!$C$28)^($A125/12)*IF(Inputs!$B$73=1,$G125,1)*(1-Inputs!$C$73*$H125*(1-Inputs!$E$54*Inputs!$B$73))*(1+$I125)*IF(Inputs!$C$29=0,1,(MAX(DC124,0)/Inputs!$C$6)^Inputs!$C$29)</f>
        <v>0</v>
      </c>
      <c r="DA125" s="38">
        <f>Inputs!$C$32*DC124/Inputs!$C$6</f>
        <v>0</v>
      </c>
      <c r="DB125" s="38">
        <f>Inputs!$C$33</f>
        <v>2000</v>
      </c>
      <c r="DC125" s="38">
        <f t="shared" si="90"/>
        <v>0</v>
      </c>
      <c r="DD125" s="38">
        <f t="shared" si="91"/>
        <v>0</v>
      </c>
      <c r="DE125" s="38">
        <f>Inputs!$C$19*(1-Inputs!$C$73*$H125)+Inputs!$C$21+Inputs!$B$73*$J125</f>
        <v>486000</v>
      </c>
      <c r="DF125" s="38">
        <f t="shared" si="92"/>
        <v>-486000</v>
      </c>
      <c r="DG125" s="38">
        <f t="shared" si="93"/>
        <v>1</v>
      </c>
      <c r="DH125" s="38">
        <f>MAX(0,MIN(Inputs!$D$36,DM124,DI125+DJ125+DK125+Inputs!$D$6-DL124))</f>
        <v>0</v>
      </c>
      <c r="DI125" s="38">
        <f>Inputs!$D$27*(1+Inputs!$D$28)^($A125/12)*IF(Inputs!$B$73=1,$G125,1)*(1-Inputs!$C$73*$H125*(1-Inputs!$E$54*Inputs!$B$73))*(1+$I125)*IF(Inputs!$D$29=0,1,(MAX(DL124,0)/Inputs!$D$6)^Inputs!$D$29)</f>
        <v>3401.1917730838927</v>
      </c>
      <c r="DJ125" s="38">
        <f>Inputs!$D$32*DL124/Inputs!$D$6</f>
        <v>1995.1291730154801</v>
      </c>
      <c r="DK125" s="38">
        <f>Inputs!$D$33</f>
        <v>1500</v>
      </c>
      <c r="DL125" s="38">
        <f t="shared" si="94"/>
        <v>411130.74387619173</v>
      </c>
      <c r="DM125" s="38">
        <f t="shared" si="95"/>
        <v>0</v>
      </c>
      <c r="DN125" s="38">
        <f>Inputs!$D$19*(1-Inputs!$C$73*$H125)+Inputs!$D$21+Inputs!$B$73*$J125</f>
        <v>398150</v>
      </c>
      <c r="DO125" s="38">
        <f t="shared" si="96"/>
        <v>12980.743876191729</v>
      </c>
      <c r="DP125" s="38">
        <f t="shared" si="97"/>
        <v>0</v>
      </c>
    </row>
    <row r="126" spans="1:120" x14ac:dyDescent="0.35">
      <c r="A126" s="29">
        <v>121</v>
      </c>
      <c r="B126" s="34">
        <f>EDATE(Inputs!$B$67,$A126)</f>
        <v>49949</v>
      </c>
      <c r="C126" s="35">
        <f>IF(Inputs!$E$47&lt;=0,Inputs!$E$46,Inputs!$E$44+(Inputs!$E$46-Inputs!$E$44)*MIN($A126/Inputs!$E$47,1))</f>
        <v>0.7</v>
      </c>
      <c r="D126" s="35">
        <f>MIN(Inputs!$E$57,Inputs!$E$55*(1+Inputs!$E$56)^($A126/12))*Inputs!$E$58*(1+Inputs!$E$59)^($A126/12)/Inputs!$E$45</f>
        <v>1.5</v>
      </c>
      <c r="E126" s="35">
        <f>MAX(Inputs!$E$44,MIN(C126,D126))</f>
        <v>0.7</v>
      </c>
      <c r="F126" s="35">
        <f>IF(Inputs!$E$50&lt;=0,Inputs!$E$49,Inputs!$E$48+(Inputs!$E$49-Inputs!$E$48)*MIN($A126/Inputs!$E$50,1))</f>
        <v>0.12</v>
      </c>
      <c r="G126" s="36">
        <f>(Inputs!$E$41*(1-E126*Inputs!$E$51)+Inputs!$E$42*(1-F126*Inputs!$E$51))/(Inputs!$E$41*(1-Inputs!$E$44*Inputs!$E$51)+Inputs!$E$42*(1-Inputs!$E$48*Inputs!$E$51))</f>
        <v>0.8423127463863338</v>
      </c>
      <c r="H126" s="35">
        <f>IF(Inputs!$E$53&lt;=0,Inputs!$E$52,Inputs!$E$52*MIN($A126/Inputs!$E$53,1))</f>
        <v>0.1</v>
      </c>
      <c r="I126" s="35">
        <f>IF(Inputs!$E$64&lt;=0,Inputs!$E$63,Inputs!$E$62+(Inputs!$E$63-Inputs!$E$62)*MIN($A126/Inputs!$E$64,1))</f>
        <v>0.03</v>
      </c>
      <c r="J126" s="37">
        <f>(E126-Inputs!$E$44)*Inputs!$E$45/Inputs!$E$60*Inputs!$E$61</f>
        <v>5999.9999999999991</v>
      </c>
      <c r="K126" s="29">
        <f t="shared" si="49"/>
        <v>0</v>
      </c>
      <c r="L126" s="29"/>
      <c r="M126" s="38">
        <f>MAX(0,MIN(Inputs!$B$36,R125,N126+O126+P126+Inputs!$B$6-Q125))</f>
        <v>0</v>
      </c>
      <c r="N126" s="38">
        <f>Inputs!$B$27*(1+Inputs!$B$28)^($A126/12)*IF(Inputs!$B$70=1,$G126,1)*(1-Inputs!$C$70*$H126*(1-Inputs!$E$54*Inputs!$B$70))*(1+$I126)*IF(Inputs!$B$29=0,1,(MAX(Q125,0)/Inputs!$B$6)^Inputs!$B$29)</f>
        <v>25268.953102064654</v>
      </c>
      <c r="O126" s="38">
        <f>Inputs!$B$32*Q125/Inputs!$B$6</f>
        <v>0</v>
      </c>
      <c r="P126" s="38">
        <f>Inputs!$B$33</f>
        <v>2500</v>
      </c>
      <c r="Q126" s="38">
        <f t="shared" si="50"/>
        <v>0</v>
      </c>
      <c r="R126" s="38">
        <f t="shared" si="51"/>
        <v>0</v>
      </c>
      <c r="S126" s="38">
        <f>Inputs!$B$19*(1-Inputs!$C$70*$H126)+Inputs!$B$21+Inputs!$B$70*$J126</f>
        <v>595000</v>
      </c>
      <c r="T126" s="38">
        <f t="shared" si="52"/>
        <v>-595000</v>
      </c>
      <c r="U126" s="38">
        <f t="shared" si="53"/>
        <v>1</v>
      </c>
      <c r="V126" s="38">
        <f>MAX(0,MIN(Inputs!$C$36,AA125,W126+X126+Y126+Inputs!$C$6-Z125))</f>
        <v>0</v>
      </c>
      <c r="W126" s="38">
        <f>Inputs!$C$27*(1+Inputs!$C$28)^($A126/12)*IF(Inputs!$B$70=1,$G126,1)*(1-Inputs!$C$70*$H126*(1-Inputs!$E$54*Inputs!$B$70))*(1+$I126)*IF(Inputs!$C$29=0,1,(MAX(Z125,0)/Inputs!$C$6)^Inputs!$C$29)</f>
        <v>0</v>
      </c>
      <c r="X126" s="38">
        <f>Inputs!$C$32*Z125/Inputs!$C$6</f>
        <v>0</v>
      </c>
      <c r="Y126" s="38">
        <f>Inputs!$C$33</f>
        <v>2000</v>
      </c>
      <c r="Z126" s="38">
        <f t="shared" si="54"/>
        <v>0</v>
      </c>
      <c r="AA126" s="38">
        <f t="shared" si="55"/>
        <v>0</v>
      </c>
      <c r="AB126" s="38">
        <f>Inputs!$C$19*(1-Inputs!$C$70*$H126)+Inputs!$C$21+Inputs!$B$70*$J126</f>
        <v>495000</v>
      </c>
      <c r="AC126" s="38">
        <f t="shared" si="56"/>
        <v>-495000</v>
      </c>
      <c r="AD126" s="38">
        <f t="shared" si="57"/>
        <v>1</v>
      </c>
      <c r="AE126" s="38">
        <f>MAX(0,MIN(Inputs!$D$36,AJ125,AF126+AG126+AH126+Inputs!$D$6-AI125))</f>
        <v>0</v>
      </c>
      <c r="AF126" s="38">
        <f>Inputs!$D$27*(1+Inputs!$D$28)^($A126/12)*IF(Inputs!$B$70=1,$G126,1)*(1-Inputs!$C$70*$H126*(1-Inputs!$E$54*Inputs!$B$70))*(1+$I126)*IF(Inputs!$D$29=0,1,(MAX(AI125,0)/Inputs!$D$6)^Inputs!$D$29)</f>
        <v>3651.123872011648</v>
      </c>
      <c r="AG126" s="38">
        <f>Inputs!$D$32*AI125/Inputs!$D$6</f>
        <v>1484.8022013620109</v>
      </c>
      <c r="AH126" s="38">
        <f>Inputs!$D$33</f>
        <v>1500</v>
      </c>
      <c r="AI126" s="38">
        <f t="shared" si="58"/>
        <v>304465.48754533334</v>
      </c>
      <c r="AJ126" s="38">
        <f t="shared" si="59"/>
        <v>0</v>
      </c>
      <c r="AK126" s="38">
        <f>Inputs!$D$19*(1-Inputs!$C$70*$H126)+Inputs!$D$21+Inputs!$B$70*$J126</f>
        <v>404800</v>
      </c>
      <c r="AL126" s="38">
        <f t="shared" si="60"/>
        <v>-100334.51245466666</v>
      </c>
      <c r="AM126" s="38">
        <f t="shared" si="61"/>
        <v>1</v>
      </c>
      <c r="AN126" s="38">
        <f>MAX(0,MIN(Inputs!$B$36,AS125,AO126+AP126+AQ126+Inputs!$B$6-AR125))</f>
        <v>0</v>
      </c>
      <c r="AO126" s="38">
        <f>Inputs!$B$27*(1+Inputs!$B$28)^($A126/12)*IF(Inputs!$B$71=1,$G126,1)*(1-Inputs!$C$71*$H126*(1-Inputs!$E$54*Inputs!$B$71))*(1+$I126)*IF(Inputs!$B$29=0,1,(MAX(AR125,0)/Inputs!$B$6)^Inputs!$B$29)</f>
        <v>21284.361285707546</v>
      </c>
      <c r="AP126" s="38">
        <f>Inputs!$B$32*AR125/Inputs!$B$6</f>
        <v>0</v>
      </c>
      <c r="AQ126" s="38">
        <f>Inputs!$B$33</f>
        <v>2500</v>
      </c>
      <c r="AR126" s="38">
        <f t="shared" si="62"/>
        <v>0</v>
      </c>
      <c r="AS126" s="38">
        <f t="shared" si="63"/>
        <v>0</v>
      </c>
      <c r="AT126" s="38">
        <f>Inputs!$B$19*(1-Inputs!$C$71*$H126)+Inputs!$B$21+Inputs!$B$71*$J126</f>
        <v>601000</v>
      </c>
      <c r="AU126" s="38">
        <f t="shared" si="64"/>
        <v>-601000</v>
      </c>
      <c r="AV126" s="38">
        <f t="shared" si="65"/>
        <v>1</v>
      </c>
      <c r="AW126" s="38">
        <f>MAX(0,MIN(Inputs!$C$36,BB125,AX126+AY126+AZ126+Inputs!$C$6-BA125))</f>
        <v>0</v>
      </c>
      <c r="AX126" s="38">
        <f>Inputs!$C$27*(1+Inputs!$C$28)^($A126/12)*IF(Inputs!$B$71=1,$G126,1)*(1-Inputs!$C$71*$H126*(1-Inputs!$E$54*Inputs!$B$71))*(1+$I126)*IF(Inputs!$C$29=0,1,(MAX(BA125,0)/Inputs!$C$6)^Inputs!$C$29)</f>
        <v>0</v>
      </c>
      <c r="AY126" s="38">
        <f>Inputs!$C$32*BA125/Inputs!$C$6</f>
        <v>0</v>
      </c>
      <c r="AZ126" s="38">
        <f>Inputs!$C$33</f>
        <v>2000</v>
      </c>
      <c r="BA126" s="38">
        <f t="shared" si="66"/>
        <v>0</v>
      </c>
      <c r="BB126" s="38">
        <f t="shared" si="67"/>
        <v>0</v>
      </c>
      <c r="BC126" s="38">
        <f>Inputs!$C$19*(1-Inputs!$C$71*$H126)+Inputs!$C$21+Inputs!$B$71*$J126</f>
        <v>501000</v>
      </c>
      <c r="BD126" s="38">
        <f t="shared" si="68"/>
        <v>-501000</v>
      </c>
      <c r="BE126" s="38">
        <f t="shared" si="69"/>
        <v>1</v>
      </c>
      <c r="BF126" s="38">
        <f>MAX(0,MIN(Inputs!$D$36,BK125,BG126+BH126+BI126+Inputs!$D$6-BJ125))</f>
        <v>0</v>
      </c>
      <c r="BG126" s="38">
        <f>Inputs!$D$27*(1+Inputs!$D$28)^($A126/12)*IF(Inputs!$B$71=1,$G126,1)*(1-Inputs!$C$71*$H126*(1-Inputs!$E$54*Inputs!$B$71))*(1+$I126)*IF(Inputs!$D$29=0,1,(MAX(BJ125,0)/Inputs!$D$6)^Inputs!$D$29)</f>
        <v>3446.5931899644065</v>
      </c>
      <c r="BH126" s="38">
        <f>Inputs!$D$32*BJ125/Inputs!$D$6</f>
        <v>1864.8709049512563</v>
      </c>
      <c r="BI126" s="38">
        <f>Inputs!$D$33</f>
        <v>1500</v>
      </c>
      <c r="BJ126" s="38">
        <f t="shared" si="70"/>
        <v>383923.39218058565</v>
      </c>
      <c r="BK126" s="38">
        <f t="shared" si="71"/>
        <v>0</v>
      </c>
      <c r="BL126" s="38">
        <f>Inputs!$D$19*(1-Inputs!$C$71*$H126)+Inputs!$D$21+Inputs!$B$71*$J126</f>
        <v>410800</v>
      </c>
      <c r="BM126" s="38">
        <f t="shared" si="72"/>
        <v>-26876.607819414348</v>
      </c>
      <c r="BN126" s="38">
        <f t="shared" si="73"/>
        <v>1</v>
      </c>
      <c r="BO126" s="38">
        <f>MAX(0,MIN(Inputs!$B$36,BT125,BP126+BQ126+BR126+Inputs!$B$6-BS125))</f>
        <v>0</v>
      </c>
      <c r="BP126" s="38">
        <f>Inputs!$B$27*(1+Inputs!$B$28)^($A126/12)*IF(Inputs!$B$72=1,$G126,1)*(1-Inputs!$C$72*$H126*(1-Inputs!$E$54*Inputs!$B$72))*(1+$I126)*IF(Inputs!$B$29=0,1,(MAX(BS125,0)/Inputs!$B$6)^Inputs!$B$29)</f>
        <v>22742.057791858188</v>
      </c>
      <c r="BQ126" s="38">
        <f>Inputs!$B$32*BS125/Inputs!$B$6</f>
        <v>0</v>
      </c>
      <c r="BR126" s="38">
        <f>Inputs!$B$33</f>
        <v>2500</v>
      </c>
      <c r="BS126" s="38">
        <f t="shared" si="74"/>
        <v>0</v>
      </c>
      <c r="BT126" s="38">
        <f t="shared" si="75"/>
        <v>0</v>
      </c>
      <c r="BU126" s="38">
        <f>Inputs!$B$19*(1-Inputs!$C$72*$H126)+Inputs!$B$21+Inputs!$B$72*$J126</f>
        <v>577500</v>
      </c>
      <c r="BV126" s="38">
        <f t="shared" si="76"/>
        <v>-577500</v>
      </c>
      <c r="BW126" s="38">
        <f t="shared" si="77"/>
        <v>1</v>
      </c>
      <c r="BX126" s="38">
        <f>MAX(0,MIN(Inputs!$C$36,CC125,BY126+BZ126+CA126+Inputs!$C$6-CB125))</f>
        <v>0</v>
      </c>
      <c r="BY126" s="38">
        <f>Inputs!$C$27*(1+Inputs!$C$28)^($A126/12)*IF(Inputs!$B$72=1,$G126,1)*(1-Inputs!$C$72*$H126*(1-Inputs!$E$54*Inputs!$B$72))*(1+$I126)*IF(Inputs!$C$29=0,1,(MAX(CB125,0)/Inputs!$C$6)^Inputs!$C$29)</f>
        <v>0</v>
      </c>
      <c r="BZ126" s="38">
        <f>Inputs!$C$32*CB125/Inputs!$C$6</f>
        <v>0</v>
      </c>
      <c r="CA126" s="38">
        <f>Inputs!$C$33</f>
        <v>2000</v>
      </c>
      <c r="CB126" s="38">
        <f t="shared" si="78"/>
        <v>0</v>
      </c>
      <c r="CC126" s="38">
        <f t="shared" si="79"/>
        <v>0</v>
      </c>
      <c r="CD126" s="38">
        <f>Inputs!$C$19*(1-Inputs!$C$72*$H126)+Inputs!$C$21+Inputs!$B$72*$J126</f>
        <v>480000</v>
      </c>
      <c r="CE126" s="38">
        <f t="shared" si="80"/>
        <v>-480000</v>
      </c>
      <c r="CF126" s="38">
        <f t="shared" si="81"/>
        <v>1</v>
      </c>
      <c r="CG126" s="38">
        <f>MAX(0,MIN(Inputs!$D$36,CL125,CH126+CI126+CJ126+Inputs!$D$6-CK125))</f>
        <v>0</v>
      </c>
      <c r="CH126" s="38">
        <f>Inputs!$D$27*(1+Inputs!$D$28)^($A126/12)*IF(Inputs!$B$72=1,$G126,1)*(1-Inputs!$C$72*$H126*(1-Inputs!$E$54*Inputs!$B$72))*(1+$I126)*IF(Inputs!$D$29=0,1,(MAX(CK125,0)/Inputs!$D$6)^Inputs!$D$29)</f>
        <v>3511.0458047209268</v>
      </c>
      <c r="CI126" s="38">
        <f>Inputs!$D$32*CK125/Inputs!$D$6</f>
        <v>1695.1316757231991</v>
      </c>
      <c r="CJ126" s="38">
        <f>Inputs!$D$33</f>
        <v>1500</v>
      </c>
      <c r="CK126" s="38">
        <f t="shared" si="82"/>
        <v>348464.26886155951</v>
      </c>
      <c r="CL126" s="38">
        <f t="shared" si="83"/>
        <v>0</v>
      </c>
      <c r="CM126" s="38">
        <f>Inputs!$D$19*(1-Inputs!$C$72*$H126)+Inputs!$D$21+Inputs!$B$72*$J126</f>
        <v>392150</v>
      </c>
      <c r="CN126" s="38">
        <f t="shared" si="84"/>
        <v>-43685.731138440489</v>
      </c>
      <c r="CO126" s="38">
        <f t="shared" si="85"/>
        <v>1</v>
      </c>
      <c r="CP126" s="38">
        <f>MAX(0,MIN(Inputs!$B$36,CU125,CQ126+CR126+CS126+Inputs!$B$6-CT125))</f>
        <v>0</v>
      </c>
      <c r="CQ126" s="38">
        <f>Inputs!$B$27*(1+Inputs!$B$28)^($A126/12)*IF(Inputs!$B$73=1,$G126,1)*(1-Inputs!$C$73*$H126*(1-Inputs!$E$54*Inputs!$B$73))*(1+$I126)*IF(Inputs!$B$29=0,1,(MAX(CT125,0)/Inputs!$B$6)^Inputs!$B$29)</f>
        <v>20220.143221422171</v>
      </c>
      <c r="CR126" s="38">
        <f>Inputs!$B$32*CT125/Inputs!$B$6</f>
        <v>0</v>
      </c>
      <c r="CS126" s="38">
        <f>Inputs!$B$33</f>
        <v>2500</v>
      </c>
      <c r="CT126" s="38">
        <f t="shared" si="86"/>
        <v>0</v>
      </c>
      <c r="CU126" s="38">
        <f t="shared" si="87"/>
        <v>0</v>
      </c>
      <c r="CV126" s="38">
        <f>Inputs!$B$19*(1-Inputs!$C$73*$H126)+Inputs!$B$21+Inputs!$B$73*$J126</f>
        <v>583500</v>
      </c>
      <c r="CW126" s="38">
        <f t="shared" si="88"/>
        <v>-583500</v>
      </c>
      <c r="CX126" s="38">
        <f t="shared" si="89"/>
        <v>1</v>
      </c>
      <c r="CY126" s="38">
        <f>MAX(0,MIN(Inputs!$C$36,DD125,CZ126+DA126+DB126+Inputs!$C$6-DC125))</f>
        <v>0</v>
      </c>
      <c r="CZ126" s="38">
        <f>Inputs!$C$27*(1+Inputs!$C$28)^($A126/12)*IF(Inputs!$B$73=1,$G126,1)*(1-Inputs!$C$73*$H126*(1-Inputs!$E$54*Inputs!$B$73))*(1+$I126)*IF(Inputs!$C$29=0,1,(MAX(DC125,0)/Inputs!$C$6)^Inputs!$C$29)</f>
        <v>0</v>
      </c>
      <c r="DA126" s="38">
        <f>Inputs!$C$32*DC125/Inputs!$C$6</f>
        <v>0</v>
      </c>
      <c r="DB126" s="38">
        <f>Inputs!$C$33</f>
        <v>2000</v>
      </c>
      <c r="DC126" s="38">
        <f t="shared" si="90"/>
        <v>0</v>
      </c>
      <c r="DD126" s="38">
        <f t="shared" si="91"/>
        <v>0</v>
      </c>
      <c r="DE126" s="38">
        <f>Inputs!$C$19*(1-Inputs!$C$73*$H126)+Inputs!$C$21+Inputs!$B$73*$J126</f>
        <v>486000</v>
      </c>
      <c r="DF126" s="38">
        <f t="shared" si="92"/>
        <v>-486000</v>
      </c>
      <c r="DG126" s="38">
        <f t="shared" si="93"/>
        <v>1</v>
      </c>
      <c r="DH126" s="38">
        <f>MAX(0,MIN(Inputs!$D$36,DM125,DI126+DJ126+DK126+Inputs!$D$6-DL125))</f>
        <v>0</v>
      </c>
      <c r="DI126" s="38">
        <f>Inputs!$D$27*(1+Inputs!$D$28)^($A126/12)*IF(Inputs!$B$73=1,$G126,1)*(1-Inputs!$C$73*$H126*(1-Inputs!$E$54*Inputs!$B$73))*(1+$I126)*IF(Inputs!$D$29=0,1,(MAX(DL125,0)/Inputs!$D$6)^Inputs!$D$29)</f>
        <v>3358.6328418371818</v>
      </c>
      <c r="DJ126" s="38">
        <f>Inputs!$D$32*DL125/Inputs!$D$6</f>
        <v>1962.2149139545513</v>
      </c>
      <c r="DK126" s="38">
        <f>Inputs!$D$33</f>
        <v>1500</v>
      </c>
      <c r="DL126" s="38">
        <f t="shared" si="94"/>
        <v>404309.89612039999</v>
      </c>
      <c r="DM126" s="38">
        <f t="shared" si="95"/>
        <v>0</v>
      </c>
      <c r="DN126" s="38">
        <f>Inputs!$D$19*(1-Inputs!$C$73*$H126)+Inputs!$D$21+Inputs!$B$73*$J126</f>
        <v>398150</v>
      </c>
      <c r="DO126" s="38">
        <f t="shared" si="96"/>
        <v>6159.8961203999934</v>
      </c>
      <c r="DP126" s="38">
        <f t="shared" si="97"/>
        <v>0</v>
      </c>
    </row>
    <row r="127" spans="1:120" x14ac:dyDescent="0.35">
      <c r="A127" s="29">
        <v>122</v>
      </c>
      <c r="B127" s="34">
        <f>EDATE(Inputs!$B$67,$A127)</f>
        <v>49980</v>
      </c>
      <c r="C127" s="35">
        <f>IF(Inputs!$E$47&lt;=0,Inputs!$E$46,Inputs!$E$44+(Inputs!$E$46-Inputs!$E$44)*MIN($A127/Inputs!$E$47,1))</f>
        <v>0.7</v>
      </c>
      <c r="D127" s="35">
        <f>MIN(Inputs!$E$57,Inputs!$E$55*(1+Inputs!$E$56)^($A127/12))*Inputs!$E$58*(1+Inputs!$E$59)^($A127/12)/Inputs!$E$45</f>
        <v>1.5</v>
      </c>
      <c r="E127" s="35">
        <f>MAX(Inputs!$E$44,MIN(C127,D127))</f>
        <v>0.7</v>
      </c>
      <c r="F127" s="35">
        <f>IF(Inputs!$E$50&lt;=0,Inputs!$E$49,Inputs!$E$48+(Inputs!$E$49-Inputs!$E$48)*MIN($A127/Inputs!$E$50,1))</f>
        <v>0.12</v>
      </c>
      <c r="G127" s="36">
        <f>(Inputs!$E$41*(1-E127*Inputs!$E$51)+Inputs!$E$42*(1-F127*Inputs!$E$51))/(Inputs!$E$41*(1-Inputs!$E$44*Inputs!$E$51)+Inputs!$E$42*(1-Inputs!$E$48*Inputs!$E$51))</f>
        <v>0.8423127463863338</v>
      </c>
      <c r="H127" s="35">
        <f>IF(Inputs!$E$53&lt;=0,Inputs!$E$52,Inputs!$E$52*MIN($A127/Inputs!$E$53,1))</f>
        <v>0.1</v>
      </c>
      <c r="I127" s="35">
        <f>IF(Inputs!$E$64&lt;=0,Inputs!$E$63,Inputs!$E$62+(Inputs!$E$63-Inputs!$E$62)*MIN($A127/Inputs!$E$64,1))</f>
        <v>0.03</v>
      </c>
      <c r="J127" s="37">
        <f>(E127-Inputs!$E$44)*Inputs!$E$45/Inputs!$E$60*Inputs!$E$61</f>
        <v>5999.9999999999991</v>
      </c>
      <c r="K127" s="29">
        <f t="shared" si="49"/>
        <v>0</v>
      </c>
      <c r="L127" s="29"/>
      <c r="M127" s="38">
        <f>MAX(0,MIN(Inputs!$B$36,R126,N127+O127+P127+Inputs!$B$6-Q126))</f>
        <v>0</v>
      </c>
      <c r="N127" s="38">
        <f>Inputs!$B$27*(1+Inputs!$B$28)^($A127/12)*IF(Inputs!$B$70=1,$G127,1)*(1-Inputs!$C$70*$H127*(1-Inputs!$E$54*Inputs!$B$70))*(1+$I127)*IF(Inputs!$B$29=0,1,(MAX(Q126,0)/Inputs!$B$6)^Inputs!$B$29)</f>
        <v>25371.901944885663</v>
      </c>
      <c r="O127" s="38">
        <f>Inputs!$B$32*Q126/Inputs!$B$6</f>
        <v>0</v>
      </c>
      <c r="P127" s="38">
        <f>Inputs!$B$33</f>
        <v>2500</v>
      </c>
      <c r="Q127" s="38">
        <f t="shared" si="50"/>
        <v>0</v>
      </c>
      <c r="R127" s="38">
        <f t="shared" si="51"/>
        <v>0</v>
      </c>
      <c r="S127" s="38">
        <f>Inputs!$B$19*(1-Inputs!$C$70*$H127)+Inputs!$B$21+Inputs!$B$70*$J127</f>
        <v>595000</v>
      </c>
      <c r="T127" s="38">
        <f t="shared" si="52"/>
        <v>-595000</v>
      </c>
      <c r="U127" s="38">
        <f t="shared" si="53"/>
        <v>1</v>
      </c>
      <c r="V127" s="38">
        <f>MAX(0,MIN(Inputs!$C$36,AA126,W127+X127+Y127+Inputs!$C$6-Z126))</f>
        <v>0</v>
      </c>
      <c r="W127" s="38">
        <f>Inputs!$C$27*(1+Inputs!$C$28)^($A127/12)*IF(Inputs!$B$70=1,$G127,1)*(1-Inputs!$C$70*$H127*(1-Inputs!$E$54*Inputs!$B$70))*(1+$I127)*IF(Inputs!$C$29=0,1,(MAX(Z126,0)/Inputs!$C$6)^Inputs!$C$29)</f>
        <v>0</v>
      </c>
      <c r="X127" s="38">
        <f>Inputs!$C$32*Z126/Inputs!$C$6</f>
        <v>0</v>
      </c>
      <c r="Y127" s="38">
        <f>Inputs!$C$33</f>
        <v>2000</v>
      </c>
      <c r="Z127" s="38">
        <f t="shared" si="54"/>
        <v>0</v>
      </c>
      <c r="AA127" s="38">
        <f t="shared" si="55"/>
        <v>0</v>
      </c>
      <c r="AB127" s="38">
        <f>Inputs!$C$19*(1-Inputs!$C$70*$H127)+Inputs!$C$21+Inputs!$B$70*$J127</f>
        <v>495000</v>
      </c>
      <c r="AC127" s="38">
        <f t="shared" si="56"/>
        <v>-495000</v>
      </c>
      <c r="AD127" s="38">
        <f t="shared" si="57"/>
        <v>1</v>
      </c>
      <c r="AE127" s="38">
        <f>MAX(0,MIN(Inputs!$D$36,AJ126,AF127+AG127+AH127+Inputs!$D$6-AI126))</f>
        <v>0</v>
      </c>
      <c r="AF127" s="38">
        <f>Inputs!$D$27*(1+Inputs!$D$28)^($A127/12)*IF(Inputs!$B$70=1,$G127,1)*(1-Inputs!$C$70*$H127*(1-Inputs!$E$54*Inputs!$B$70))*(1+$I127)*IF(Inputs!$D$29=0,1,(MAX(AI126,0)/Inputs!$D$6)^Inputs!$D$29)</f>
        <v>3596.5677391567174</v>
      </c>
      <c r="AG127" s="38">
        <f>Inputs!$D$32*AI126/Inputs!$D$6</f>
        <v>1453.1307360118183</v>
      </c>
      <c r="AH127" s="38">
        <f>Inputs!$D$33</f>
        <v>1500</v>
      </c>
      <c r="AI127" s="38">
        <f t="shared" si="58"/>
        <v>297915.78907016478</v>
      </c>
      <c r="AJ127" s="38">
        <f t="shared" si="59"/>
        <v>0</v>
      </c>
      <c r="AK127" s="38">
        <f>Inputs!$D$19*(1-Inputs!$C$70*$H127)+Inputs!$D$21+Inputs!$B$70*$J127</f>
        <v>404800</v>
      </c>
      <c r="AL127" s="38">
        <f t="shared" si="60"/>
        <v>-106884.21092983522</v>
      </c>
      <c r="AM127" s="38">
        <f t="shared" si="61"/>
        <v>1</v>
      </c>
      <c r="AN127" s="38">
        <f>MAX(0,MIN(Inputs!$B$36,AS126,AO127+AP127+AQ127+Inputs!$B$6-AR126))</f>
        <v>0</v>
      </c>
      <c r="AO127" s="38">
        <f>Inputs!$B$27*(1+Inputs!$B$28)^($A127/12)*IF(Inputs!$B$71=1,$G127,1)*(1-Inputs!$C$71*$H127*(1-Inputs!$E$54*Inputs!$B$71))*(1+$I127)*IF(Inputs!$B$29=0,1,(MAX(AR126,0)/Inputs!$B$6)^Inputs!$B$29)</f>
        <v>21371.076408241406</v>
      </c>
      <c r="AP127" s="38">
        <f>Inputs!$B$32*AR126/Inputs!$B$6</f>
        <v>0</v>
      </c>
      <c r="AQ127" s="38">
        <f>Inputs!$B$33</f>
        <v>2500</v>
      </c>
      <c r="AR127" s="38">
        <f t="shared" si="62"/>
        <v>0</v>
      </c>
      <c r="AS127" s="38">
        <f t="shared" si="63"/>
        <v>0</v>
      </c>
      <c r="AT127" s="38">
        <f>Inputs!$B$19*(1-Inputs!$C$71*$H127)+Inputs!$B$21+Inputs!$B$71*$J127</f>
        <v>601000</v>
      </c>
      <c r="AU127" s="38">
        <f t="shared" si="64"/>
        <v>-601000</v>
      </c>
      <c r="AV127" s="38">
        <f t="shared" si="65"/>
        <v>1</v>
      </c>
      <c r="AW127" s="38">
        <f>MAX(0,MIN(Inputs!$C$36,BB126,AX127+AY127+AZ127+Inputs!$C$6-BA126))</f>
        <v>0</v>
      </c>
      <c r="AX127" s="38">
        <f>Inputs!$C$27*(1+Inputs!$C$28)^($A127/12)*IF(Inputs!$B$71=1,$G127,1)*(1-Inputs!$C$71*$H127*(1-Inputs!$E$54*Inputs!$B$71))*(1+$I127)*IF(Inputs!$C$29=0,1,(MAX(BA126,0)/Inputs!$C$6)^Inputs!$C$29)</f>
        <v>0</v>
      </c>
      <c r="AY127" s="38">
        <f>Inputs!$C$32*BA126/Inputs!$C$6</f>
        <v>0</v>
      </c>
      <c r="AZ127" s="38">
        <f>Inputs!$C$33</f>
        <v>2000</v>
      </c>
      <c r="BA127" s="38">
        <f t="shared" si="66"/>
        <v>0</v>
      </c>
      <c r="BB127" s="38">
        <f t="shared" si="67"/>
        <v>0</v>
      </c>
      <c r="BC127" s="38">
        <f>Inputs!$C$19*(1-Inputs!$C$71*$H127)+Inputs!$C$21+Inputs!$B$71*$J127</f>
        <v>501000</v>
      </c>
      <c r="BD127" s="38">
        <f t="shared" si="68"/>
        <v>-501000</v>
      </c>
      <c r="BE127" s="38">
        <f t="shared" si="69"/>
        <v>1</v>
      </c>
      <c r="BF127" s="38">
        <f>MAX(0,MIN(Inputs!$D$36,BK126,BG127+BH127+BI127+Inputs!$D$6-BJ126))</f>
        <v>0</v>
      </c>
      <c r="BG127" s="38">
        <f>Inputs!$D$27*(1+Inputs!$D$28)^($A127/12)*IF(Inputs!$B$71=1,$G127,1)*(1-Inputs!$C$71*$H127*(1-Inputs!$E$54*Inputs!$B$71))*(1+$I127)*IF(Inputs!$D$29=0,1,(MAX(BJ126,0)/Inputs!$D$6)^Inputs!$D$29)</f>
        <v>3401.8477193047138</v>
      </c>
      <c r="BH127" s="38">
        <f>Inputs!$D$32*BJ126/Inputs!$D$6</f>
        <v>1832.3616444982497</v>
      </c>
      <c r="BI127" s="38">
        <f>Inputs!$D$33</f>
        <v>1500</v>
      </c>
      <c r="BJ127" s="38">
        <f t="shared" si="70"/>
        <v>377189.18281678268</v>
      </c>
      <c r="BK127" s="38">
        <f t="shared" si="71"/>
        <v>0</v>
      </c>
      <c r="BL127" s="38">
        <f>Inputs!$D$19*(1-Inputs!$C$71*$H127)+Inputs!$D$21+Inputs!$B$71*$J127</f>
        <v>410800</v>
      </c>
      <c r="BM127" s="38">
        <f t="shared" si="72"/>
        <v>-33610.817183217325</v>
      </c>
      <c r="BN127" s="38">
        <f t="shared" si="73"/>
        <v>1</v>
      </c>
      <c r="BO127" s="38">
        <f>MAX(0,MIN(Inputs!$B$36,BT126,BP127+BQ127+BR127+Inputs!$B$6-BS126))</f>
        <v>0</v>
      </c>
      <c r="BP127" s="38">
        <f>Inputs!$B$27*(1+Inputs!$B$28)^($A127/12)*IF(Inputs!$B$72=1,$G127,1)*(1-Inputs!$C$72*$H127*(1-Inputs!$E$54*Inputs!$B$72))*(1+$I127)*IF(Inputs!$B$29=0,1,(MAX(BS126,0)/Inputs!$B$6)^Inputs!$B$29)</f>
        <v>22834.711750397095</v>
      </c>
      <c r="BQ127" s="38">
        <f>Inputs!$B$32*BS126/Inputs!$B$6</f>
        <v>0</v>
      </c>
      <c r="BR127" s="38">
        <f>Inputs!$B$33</f>
        <v>2500</v>
      </c>
      <c r="BS127" s="38">
        <f t="shared" si="74"/>
        <v>0</v>
      </c>
      <c r="BT127" s="38">
        <f t="shared" si="75"/>
        <v>0</v>
      </c>
      <c r="BU127" s="38">
        <f>Inputs!$B$19*(1-Inputs!$C$72*$H127)+Inputs!$B$21+Inputs!$B$72*$J127</f>
        <v>577500</v>
      </c>
      <c r="BV127" s="38">
        <f t="shared" si="76"/>
        <v>-577500</v>
      </c>
      <c r="BW127" s="38">
        <f t="shared" si="77"/>
        <v>1</v>
      </c>
      <c r="BX127" s="38">
        <f>MAX(0,MIN(Inputs!$C$36,CC126,BY127+BZ127+CA127+Inputs!$C$6-CB126))</f>
        <v>0</v>
      </c>
      <c r="BY127" s="38">
        <f>Inputs!$C$27*(1+Inputs!$C$28)^($A127/12)*IF(Inputs!$B$72=1,$G127,1)*(1-Inputs!$C$72*$H127*(1-Inputs!$E$54*Inputs!$B$72))*(1+$I127)*IF(Inputs!$C$29=0,1,(MAX(CB126,0)/Inputs!$C$6)^Inputs!$C$29)</f>
        <v>0</v>
      </c>
      <c r="BZ127" s="38">
        <f>Inputs!$C$32*CB126/Inputs!$C$6</f>
        <v>0</v>
      </c>
      <c r="CA127" s="38">
        <f>Inputs!$C$33</f>
        <v>2000</v>
      </c>
      <c r="CB127" s="38">
        <f t="shared" si="78"/>
        <v>0</v>
      </c>
      <c r="CC127" s="38">
        <f t="shared" si="79"/>
        <v>0</v>
      </c>
      <c r="CD127" s="38">
        <f>Inputs!$C$19*(1-Inputs!$C$72*$H127)+Inputs!$C$21+Inputs!$B$72*$J127</f>
        <v>480000</v>
      </c>
      <c r="CE127" s="38">
        <f t="shared" si="80"/>
        <v>-480000</v>
      </c>
      <c r="CF127" s="38">
        <f t="shared" si="81"/>
        <v>1</v>
      </c>
      <c r="CG127" s="38">
        <f>MAX(0,MIN(Inputs!$D$36,CL126,CH127+CI127+CJ127+Inputs!$D$6-CK126))</f>
        <v>0</v>
      </c>
      <c r="CH127" s="38">
        <f>Inputs!$D$27*(1+Inputs!$D$28)^($A127/12)*IF(Inputs!$B$72=1,$G127,1)*(1-Inputs!$C$72*$H127*(1-Inputs!$E$54*Inputs!$B$72))*(1+$I127)*IF(Inputs!$D$29=0,1,(MAX(CK126,0)/Inputs!$D$6)^Inputs!$D$29)</f>
        <v>3462.9071320102776</v>
      </c>
      <c r="CI127" s="38">
        <f>Inputs!$D$32*CK126/Inputs!$D$6</f>
        <v>1663.1249195665341</v>
      </c>
      <c r="CJ127" s="38">
        <f>Inputs!$D$33</f>
        <v>1500</v>
      </c>
      <c r="CK127" s="38">
        <f t="shared" si="82"/>
        <v>341838.23680998269</v>
      </c>
      <c r="CL127" s="38">
        <f t="shared" si="83"/>
        <v>0</v>
      </c>
      <c r="CM127" s="38">
        <f>Inputs!$D$19*(1-Inputs!$C$72*$H127)+Inputs!$D$21+Inputs!$B$72*$J127</f>
        <v>392150</v>
      </c>
      <c r="CN127" s="38">
        <f t="shared" si="84"/>
        <v>-50311.763190017315</v>
      </c>
      <c r="CO127" s="38">
        <f t="shared" si="85"/>
        <v>1</v>
      </c>
      <c r="CP127" s="38">
        <f>MAX(0,MIN(Inputs!$B$36,CU126,CQ127+CR127+CS127+Inputs!$B$6-CT126))</f>
        <v>0</v>
      </c>
      <c r="CQ127" s="38">
        <f>Inputs!$B$27*(1+Inputs!$B$28)^($A127/12)*IF(Inputs!$B$73=1,$G127,1)*(1-Inputs!$C$73*$H127*(1-Inputs!$E$54*Inputs!$B$73))*(1+$I127)*IF(Inputs!$B$29=0,1,(MAX(CT126,0)/Inputs!$B$6)^Inputs!$B$29)</f>
        <v>20302.522587829335</v>
      </c>
      <c r="CR127" s="38">
        <f>Inputs!$B$32*CT126/Inputs!$B$6</f>
        <v>0</v>
      </c>
      <c r="CS127" s="38">
        <f>Inputs!$B$33</f>
        <v>2500</v>
      </c>
      <c r="CT127" s="38">
        <f t="shared" si="86"/>
        <v>0</v>
      </c>
      <c r="CU127" s="38">
        <f t="shared" si="87"/>
        <v>0</v>
      </c>
      <c r="CV127" s="38">
        <f>Inputs!$B$19*(1-Inputs!$C$73*$H127)+Inputs!$B$21+Inputs!$B$73*$J127</f>
        <v>583500</v>
      </c>
      <c r="CW127" s="38">
        <f t="shared" si="88"/>
        <v>-583500</v>
      </c>
      <c r="CX127" s="38">
        <f t="shared" si="89"/>
        <v>1</v>
      </c>
      <c r="CY127" s="38">
        <f>MAX(0,MIN(Inputs!$C$36,DD126,CZ127+DA127+DB127+Inputs!$C$6-DC126))</f>
        <v>0</v>
      </c>
      <c r="CZ127" s="38">
        <f>Inputs!$C$27*(1+Inputs!$C$28)^($A127/12)*IF(Inputs!$B$73=1,$G127,1)*(1-Inputs!$C$73*$H127*(1-Inputs!$E$54*Inputs!$B$73))*(1+$I127)*IF(Inputs!$C$29=0,1,(MAX(DC126,0)/Inputs!$C$6)^Inputs!$C$29)</f>
        <v>0</v>
      </c>
      <c r="DA127" s="38">
        <f>Inputs!$C$32*DC126/Inputs!$C$6</f>
        <v>0</v>
      </c>
      <c r="DB127" s="38">
        <f>Inputs!$C$33</f>
        <v>2000</v>
      </c>
      <c r="DC127" s="38">
        <f t="shared" si="90"/>
        <v>0</v>
      </c>
      <c r="DD127" s="38">
        <f t="shared" si="91"/>
        <v>0</v>
      </c>
      <c r="DE127" s="38">
        <f>Inputs!$C$19*(1-Inputs!$C$73*$H127)+Inputs!$C$21+Inputs!$B$73*$J127</f>
        <v>486000</v>
      </c>
      <c r="DF127" s="38">
        <f t="shared" si="92"/>
        <v>-486000</v>
      </c>
      <c r="DG127" s="38">
        <f t="shared" si="93"/>
        <v>1</v>
      </c>
      <c r="DH127" s="38">
        <f>MAX(0,MIN(Inputs!$D$36,DM126,DI127+DJ127+DK127+Inputs!$D$6-DL126))</f>
        <v>0</v>
      </c>
      <c r="DI127" s="38">
        <f>Inputs!$D$27*(1+Inputs!$D$28)^($A127/12)*IF(Inputs!$B$73=1,$G127,1)*(1-Inputs!$C$73*$H127*(1-Inputs!$E$54*Inputs!$B$73))*(1+$I127)*IF(Inputs!$D$29=0,1,(MAX(DL126,0)/Inputs!$D$6)^Inputs!$D$29)</f>
        <v>3316.4493795632493</v>
      </c>
      <c r="DJ127" s="38">
        <f>Inputs!$D$32*DL126/Inputs!$D$6</f>
        <v>1929.6608678473635</v>
      </c>
      <c r="DK127" s="38">
        <f>Inputs!$D$33</f>
        <v>1500</v>
      </c>
      <c r="DL127" s="38">
        <f t="shared" si="94"/>
        <v>397563.78587298933</v>
      </c>
      <c r="DM127" s="38">
        <f t="shared" si="95"/>
        <v>0</v>
      </c>
      <c r="DN127" s="38">
        <f>Inputs!$D$19*(1-Inputs!$C$73*$H127)+Inputs!$D$21+Inputs!$B$73*$J127</f>
        <v>398150</v>
      </c>
      <c r="DO127" s="38">
        <f t="shared" si="96"/>
        <v>-586.21412701066583</v>
      </c>
      <c r="DP127" s="38">
        <f t="shared" si="97"/>
        <v>1</v>
      </c>
    </row>
    <row r="128" spans="1:120" x14ac:dyDescent="0.35">
      <c r="A128" s="29">
        <v>123</v>
      </c>
      <c r="B128" s="34">
        <f>EDATE(Inputs!$B$67,$A128)</f>
        <v>50010</v>
      </c>
      <c r="C128" s="35">
        <f>IF(Inputs!$E$47&lt;=0,Inputs!$E$46,Inputs!$E$44+(Inputs!$E$46-Inputs!$E$44)*MIN($A128/Inputs!$E$47,1))</f>
        <v>0.7</v>
      </c>
      <c r="D128" s="35">
        <f>MIN(Inputs!$E$57,Inputs!$E$55*(1+Inputs!$E$56)^($A128/12))*Inputs!$E$58*(1+Inputs!$E$59)^($A128/12)/Inputs!$E$45</f>
        <v>1.5</v>
      </c>
      <c r="E128" s="35">
        <f>MAX(Inputs!$E$44,MIN(C128,D128))</f>
        <v>0.7</v>
      </c>
      <c r="F128" s="35">
        <f>IF(Inputs!$E$50&lt;=0,Inputs!$E$49,Inputs!$E$48+(Inputs!$E$49-Inputs!$E$48)*MIN($A128/Inputs!$E$50,1))</f>
        <v>0.12</v>
      </c>
      <c r="G128" s="36">
        <f>(Inputs!$E$41*(1-E128*Inputs!$E$51)+Inputs!$E$42*(1-F128*Inputs!$E$51))/(Inputs!$E$41*(1-Inputs!$E$44*Inputs!$E$51)+Inputs!$E$42*(1-Inputs!$E$48*Inputs!$E$51))</f>
        <v>0.8423127463863338</v>
      </c>
      <c r="H128" s="35">
        <f>IF(Inputs!$E$53&lt;=0,Inputs!$E$52,Inputs!$E$52*MIN($A128/Inputs!$E$53,1))</f>
        <v>0.1</v>
      </c>
      <c r="I128" s="35">
        <f>IF(Inputs!$E$64&lt;=0,Inputs!$E$63,Inputs!$E$62+(Inputs!$E$63-Inputs!$E$62)*MIN($A128/Inputs!$E$64,1))</f>
        <v>0.03</v>
      </c>
      <c r="J128" s="37">
        <f>(E128-Inputs!$E$44)*Inputs!$E$45/Inputs!$E$60*Inputs!$E$61</f>
        <v>5999.9999999999991</v>
      </c>
      <c r="K128" s="29">
        <f t="shared" si="49"/>
        <v>0</v>
      </c>
      <c r="L128" s="29"/>
      <c r="M128" s="38">
        <f>MAX(0,MIN(Inputs!$B$36,R127,N128+O128+P128+Inputs!$B$6-Q127))</f>
        <v>0</v>
      </c>
      <c r="N128" s="38">
        <f>Inputs!$B$27*(1+Inputs!$B$28)^($A128/12)*IF(Inputs!$B$70=1,$G128,1)*(1-Inputs!$C$70*$H128*(1-Inputs!$E$54*Inputs!$B$70))*(1+$I128)*IF(Inputs!$B$29=0,1,(MAX(Q127,0)/Inputs!$B$6)^Inputs!$B$29)</f>
        <v>25475.270214035721</v>
      </c>
      <c r="O128" s="38">
        <f>Inputs!$B$32*Q127/Inputs!$B$6</f>
        <v>0</v>
      </c>
      <c r="P128" s="38">
        <f>Inputs!$B$33</f>
        <v>2500</v>
      </c>
      <c r="Q128" s="38">
        <f t="shared" si="50"/>
        <v>0</v>
      </c>
      <c r="R128" s="38">
        <f t="shared" si="51"/>
        <v>0</v>
      </c>
      <c r="S128" s="38">
        <f>Inputs!$B$19*(1-Inputs!$C$70*$H128)+Inputs!$B$21+Inputs!$B$70*$J128</f>
        <v>595000</v>
      </c>
      <c r="T128" s="38">
        <f t="shared" si="52"/>
        <v>-595000</v>
      </c>
      <c r="U128" s="38">
        <f t="shared" si="53"/>
        <v>1</v>
      </c>
      <c r="V128" s="38">
        <f>MAX(0,MIN(Inputs!$C$36,AA127,W128+X128+Y128+Inputs!$C$6-Z127))</f>
        <v>0</v>
      </c>
      <c r="W128" s="38">
        <f>Inputs!$C$27*(1+Inputs!$C$28)^($A128/12)*IF(Inputs!$B$70=1,$G128,1)*(1-Inputs!$C$70*$H128*(1-Inputs!$E$54*Inputs!$B$70))*(1+$I128)*IF(Inputs!$C$29=0,1,(MAX(Z127,0)/Inputs!$C$6)^Inputs!$C$29)</f>
        <v>0</v>
      </c>
      <c r="X128" s="38">
        <f>Inputs!$C$32*Z127/Inputs!$C$6</f>
        <v>0</v>
      </c>
      <c r="Y128" s="38">
        <f>Inputs!$C$33</f>
        <v>2000</v>
      </c>
      <c r="Z128" s="38">
        <f t="shared" si="54"/>
        <v>0</v>
      </c>
      <c r="AA128" s="38">
        <f t="shared" si="55"/>
        <v>0</v>
      </c>
      <c r="AB128" s="38">
        <f>Inputs!$C$19*(1-Inputs!$C$70*$H128)+Inputs!$C$21+Inputs!$B$70*$J128</f>
        <v>495000</v>
      </c>
      <c r="AC128" s="38">
        <f t="shared" si="56"/>
        <v>-495000</v>
      </c>
      <c r="AD128" s="38">
        <f t="shared" si="57"/>
        <v>1</v>
      </c>
      <c r="AE128" s="38">
        <f>MAX(0,MIN(Inputs!$D$36,AJ127,AF128+AG128+AH128+Inputs!$D$6-AI127))</f>
        <v>0</v>
      </c>
      <c r="AF128" s="38">
        <f>Inputs!$D$27*(1+Inputs!$D$28)^($A128/12)*IF(Inputs!$B$70=1,$G128,1)*(1-Inputs!$C$70*$H128*(1-Inputs!$E$54*Inputs!$B$70))*(1+$I128)*IF(Inputs!$D$29=0,1,(MAX(AI127,0)/Inputs!$D$6)^Inputs!$D$29)</f>
        <v>3542.4979142581719</v>
      </c>
      <c r="AG128" s="38">
        <f>Inputs!$D$32*AI127/Inputs!$D$6</f>
        <v>1421.8708114712408</v>
      </c>
      <c r="AH128" s="38">
        <f>Inputs!$D$33</f>
        <v>1500</v>
      </c>
      <c r="AI128" s="38">
        <f t="shared" si="58"/>
        <v>291451.42034443538</v>
      </c>
      <c r="AJ128" s="38">
        <f t="shared" si="59"/>
        <v>0</v>
      </c>
      <c r="AK128" s="38">
        <f>Inputs!$D$19*(1-Inputs!$C$70*$H128)+Inputs!$D$21+Inputs!$B$70*$J128</f>
        <v>404800</v>
      </c>
      <c r="AL128" s="38">
        <f t="shared" si="60"/>
        <v>-113348.57965556462</v>
      </c>
      <c r="AM128" s="38">
        <f t="shared" si="61"/>
        <v>1</v>
      </c>
      <c r="AN128" s="38">
        <f>MAX(0,MIN(Inputs!$B$36,AS127,AO128+AP128+AQ128+Inputs!$B$6-AR127))</f>
        <v>0</v>
      </c>
      <c r="AO128" s="38">
        <f>Inputs!$B$27*(1+Inputs!$B$28)^($A128/12)*IF(Inputs!$B$71=1,$G128,1)*(1-Inputs!$C$71*$H128*(1-Inputs!$E$54*Inputs!$B$71))*(1+$I128)*IF(Inputs!$B$29=0,1,(MAX(AR127,0)/Inputs!$B$6)^Inputs!$B$29)</f>
        <v>21458.14481891839</v>
      </c>
      <c r="AP128" s="38">
        <f>Inputs!$B$32*AR127/Inputs!$B$6</f>
        <v>0</v>
      </c>
      <c r="AQ128" s="38">
        <f>Inputs!$B$33</f>
        <v>2500</v>
      </c>
      <c r="AR128" s="38">
        <f t="shared" si="62"/>
        <v>0</v>
      </c>
      <c r="AS128" s="38">
        <f t="shared" si="63"/>
        <v>0</v>
      </c>
      <c r="AT128" s="38">
        <f>Inputs!$B$19*(1-Inputs!$C$71*$H128)+Inputs!$B$21+Inputs!$B$71*$J128</f>
        <v>601000</v>
      </c>
      <c r="AU128" s="38">
        <f t="shared" si="64"/>
        <v>-601000</v>
      </c>
      <c r="AV128" s="38">
        <f t="shared" si="65"/>
        <v>1</v>
      </c>
      <c r="AW128" s="38">
        <f>MAX(0,MIN(Inputs!$C$36,BB127,AX128+AY128+AZ128+Inputs!$C$6-BA127))</f>
        <v>0</v>
      </c>
      <c r="AX128" s="38">
        <f>Inputs!$C$27*(1+Inputs!$C$28)^($A128/12)*IF(Inputs!$B$71=1,$G128,1)*(1-Inputs!$C$71*$H128*(1-Inputs!$E$54*Inputs!$B$71))*(1+$I128)*IF(Inputs!$C$29=0,1,(MAX(BA127,0)/Inputs!$C$6)^Inputs!$C$29)</f>
        <v>0</v>
      </c>
      <c r="AY128" s="38">
        <f>Inputs!$C$32*BA127/Inputs!$C$6</f>
        <v>0</v>
      </c>
      <c r="AZ128" s="38">
        <f>Inputs!$C$33</f>
        <v>2000</v>
      </c>
      <c r="BA128" s="38">
        <f t="shared" si="66"/>
        <v>0</v>
      </c>
      <c r="BB128" s="38">
        <f t="shared" si="67"/>
        <v>0</v>
      </c>
      <c r="BC128" s="38">
        <f>Inputs!$C$19*(1-Inputs!$C$71*$H128)+Inputs!$C$21+Inputs!$B$71*$J128</f>
        <v>501000</v>
      </c>
      <c r="BD128" s="38">
        <f t="shared" si="68"/>
        <v>-501000</v>
      </c>
      <c r="BE128" s="38">
        <f t="shared" si="69"/>
        <v>1</v>
      </c>
      <c r="BF128" s="38">
        <f>MAX(0,MIN(Inputs!$D$36,BK127,BG128+BH128+BI128+Inputs!$D$6-BJ127))</f>
        <v>0</v>
      </c>
      <c r="BG128" s="38">
        <f>Inputs!$D$27*(1+Inputs!$D$28)^($A128/12)*IF(Inputs!$B$71=1,$G128,1)*(1-Inputs!$C$71*$H128*(1-Inputs!$E$54*Inputs!$B$71))*(1+$I128)*IF(Inputs!$D$29=0,1,(MAX(BJ127,0)/Inputs!$D$6)^Inputs!$D$29)</f>
        <v>3357.4985228842847</v>
      </c>
      <c r="BH128" s="38">
        <f>Inputs!$D$32*BJ127/Inputs!$D$6</f>
        <v>1800.221099807372</v>
      </c>
      <c r="BI128" s="38">
        <f>Inputs!$D$33</f>
        <v>1500</v>
      </c>
      <c r="BJ128" s="38">
        <f t="shared" si="70"/>
        <v>370531.46319409105</v>
      </c>
      <c r="BK128" s="38">
        <f t="shared" si="71"/>
        <v>0</v>
      </c>
      <c r="BL128" s="38">
        <f>Inputs!$D$19*(1-Inputs!$C$71*$H128)+Inputs!$D$21+Inputs!$B$71*$J128</f>
        <v>410800</v>
      </c>
      <c r="BM128" s="38">
        <f t="shared" si="72"/>
        <v>-40268.536805908952</v>
      </c>
      <c r="BN128" s="38">
        <f t="shared" si="73"/>
        <v>1</v>
      </c>
      <c r="BO128" s="38">
        <f>MAX(0,MIN(Inputs!$B$36,BT127,BP128+BQ128+BR128+Inputs!$B$6-BS127))</f>
        <v>0</v>
      </c>
      <c r="BP128" s="38">
        <f>Inputs!$B$27*(1+Inputs!$B$28)^($A128/12)*IF(Inputs!$B$72=1,$G128,1)*(1-Inputs!$C$72*$H128*(1-Inputs!$E$54*Inputs!$B$72))*(1+$I128)*IF(Inputs!$B$29=0,1,(MAX(BS127,0)/Inputs!$B$6)^Inputs!$B$29)</f>
        <v>22927.743192632148</v>
      </c>
      <c r="BQ128" s="38">
        <f>Inputs!$B$32*BS127/Inputs!$B$6</f>
        <v>0</v>
      </c>
      <c r="BR128" s="38">
        <f>Inputs!$B$33</f>
        <v>2500</v>
      </c>
      <c r="BS128" s="38">
        <f t="shared" si="74"/>
        <v>0</v>
      </c>
      <c r="BT128" s="38">
        <f t="shared" si="75"/>
        <v>0</v>
      </c>
      <c r="BU128" s="38">
        <f>Inputs!$B$19*(1-Inputs!$C$72*$H128)+Inputs!$B$21+Inputs!$B$72*$J128</f>
        <v>577500</v>
      </c>
      <c r="BV128" s="38">
        <f t="shared" si="76"/>
        <v>-577500</v>
      </c>
      <c r="BW128" s="38">
        <f t="shared" si="77"/>
        <v>1</v>
      </c>
      <c r="BX128" s="38">
        <f>MAX(0,MIN(Inputs!$C$36,CC127,BY128+BZ128+CA128+Inputs!$C$6-CB127))</f>
        <v>0</v>
      </c>
      <c r="BY128" s="38">
        <f>Inputs!$C$27*(1+Inputs!$C$28)^($A128/12)*IF(Inputs!$B$72=1,$G128,1)*(1-Inputs!$C$72*$H128*(1-Inputs!$E$54*Inputs!$B$72))*(1+$I128)*IF(Inputs!$C$29=0,1,(MAX(CB127,0)/Inputs!$C$6)^Inputs!$C$29)</f>
        <v>0</v>
      </c>
      <c r="BZ128" s="38">
        <f>Inputs!$C$32*CB127/Inputs!$C$6</f>
        <v>0</v>
      </c>
      <c r="CA128" s="38">
        <f>Inputs!$C$33</f>
        <v>2000</v>
      </c>
      <c r="CB128" s="38">
        <f t="shared" si="78"/>
        <v>0</v>
      </c>
      <c r="CC128" s="38">
        <f t="shared" si="79"/>
        <v>0</v>
      </c>
      <c r="CD128" s="38">
        <f>Inputs!$C$19*(1-Inputs!$C$72*$H128)+Inputs!$C$21+Inputs!$B$72*$J128</f>
        <v>480000</v>
      </c>
      <c r="CE128" s="38">
        <f t="shared" si="80"/>
        <v>-480000</v>
      </c>
      <c r="CF128" s="38">
        <f t="shared" si="81"/>
        <v>1</v>
      </c>
      <c r="CG128" s="38">
        <f>MAX(0,MIN(Inputs!$D$36,CL127,CH128+CI128+CJ128+Inputs!$D$6-CK127))</f>
        <v>0</v>
      </c>
      <c r="CH128" s="38">
        <f>Inputs!$D$27*(1+Inputs!$D$28)^($A128/12)*IF(Inputs!$B$72=1,$G128,1)*(1-Inputs!$C$72*$H128*(1-Inputs!$E$54*Inputs!$B$72))*(1+$I128)*IF(Inputs!$D$29=0,1,(MAX(CK127,0)/Inputs!$D$6)^Inputs!$D$29)</f>
        <v>3415.1963068017935</v>
      </c>
      <c r="CI128" s="38">
        <f>Inputs!$D$32*CK127/Inputs!$D$6</f>
        <v>1631.5006756840082</v>
      </c>
      <c r="CJ128" s="38">
        <f>Inputs!$D$33</f>
        <v>1500</v>
      </c>
      <c r="CK128" s="38">
        <f t="shared" si="82"/>
        <v>335291.53982749686</v>
      </c>
      <c r="CL128" s="38">
        <f t="shared" si="83"/>
        <v>0</v>
      </c>
      <c r="CM128" s="38">
        <f>Inputs!$D$19*(1-Inputs!$C$72*$H128)+Inputs!$D$21+Inputs!$B$72*$J128</f>
        <v>392150</v>
      </c>
      <c r="CN128" s="38">
        <f t="shared" si="84"/>
        <v>-56858.460172503139</v>
      </c>
      <c r="CO128" s="38">
        <f t="shared" si="85"/>
        <v>1</v>
      </c>
      <c r="CP128" s="38">
        <f>MAX(0,MIN(Inputs!$B$36,CU127,CQ128+CR128+CS128+Inputs!$B$6-CT127))</f>
        <v>0</v>
      </c>
      <c r="CQ128" s="38">
        <f>Inputs!$B$27*(1+Inputs!$B$28)^($A128/12)*IF(Inputs!$B$73=1,$G128,1)*(1-Inputs!$C$73*$H128*(1-Inputs!$E$54*Inputs!$B$73))*(1+$I128)*IF(Inputs!$B$29=0,1,(MAX(CT127,0)/Inputs!$B$6)^Inputs!$B$29)</f>
        <v>20385.237577972472</v>
      </c>
      <c r="CR128" s="38">
        <f>Inputs!$B$32*CT127/Inputs!$B$6</f>
        <v>0</v>
      </c>
      <c r="CS128" s="38">
        <f>Inputs!$B$33</f>
        <v>2500</v>
      </c>
      <c r="CT128" s="38">
        <f t="shared" si="86"/>
        <v>0</v>
      </c>
      <c r="CU128" s="38">
        <f t="shared" si="87"/>
        <v>0</v>
      </c>
      <c r="CV128" s="38">
        <f>Inputs!$B$19*(1-Inputs!$C$73*$H128)+Inputs!$B$21+Inputs!$B$73*$J128</f>
        <v>583500</v>
      </c>
      <c r="CW128" s="38">
        <f t="shared" si="88"/>
        <v>-583500</v>
      </c>
      <c r="CX128" s="38">
        <f t="shared" si="89"/>
        <v>1</v>
      </c>
      <c r="CY128" s="38">
        <f>MAX(0,MIN(Inputs!$C$36,DD127,CZ128+DA128+DB128+Inputs!$C$6-DC127))</f>
        <v>0</v>
      </c>
      <c r="CZ128" s="38">
        <f>Inputs!$C$27*(1+Inputs!$C$28)^($A128/12)*IF(Inputs!$B$73=1,$G128,1)*(1-Inputs!$C$73*$H128*(1-Inputs!$E$54*Inputs!$B$73))*(1+$I128)*IF(Inputs!$C$29=0,1,(MAX(DC127,0)/Inputs!$C$6)^Inputs!$C$29)</f>
        <v>0</v>
      </c>
      <c r="DA128" s="38">
        <f>Inputs!$C$32*DC127/Inputs!$C$6</f>
        <v>0</v>
      </c>
      <c r="DB128" s="38">
        <f>Inputs!$C$33</f>
        <v>2000</v>
      </c>
      <c r="DC128" s="38">
        <f t="shared" si="90"/>
        <v>0</v>
      </c>
      <c r="DD128" s="38">
        <f t="shared" si="91"/>
        <v>0</v>
      </c>
      <c r="DE128" s="38">
        <f>Inputs!$C$19*(1-Inputs!$C$73*$H128)+Inputs!$C$21+Inputs!$B$73*$J128</f>
        <v>486000</v>
      </c>
      <c r="DF128" s="38">
        <f t="shared" si="92"/>
        <v>-486000</v>
      </c>
      <c r="DG128" s="38">
        <f t="shared" si="93"/>
        <v>1</v>
      </c>
      <c r="DH128" s="38">
        <f>MAX(0,MIN(Inputs!$D$36,DM127,DI128+DJ128+DK128+Inputs!$D$6-DL127))</f>
        <v>0</v>
      </c>
      <c r="DI128" s="38">
        <f>Inputs!$D$27*(1+Inputs!$D$28)^($A128/12)*IF(Inputs!$B$73=1,$G128,1)*(1-Inputs!$C$73*$H128*(1-Inputs!$E$54*Inputs!$B$73))*(1+$I128)*IF(Inputs!$D$29=0,1,(MAX(DL127,0)/Inputs!$D$6)^Inputs!$D$29)</f>
        <v>3274.6374907438158</v>
      </c>
      <c r="DJ128" s="38">
        <f>Inputs!$D$32*DL127/Inputs!$D$6</f>
        <v>1897.4635234847217</v>
      </c>
      <c r="DK128" s="38">
        <f>Inputs!$D$33</f>
        <v>1500</v>
      </c>
      <c r="DL128" s="38">
        <f t="shared" si="94"/>
        <v>390891.6848587608</v>
      </c>
      <c r="DM128" s="38">
        <f t="shared" si="95"/>
        <v>0</v>
      </c>
      <c r="DN128" s="38">
        <f>Inputs!$D$19*(1-Inputs!$C$73*$H128)+Inputs!$D$21+Inputs!$B$73*$J128</f>
        <v>398150</v>
      </c>
      <c r="DO128" s="38">
        <f t="shared" si="96"/>
        <v>-7258.3151412392035</v>
      </c>
      <c r="DP128" s="38">
        <f t="shared" si="97"/>
        <v>1</v>
      </c>
    </row>
    <row r="129" spans="1:120" x14ac:dyDescent="0.35">
      <c r="A129" s="29">
        <v>124</v>
      </c>
      <c r="B129" s="34">
        <f>EDATE(Inputs!$B$67,$A129)</f>
        <v>50041</v>
      </c>
      <c r="C129" s="35">
        <f>IF(Inputs!$E$47&lt;=0,Inputs!$E$46,Inputs!$E$44+(Inputs!$E$46-Inputs!$E$44)*MIN($A129/Inputs!$E$47,1))</f>
        <v>0.7</v>
      </c>
      <c r="D129" s="35">
        <f>MIN(Inputs!$E$57,Inputs!$E$55*(1+Inputs!$E$56)^($A129/12))*Inputs!$E$58*(1+Inputs!$E$59)^($A129/12)/Inputs!$E$45</f>
        <v>1.5</v>
      </c>
      <c r="E129" s="35">
        <f>MAX(Inputs!$E$44,MIN(C129,D129))</f>
        <v>0.7</v>
      </c>
      <c r="F129" s="35">
        <f>IF(Inputs!$E$50&lt;=0,Inputs!$E$49,Inputs!$E$48+(Inputs!$E$49-Inputs!$E$48)*MIN($A129/Inputs!$E$50,1))</f>
        <v>0.12</v>
      </c>
      <c r="G129" s="36">
        <f>(Inputs!$E$41*(1-E129*Inputs!$E$51)+Inputs!$E$42*(1-F129*Inputs!$E$51))/(Inputs!$E$41*(1-Inputs!$E$44*Inputs!$E$51)+Inputs!$E$42*(1-Inputs!$E$48*Inputs!$E$51))</f>
        <v>0.8423127463863338</v>
      </c>
      <c r="H129" s="35">
        <f>IF(Inputs!$E$53&lt;=0,Inputs!$E$52,Inputs!$E$52*MIN($A129/Inputs!$E$53,1))</f>
        <v>0.1</v>
      </c>
      <c r="I129" s="35">
        <f>IF(Inputs!$E$64&lt;=0,Inputs!$E$63,Inputs!$E$62+(Inputs!$E$63-Inputs!$E$62)*MIN($A129/Inputs!$E$64,1))</f>
        <v>0.03</v>
      </c>
      <c r="J129" s="37">
        <f>(E129-Inputs!$E$44)*Inputs!$E$45/Inputs!$E$60*Inputs!$E$61</f>
        <v>5999.9999999999991</v>
      </c>
      <c r="K129" s="29">
        <f t="shared" si="49"/>
        <v>0</v>
      </c>
      <c r="L129" s="29"/>
      <c r="M129" s="38">
        <f>MAX(0,MIN(Inputs!$B$36,R128,N129+O129+P129+Inputs!$B$6-Q128))</f>
        <v>0</v>
      </c>
      <c r="N129" s="38">
        <f>Inputs!$B$27*(1+Inputs!$B$28)^($A129/12)*IF(Inputs!$B$70=1,$G129,1)*(1-Inputs!$C$70*$H129*(1-Inputs!$E$54*Inputs!$B$70))*(1+$I129)*IF(Inputs!$B$29=0,1,(MAX(Q128,0)/Inputs!$B$6)^Inputs!$B$29)</f>
        <v>25579.059618309591</v>
      </c>
      <c r="O129" s="38">
        <f>Inputs!$B$32*Q128/Inputs!$B$6</f>
        <v>0</v>
      </c>
      <c r="P129" s="38">
        <f>Inputs!$B$33</f>
        <v>2500</v>
      </c>
      <c r="Q129" s="38">
        <f t="shared" si="50"/>
        <v>0</v>
      </c>
      <c r="R129" s="38">
        <f t="shared" si="51"/>
        <v>0</v>
      </c>
      <c r="S129" s="38">
        <f>Inputs!$B$19*(1-Inputs!$C$70*$H129)+Inputs!$B$21+Inputs!$B$70*$J129</f>
        <v>595000</v>
      </c>
      <c r="T129" s="38">
        <f t="shared" si="52"/>
        <v>-595000</v>
      </c>
      <c r="U129" s="38">
        <f t="shared" si="53"/>
        <v>1</v>
      </c>
      <c r="V129" s="38">
        <f>MAX(0,MIN(Inputs!$C$36,AA128,W129+X129+Y129+Inputs!$C$6-Z128))</f>
        <v>0</v>
      </c>
      <c r="W129" s="38">
        <f>Inputs!$C$27*(1+Inputs!$C$28)^($A129/12)*IF(Inputs!$B$70=1,$G129,1)*(1-Inputs!$C$70*$H129*(1-Inputs!$E$54*Inputs!$B$70))*(1+$I129)*IF(Inputs!$C$29=0,1,(MAX(Z128,0)/Inputs!$C$6)^Inputs!$C$29)</f>
        <v>0</v>
      </c>
      <c r="X129" s="38">
        <f>Inputs!$C$32*Z128/Inputs!$C$6</f>
        <v>0</v>
      </c>
      <c r="Y129" s="38">
        <f>Inputs!$C$33</f>
        <v>2000</v>
      </c>
      <c r="Z129" s="38">
        <f t="shared" si="54"/>
        <v>0</v>
      </c>
      <c r="AA129" s="38">
        <f t="shared" si="55"/>
        <v>0</v>
      </c>
      <c r="AB129" s="38">
        <f>Inputs!$C$19*(1-Inputs!$C$70*$H129)+Inputs!$C$21+Inputs!$B$70*$J129</f>
        <v>495000</v>
      </c>
      <c r="AC129" s="38">
        <f t="shared" si="56"/>
        <v>-495000</v>
      </c>
      <c r="AD129" s="38">
        <f t="shared" si="57"/>
        <v>1</v>
      </c>
      <c r="AE129" s="38">
        <f>MAX(0,MIN(Inputs!$D$36,AJ128,AF129+AG129+AH129+Inputs!$D$6-AI128))</f>
        <v>0</v>
      </c>
      <c r="AF129" s="38">
        <f>Inputs!$D$27*(1+Inputs!$D$28)^($A129/12)*IF(Inputs!$B$70=1,$G129,1)*(1-Inputs!$C$70*$H129*(1-Inputs!$E$54*Inputs!$B$70))*(1+$I129)*IF(Inputs!$D$29=0,1,(MAX(AI128,0)/Inputs!$D$6)^Inputs!$D$29)</f>
        <v>3488.908378491562</v>
      </c>
      <c r="AG129" s="38">
        <f>Inputs!$D$32*AI128/Inputs!$D$6</f>
        <v>1391.018142552987</v>
      </c>
      <c r="AH129" s="38">
        <f>Inputs!$D$33</f>
        <v>1500</v>
      </c>
      <c r="AI129" s="38">
        <f t="shared" si="58"/>
        <v>285071.4938233908</v>
      </c>
      <c r="AJ129" s="38">
        <f t="shared" si="59"/>
        <v>0</v>
      </c>
      <c r="AK129" s="38">
        <f>Inputs!$D$19*(1-Inputs!$C$70*$H129)+Inputs!$D$21+Inputs!$B$70*$J129</f>
        <v>404800</v>
      </c>
      <c r="AL129" s="38">
        <f t="shared" si="60"/>
        <v>-119728.5061766092</v>
      </c>
      <c r="AM129" s="38">
        <f t="shared" si="61"/>
        <v>1</v>
      </c>
      <c r="AN129" s="38">
        <f>MAX(0,MIN(Inputs!$B$36,AS128,AO129+AP129+AQ129+Inputs!$B$6-AR128))</f>
        <v>0</v>
      </c>
      <c r="AO129" s="38">
        <f>Inputs!$B$27*(1+Inputs!$B$28)^($A129/12)*IF(Inputs!$B$71=1,$G129,1)*(1-Inputs!$C$71*$H129*(1-Inputs!$E$54*Inputs!$B$71))*(1+$I129)*IF(Inputs!$B$29=0,1,(MAX(AR128,0)/Inputs!$B$6)^Inputs!$B$29)</f>
        <v>21545.567957078118</v>
      </c>
      <c r="AP129" s="38">
        <f>Inputs!$B$32*AR128/Inputs!$B$6</f>
        <v>0</v>
      </c>
      <c r="AQ129" s="38">
        <f>Inputs!$B$33</f>
        <v>2500</v>
      </c>
      <c r="AR129" s="38">
        <f t="shared" si="62"/>
        <v>0</v>
      </c>
      <c r="AS129" s="38">
        <f t="shared" si="63"/>
        <v>0</v>
      </c>
      <c r="AT129" s="38">
        <f>Inputs!$B$19*(1-Inputs!$C$71*$H129)+Inputs!$B$21+Inputs!$B$71*$J129</f>
        <v>601000</v>
      </c>
      <c r="AU129" s="38">
        <f t="shared" si="64"/>
        <v>-601000</v>
      </c>
      <c r="AV129" s="38">
        <f t="shared" si="65"/>
        <v>1</v>
      </c>
      <c r="AW129" s="38">
        <f>MAX(0,MIN(Inputs!$C$36,BB128,AX129+AY129+AZ129+Inputs!$C$6-BA128))</f>
        <v>0</v>
      </c>
      <c r="AX129" s="38">
        <f>Inputs!$C$27*(1+Inputs!$C$28)^($A129/12)*IF(Inputs!$B$71=1,$G129,1)*(1-Inputs!$C$71*$H129*(1-Inputs!$E$54*Inputs!$B$71))*(1+$I129)*IF(Inputs!$C$29=0,1,(MAX(BA128,0)/Inputs!$C$6)^Inputs!$C$29)</f>
        <v>0</v>
      </c>
      <c r="AY129" s="38">
        <f>Inputs!$C$32*BA128/Inputs!$C$6</f>
        <v>0</v>
      </c>
      <c r="AZ129" s="38">
        <f>Inputs!$C$33</f>
        <v>2000</v>
      </c>
      <c r="BA129" s="38">
        <f t="shared" si="66"/>
        <v>0</v>
      </c>
      <c r="BB129" s="38">
        <f t="shared" si="67"/>
        <v>0</v>
      </c>
      <c r="BC129" s="38">
        <f>Inputs!$C$19*(1-Inputs!$C$71*$H129)+Inputs!$C$21+Inputs!$B$71*$J129</f>
        <v>501000</v>
      </c>
      <c r="BD129" s="38">
        <f t="shared" si="68"/>
        <v>-501000</v>
      </c>
      <c r="BE129" s="38">
        <f t="shared" si="69"/>
        <v>1</v>
      </c>
      <c r="BF129" s="38">
        <f>MAX(0,MIN(Inputs!$D$36,BK128,BG129+BH129+BI129+Inputs!$D$6-BJ128))</f>
        <v>0</v>
      </c>
      <c r="BG129" s="38">
        <f>Inputs!$D$27*(1+Inputs!$D$28)^($A129/12)*IF(Inputs!$B$71=1,$G129,1)*(1-Inputs!$C$71*$H129*(1-Inputs!$E$54*Inputs!$B$71))*(1+$I129)*IF(Inputs!$D$29=0,1,(MAX(BJ128,0)/Inputs!$D$6)^Inputs!$D$29)</f>
        <v>3313.5413539212918</v>
      </c>
      <c r="BH129" s="38">
        <f>Inputs!$D$32*BJ128/Inputs!$D$6</f>
        <v>1768.4456197899799</v>
      </c>
      <c r="BI129" s="38">
        <f>Inputs!$D$33</f>
        <v>1500</v>
      </c>
      <c r="BJ129" s="38">
        <f t="shared" si="70"/>
        <v>363949.47622037976</v>
      </c>
      <c r="BK129" s="38">
        <f t="shared" si="71"/>
        <v>0</v>
      </c>
      <c r="BL129" s="38">
        <f>Inputs!$D$19*(1-Inputs!$C$71*$H129)+Inputs!$D$21+Inputs!$B$71*$J129</f>
        <v>410800</v>
      </c>
      <c r="BM129" s="38">
        <f t="shared" si="72"/>
        <v>-46850.523779620242</v>
      </c>
      <c r="BN129" s="38">
        <f t="shared" si="73"/>
        <v>1</v>
      </c>
      <c r="BO129" s="38">
        <f>MAX(0,MIN(Inputs!$B$36,BT128,BP129+BQ129+BR129+Inputs!$B$6-BS128))</f>
        <v>0</v>
      </c>
      <c r="BP129" s="38">
        <f>Inputs!$B$27*(1+Inputs!$B$28)^($A129/12)*IF(Inputs!$B$72=1,$G129,1)*(1-Inputs!$C$72*$H129*(1-Inputs!$E$54*Inputs!$B$72))*(1+$I129)*IF(Inputs!$B$29=0,1,(MAX(BS128,0)/Inputs!$B$6)^Inputs!$B$29)</f>
        <v>23021.153656478629</v>
      </c>
      <c r="BQ129" s="38">
        <f>Inputs!$B$32*BS128/Inputs!$B$6</f>
        <v>0</v>
      </c>
      <c r="BR129" s="38">
        <f>Inputs!$B$33</f>
        <v>2500</v>
      </c>
      <c r="BS129" s="38">
        <f t="shared" si="74"/>
        <v>0</v>
      </c>
      <c r="BT129" s="38">
        <f t="shared" si="75"/>
        <v>0</v>
      </c>
      <c r="BU129" s="38">
        <f>Inputs!$B$19*(1-Inputs!$C$72*$H129)+Inputs!$B$21+Inputs!$B$72*$J129</f>
        <v>577500</v>
      </c>
      <c r="BV129" s="38">
        <f t="shared" si="76"/>
        <v>-577500</v>
      </c>
      <c r="BW129" s="38">
        <f t="shared" si="77"/>
        <v>1</v>
      </c>
      <c r="BX129" s="38">
        <f>MAX(0,MIN(Inputs!$C$36,CC128,BY129+BZ129+CA129+Inputs!$C$6-CB128))</f>
        <v>0</v>
      </c>
      <c r="BY129" s="38">
        <f>Inputs!$C$27*(1+Inputs!$C$28)^($A129/12)*IF(Inputs!$B$72=1,$G129,1)*(1-Inputs!$C$72*$H129*(1-Inputs!$E$54*Inputs!$B$72))*(1+$I129)*IF(Inputs!$C$29=0,1,(MAX(CB128,0)/Inputs!$C$6)^Inputs!$C$29)</f>
        <v>0</v>
      </c>
      <c r="BZ129" s="38">
        <f>Inputs!$C$32*CB128/Inputs!$C$6</f>
        <v>0</v>
      </c>
      <c r="CA129" s="38">
        <f>Inputs!$C$33</f>
        <v>2000</v>
      </c>
      <c r="CB129" s="38">
        <f t="shared" si="78"/>
        <v>0</v>
      </c>
      <c r="CC129" s="38">
        <f t="shared" si="79"/>
        <v>0</v>
      </c>
      <c r="CD129" s="38">
        <f>Inputs!$C$19*(1-Inputs!$C$72*$H129)+Inputs!$C$21+Inputs!$B$72*$J129</f>
        <v>480000</v>
      </c>
      <c r="CE129" s="38">
        <f t="shared" si="80"/>
        <v>-480000</v>
      </c>
      <c r="CF129" s="38">
        <f t="shared" si="81"/>
        <v>1</v>
      </c>
      <c r="CG129" s="38">
        <f>MAX(0,MIN(Inputs!$D$36,CL128,CH129+CI129+CJ129+Inputs!$D$6-CK128))</f>
        <v>0</v>
      </c>
      <c r="CH129" s="38">
        <f>Inputs!$D$27*(1+Inputs!$D$28)^($A129/12)*IF(Inputs!$B$72=1,$G129,1)*(1-Inputs!$C$72*$H129*(1-Inputs!$E$54*Inputs!$B$72))*(1+$I129)*IF(Inputs!$D$29=0,1,(MAX(CK128,0)/Inputs!$D$6)^Inputs!$D$29)</f>
        <v>3367.9084978755927</v>
      </c>
      <c r="CI129" s="38">
        <f>Inputs!$D$32*CK128/Inputs!$D$6</f>
        <v>1600.2550764494167</v>
      </c>
      <c r="CJ129" s="38">
        <f>Inputs!$D$33</f>
        <v>1500</v>
      </c>
      <c r="CK129" s="38">
        <f t="shared" si="82"/>
        <v>328823.37625317182</v>
      </c>
      <c r="CL129" s="38">
        <f t="shared" si="83"/>
        <v>0</v>
      </c>
      <c r="CM129" s="38">
        <f>Inputs!$D$19*(1-Inputs!$C$72*$H129)+Inputs!$D$21+Inputs!$B$72*$J129</f>
        <v>392150</v>
      </c>
      <c r="CN129" s="38">
        <f t="shared" si="84"/>
        <v>-63326.623746828176</v>
      </c>
      <c r="CO129" s="38">
        <f t="shared" si="85"/>
        <v>1</v>
      </c>
      <c r="CP129" s="38">
        <f>MAX(0,MIN(Inputs!$B$36,CU128,CQ129+CR129+CS129+Inputs!$B$6-CT128))</f>
        <v>0</v>
      </c>
      <c r="CQ129" s="38">
        <f>Inputs!$B$27*(1+Inputs!$B$28)^($A129/12)*IF(Inputs!$B$73=1,$G129,1)*(1-Inputs!$C$73*$H129*(1-Inputs!$E$54*Inputs!$B$73))*(1+$I129)*IF(Inputs!$B$29=0,1,(MAX(CT128,0)/Inputs!$B$6)^Inputs!$B$29)</f>
        <v>20468.289559224213</v>
      </c>
      <c r="CR129" s="38">
        <f>Inputs!$B$32*CT128/Inputs!$B$6</f>
        <v>0</v>
      </c>
      <c r="CS129" s="38">
        <f>Inputs!$B$33</f>
        <v>2500</v>
      </c>
      <c r="CT129" s="38">
        <f t="shared" si="86"/>
        <v>0</v>
      </c>
      <c r="CU129" s="38">
        <f t="shared" si="87"/>
        <v>0</v>
      </c>
      <c r="CV129" s="38">
        <f>Inputs!$B$19*(1-Inputs!$C$73*$H129)+Inputs!$B$21+Inputs!$B$73*$J129</f>
        <v>583500</v>
      </c>
      <c r="CW129" s="38">
        <f t="shared" si="88"/>
        <v>-583500</v>
      </c>
      <c r="CX129" s="38">
        <f t="shared" si="89"/>
        <v>1</v>
      </c>
      <c r="CY129" s="38">
        <f>MAX(0,MIN(Inputs!$C$36,DD128,CZ129+DA129+DB129+Inputs!$C$6-DC128))</f>
        <v>0</v>
      </c>
      <c r="CZ129" s="38">
        <f>Inputs!$C$27*(1+Inputs!$C$28)^($A129/12)*IF(Inputs!$B$73=1,$G129,1)*(1-Inputs!$C$73*$H129*(1-Inputs!$E$54*Inputs!$B$73))*(1+$I129)*IF(Inputs!$C$29=0,1,(MAX(DC128,0)/Inputs!$C$6)^Inputs!$C$29)</f>
        <v>0</v>
      </c>
      <c r="DA129" s="38">
        <f>Inputs!$C$32*DC128/Inputs!$C$6</f>
        <v>0</v>
      </c>
      <c r="DB129" s="38">
        <f>Inputs!$C$33</f>
        <v>2000</v>
      </c>
      <c r="DC129" s="38">
        <f t="shared" si="90"/>
        <v>0</v>
      </c>
      <c r="DD129" s="38">
        <f t="shared" si="91"/>
        <v>0</v>
      </c>
      <c r="DE129" s="38">
        <f>Inputs!$C$19*(1-Inputs!$C$73*$H129)+Inputs!$C$21+Inputs!$B$73*$J129</f>
        <v>486000</v>
      </c>
      <c r="DF129" s="38">
        <f t="shared" si="92"/>
        <v>-486000</v>
      </c>
      <c r="DG129" s="38">
        <f t="shared" si="93"/>
        <v>1</v>
      </c>
      <c r="DH129" s="38">
        <f>MAX(0,MIN(Inputs!$D$36,DM128,DI129+DJ129+DK129+Inputs!$D$6-DL128))</f>
        <v>0</v>
      </c>
      <c r="DI129" s="38">
        <f>Inputs!$D$27*(1+Inputs!$D$28)^($A129/12)*IF(Inputs!$B$73=1,$G129,1)*(1-Inputs!$C$73*$H129*(1-Inputs!$E$54*Inputs!$B$73))*(1+$I129)*IF(Inputs!$D$29=0,1,(MAX(DL128,0)/Inputs!$D$6)^Inputs!$D$29)</f>
        <v>3233.1933040988861</v>
      </c>
      <c r="DJ129" s="38">
        <f>Inputs!$D$32*DL128/Inputs!$D$6</f>
        <v>1865.619405007722</v>
      </c>
      <c r="DK129" s="38">
        <f>Inputs!$D$33</f>
        <v>1500</v>
      </c>
      <c r="DL129" s="38">
        <f t="shared" si="94"/>
        <v>384292.87214965414</v>
      </c>
      <c r="DM129" s="38">
        <f t="shared" si="95"/>
        <v>0</v>
      </c>
      <c r="DN129" s="38">
        <f>Inputs!$D$19*(1-Inputs!$C$73*$H129)+Inputs!$D$21+Inputs!$B$73*$J129</f>
        <v>398150</v>
      </c>
      <c r="DO129" s="38">
        <f t="shared" si="96"/>
        <v>-13857.12785034586</v>
      </c>
      <c r="DP129" s="38">
        <f t="shared" si="97"/>
        <v>1</v>
      </c>
    </row>
    <row r="130" spans="1:120" x14ac:dyDescent="0.35">
      <c r="A130" s="29">
        <v>125</v>
      </c>
      <c r="B130" s="34">
        <f>EDATE(Inputs!$B$67,$A130)</f>
        <v>50072</v>
      </c>
      <c r="C130" s="35">
        <f>IF(Inputs!$E$47&lt;=0,Inputs!$E$46,Inputs!$E$44+(Inputs!$E$46-Inputs!$E$44)*MIN($A130/Inputs!$E$47,1))</f>
        <v>0.7</v>
      </c>
      <c r="D130" s="35">
        <f>MIN(Inputs!$E$57,Inputs!$E$55*(1+Inputs!$E$56)^($A130/12))*Inputs!$E$58*(1+Inputs!$E$59)^($A130/12)/Inputs!$E$45</f>
        <v>1.5</v>
      </c>
      <c r="E130" s="35">
        <f>MAX(Inputs!$E$44,MIN(C130,D130))</f>
        <v>0.7</v>
      </c>
      <c r="F130" s="35">
        <f>IF(Inputs!$E$50&lt;=0,Inputs!$E$49,Inputs!$E$48+(Inputs!$E$49-Inputs!$E$48)*MIN($A130/Inputs!$E$50,1))</f>
        <v>0.12</v>
      </c>
      <c r="G130" s="36">
        <f>(Inputs!$E$41*(1-E130*Inputs!$E$51)+Inputs!$E$42*(1-F130*Inputs!$E$51))/(Inputs!$E$41*(1-Inputs!$E$44*Inputs!$E$51)+Inputs!$E$42*(1-Inputs!$E$48*Inputs!$E$51))</f>
        <v>0.8423127463863338</v>
      </c>
      <c r="H130" s="35">
        <f>IF(Inputs!$E$53&lt;=0,Inputs!$E$52,Inputs!$E$52*MIN($A130/Inputs!$E$53,1))</f>
        <v>0.1</v>
      </c>
      <c r="I130" s="35">
        <f>IF(Inputs!$E$64&lt;=0,Inputs!$E$63,Inputs!$E$62+(Inputs!$E$63-Inputs!$E$62)*MIN($A130/Inputs!$E$64,1))</f>
        <v>0.03</v>
      </c>
      <c r="J130" s="37">
        <f>(E130-Inputs!$E$44)*Inputs!$E$45/Inputs!$E$60*Inputs!$E$61</f>
        <v>5999.9999999999991</v>
      </c>
      <c r="K130" s="29">
        <f t="shared" si="49"/>
        <v>0</v>
      </c>
      <c r="L130" s="29"/>
      <c r="M130" s="38">
        <f>MAX(0,MIN(Inputs!$B$36,R129,N130+O130+P130+Inputs!$B$6-Q129))</f>
        <v>0</v>
      </c>
      <c r="N130" s="38">
        <f>Inputs!$B$27*(1+Inputs!$B$28)^($A130/12)*IF(Inputs!$B$70=1,$G130,1)*(1-Inputs!$C$70*$H130*(1-Inputs!$E$54*Inputs!$B$70))*(1+$I130)*IF(Inputs!$B$29=0,1,(MAX(Q129,0)/Inputs!$B$6)^Inputs!$B$29)</f>
        <v>25683.271873463898</v>
      </c>
      <c r="O130" s="38">
        <f>Inputs!$B$32*Q129/Inputs!$B$6</f>
        <v>0</v>
      </c>
      <c r="P130" s="38">
        <f>Inputs!$B$33</f>
        <v>2500</v>
      </c>
      <c r="Q130" s="38">
        <f t="shared" si="50"/>
        <v>0</v>
      </c>
      <c r="R130" s="38">
        <f t="shared" si="51"/>
        <v>0</v>
      </c>
      <c r="S130" s="38">
        <f>Inputs!$B$19*(1-Inputs!$C$70*$H130)+Inputs!$B$21+Inputs!$B$70*$J130</f>
        <v>595000</v>
      </c>
      <c r="T130" s="38">
        <f t="shared" si="52"/>
        <v>-595000</v>
      </c>
      <c r="U130" s="38">
        <f t="shared" si="53"/>
        <v>1</v>
      </c>
      <c r="V130" s="38">
        <f>MAX(0,MIN(Inputs!$C$36,AA129,W130+X130+Y130+Inputs!$C$6-Z129))</f>
        <v>0</v>
      </c>
      <c r="W130" s="38">
        <f>Inputs!$C$27*(1+Inputs!$C$28)^($A130/12)*IF(Inputs!$B$70=1,$G130,1)*(1-Inputs!$C$70*$H130*(1-Inputs!$E$54*Inputs!$B$70))*(1+$I130)*IF(Inputs!$C$29=0,1,(MAX(Z129,0)/Inputs!$C$6)^Inputs!$C$29)</f>
        <v>0</v>
      </c>
      <c r="X130" s="38">
        <f>Inputs!$C$32*Z129/Inputs!$C$6</f>
        <v>0</v>
      </c>
      <c r="Y130" s="38">
        <f>Inputs!$C$33</f>
        <v>2000</v>
      </c>
      <c r="Z130" s="38">
        <f t="shared" si="54"/>
        <v>0</v>
      </c>
      <c r="AA130" s="38">
        <f t="shared" si="55"/>
        <v>0</v>
      </c>
      <c r="AB130" s="38">
        <f>Inputs!$C$19*(1-Inputs!$C$70*$H130)+Inputs!$C$21+Inputs!$B$70*$J130</f>
        <v>495000</v>
      </c>
      <c r="AC130" s="38">
        <f t="shared" si="56"/>
        <v>-495000</v>
      </c>
      <c r="AD130" s="38">
        <f t="shared" si="57"/>
        <v>1</v>
      </c>
      <c r="AE130" s="38">
        <f>MAX(0,MIN(Inputs!$D$36,AJ129,AF130+AG130+AH130+Inputs!$D$6-AI129))</f>
        <v>0</v>
      </c>
      <c r="AF130" s="38">
        <f>Inputs!$D$27*(1+Inputs!$D$28)^($A130/12)*IF(Inputs!$B$70=1,$G130,1)*(1-Inputs!$C$70*$H130*(1-Inputs!$E$54*Inputs!$B$70))*(1+$I130)*IF(Inputs!$D$29=0,1,(MAX(AI129,0)/Inputs!$D$6)^Inputs!$D$29)</f>
        <v>3435.7931235421493</v>
      </c>
      <c r="AG130" s="38">
        <f>Inputs!$D$32*AI129/Inputs!$D$6</f>
        <v>1360.5684932480015</v>
      </c>
      <c r="AH130" s="38">
        <f>Inputs!$D$33</f>
        <v>1500</v>
      </c>
      <c r="AI130" s="38">
        <f t="shared" si="58"/>
        <v>278775.13220660063</v>
      </c>
      <c r="AJ130" s="38">
        <f t="shared" si="59"/>
        <v>0</v>
      </c>
      <c r="AK130" s="38">
        <f>Inputs!$D$19*(1-Inputs!$C$70*$H130)+Inputs!$D$21+Inputs!$B$70*$J130</f>
        <v>404800</v>
      </c>
      <c r="AL130" s="38">
        <f t="shared" si="60"/>
        <v>-126024.86779339937</v>
      </c>
      <c r="AM130" s="38">
        <f t="shared" si="61"/>
        <v>1</v>
      </c>
      <c r="AN130" s="38">
        <f>MAX(0,MIN(Inputs!$B$36,AS129,AO130+AP130+AQ130+Inputs!$B$6-AR129))</f>
        <v>0</v>
      </c>
      <c r="AO130" s="38">
        <f>Inputs!$B$27*(1+Inputs!$B$28)^($A130/12)*IF(Inputs!$B$71=1,$G130,1)*(1-Inputs!$C$71*$H130*(1-Inputs!$E$54*Inputs!$B$71))*(1+$I130)*IF(Inputs!$B$29=0,1,(MAX(AR129,0)/Inputs!$B$6)^Inputs!$B$29)</f>
        <v>21633.347267924255</v>
      </c>
      <c r="AP130" s="38">
        <f>Inputs!$B$32*AR129/Inputs!$B$6</f>
        <v>0</v>
      </c>
      <c r="AQ130" s="38">
        <f>Inputs!$B$33</f>
        <v>2500</v>
      </c>
      <c r="AR130" s="38">
        <f t="shared" si="62"/>
        <v>0</v>
      </c>
      <c r="AS130" s="38">
        <f t="shared" si="63"/>
        <v>0</v>
      </c>
      <c r="AT130" s="38">
        <f>Inputs!$B$19*(1-Inputs!$C$71*$H130)+Inputs!$B$21+Inputs!$B$71*$J130</f>
        <v>601000</v>
      </c>
      <c r="AU130" s="38">
        <f t="shared" si="64"/>
        <v>-601000</v>
      </c>
      <c r="AV130" s="38">
        <f t="shared" si="65"/>
        <v>1</v>
      </c>
      <c r="AW130" s="38">
        <f>MAX(0,MIN(Inputs!$C$36,BB129,AX130+AY130+AZ130+Inputs!$C$6-BA129))</f>
        <v>0</v>
      </c>
      <c r="AX130" s="38">
        <f>Inputs!$C$27*(1+Inputs!$C$28)^($A130/12)*IF(Inputs!$B$71=1,$G130,1)*(1-Inputs!$C$71*$H130*(1-Inputs!$E$54*Inputs!$B$71))*(1+$I130)*IF(Inputs!$C$29=0,1,(MAX(BA129,0)/Inputs!$C$6)^Inputs!$C$29)</f>
        <v>0</v>
      </c>
      <c r="AY130" s="38">
        <f>Inputs!$C$32*BA129/Inputs!$C$6</f>
        <v>0</v>
      </c>
      <c r="AZ130" s="38">
        <f>Inputs!$C$33</f>
        <v>2000</v>
      </c>
      <c r="BA130" s="38">
        <f t="shared" si="66"/>
        <v>0</v>
      </c>
      <c r="BB130" s="38">
        <f t="shared" si="67"/>
        <v>0</v>
      </c>
      <c r="BC130" s="38">
        <f>Inputs!$C$19*(1-Inputs!$C$71*$H130)+Inputs!$C$21+Inputs!$B$71*$J130</f>
        <v>501000</v>
      </c>
      <c r="BD130" s="38">
        <f t="shared" si="68"/>
        <v>-501000</v>
      </c>
      <c r="BE130" s="38">
        <f t="shared" si="69"/>
        <v>1</v>
      </c>
      <c r="BF130" s="38">
        <f>MAX(0,MIN(Inputs!$D$36,BK129,BG130+BH130+BI130+Inputs!$D$6-BJ129))</f>
        <v>0</v>
      </c>
      <c r="BG130" s="38">
        <f>Inputs!$D$27*(1+Inputs!$D$28)^($A130/12)*IF(Inputs!$B$71=1,$G130,1)*(1-Inputs!$C$71*$H130*(1-Inputs!$E$54*Inputs!$B$71))*(1+$I130)*IF(Inputs!$D$29=0,1,(MAX(BJ129,0)/Inputs!$D$6)^Inputs!$D$29)</f>
        <v>3269.9719892484363</v>
      </c>
      <c r="BH130" s="38">
        <f>Inputs!$D$32*BJ129/Inputs!$D$6</f>
        <v>1737.0315910518127</v>
      </c>
      <c r="BI130" s="38">
        <f>Inputs!$D$33</f>
        <v>1500</v>
      </c>
      <c r="BJ130" s="38">
        <f t="shared" si="70"/>
        <v>357442.4726400795</v>
      </c>
      <c r="BK130" s="38">
        <f t="shared" si="71"/>
        <v>0</v>
      </c>
      <c r="BL130" s="38">
        <f>Inputs!$D$19*(1-Inputs!$C$71*$H130)+Inputs!$D$21+Inputs!$B$71*$J130</f>
        <v>410800</v>
      </c>
      <c r="BM130" s="38">
        <f t="shared" si="72"/>
        <v>-53357.527359920496</v>
      </c>
      <c r="BN130" s="38">
        <f t="shared" si="73"/>
        <v>1</v>
      </c>
      <c r="BO130" s="38">
        <f>MAX(0,MIN(Inputs!$B$36,BT129,BP130+BQ130+BR130+Inputs!$B$6-BS129))</f>
        <v>0</v>
      </c>
      <c r="BP130" s="38">
        <f>Inputs!$B$27*(1+Inputs!$B$28)^($A130/12)*IF(Inputs!$B$72=1,$G130,1)*(1-Inputs!$C$72*$H130*(1-Inputs!$E$54*Inputs!$B$72))*(1+$I130)*IF(Inputs!$B$29=0,1,(MAX(BS129,0)/Inputs!$B$6)^Inputs!$B$29)</f>
        <v>23114.944686117509</v>
      </c>
      <c r="BQ130" s="38">
        <f>Inputs!$B$32*BS129/Inputs!$B$6</f>
        <v>0</v>
      </c>
      <c r="BR130" s="38">
        <f>Inputs!$B$33</f>
        <v>2500</v>
      </c>
      <c r="BS130" s="38">
        <f t="shared" si="74"/>
        <v>0</v>
      </c>
      <c r="BT130" s="38">
        <f t="shared" si="75"/>
        <v>0</v>
      </c>
      <c r="BU130" s="38">
        <f>Inputs!$B$19*(1-Inputs!$C$72*$H130)+Inputs!$B$21+Inputs!$B$72*$J130</f>
        <v>577500</v>
      </c>
      <c r="BV130" s="38">
        <f t="shared" si="76"/>
        <v>-577500</v>
      </c>
      <c r="BW130" s="38">
        <f t="shared" si="77"/>
        <v>1</v>
      </c>
      <c r="BX130" s="38">
        <f>MAX(0,MIN(Inputs!$C$36,CC129,BY130+BZ130+CA130+Inputs!$C$6-CB129))</f>
        <v>0</v>
      </c>
      <c r="BY130" s="38">
        <f>Inputs!$C$27*(1+Inputs!$C$28)^($A130/12)*IF(Inputs!$B$72=1,$G130,1)*(1-Inputs!$C$72*$H130*(1-Inputs!$E$54*Inputs!$B$72))*(1+$I130)*IF(Inputs!$C$29=0,1,(MAX(CB129,0)/Inputs!$C$6)^Inputs!$C$29)</f>
        <v>0</v>
      </c>
      <c r="BZ130" s="38">
        <f>Inputs!$C$32*CB129/Inputs!$C$6</f>
        <v>0</v>
      </c>
      <c r="CA130" s="38">
        <f>Inputs!$C$33</f>
        <v>2000</v>
      </c>
      <c r="CB130" s="38">
        <f t="shared" si="78"/>
        <v>0</v>
      </c>
      <c r="CC130" s="38">
        <f t="shared" si="79"/>
        <v>0</v>
      </c>
      <c r="CD130" s="38">
        <f>Inputs!$C$19*(1-Inputs!$C$72*$H130)+Inputs!$C$21+Inputs!$B$72*$J130</f>
        <v>480000</v>
      </c>
      <c r="CE130" s="38">
        <f t="shared" si="80"/>
        <v>-480000</v>
      </c>
      <c r="CF130" s="38">
        <f t="shared" si="81"/>
        <v>1</v>
      </c>
      <c r="CG130" s="38">
        <f>MAX(0,MIN(Inputs!$D$36,CL129,CH130+CI130+CJ130+Inputs!$D$6-CK129))</f>
        <v>0</v>
      </c>
      <c r="CH130" s="38">
        <f>Inputs!$D$27*(1+Inputs!$D$28)^($A130/12)*IF(Inputs!$B$72=1,$G130,1)*(1-Inputs!$C$72*$H130*(1-Inputs!$E$54*Inputs!$B$72))*(1+$I130)*IF(Inputs!$D$29=0,1,(MAX(CK129,0)/Inputs!$D$6)^Inputs!$D$29)</f>
        <v>3321.0388948976492</v>
      </c>
      <c r="CI130" s="38">
        <f>Inputs!$D$32*CK129/Inputs!$D$6</f>
        <v>1569.3842957537745</v>
      </c>
      <c r="CJ130" s="38">
        <f>Inputs!$D$33</f>
        <v>1500</v>
      </c>
      <c r="CK130" s="38">
        <f t="shared" si="82"/>
        <v>322432.95306252036</v>
      </c>
      <c r="CL130" s="38">
        <f t="shared" si="83"/>
        <v>0</v>
      </c>
      <c r="CM130" s="38">
        <f>Inputs!$D$19*(1-Inputs!$C$72*$H130)+Inputs!$D$21+Inputs!$B$72*$J130</f>
        <v>392150</v>
      </c>
      <c r="CN130" s="38">
        <f t="shared" si="84"/>
        <v>-69717.046937479638</v>
      </c>
      <c r="CO130" s="38">
        <f t="shared" si="85"/>
        <v>1</v>
      </c>
      <c r="CP130" s="38">
        <f>MAX(0,MIN(Inputs!$B$36,CU129,CQ130+CR130+CS130+Inputs!$B$6-CT129))</f>
        <v>0</v>
      </c>
      <c r="CQ130" s="38">
        <f>Inputs!$B$27*(1+Inputs!$B$28)^($A130/12)*IF(Inputs!$B$73=1,$G130,1)*(1-Inputs!$C$73*$H130*(1-Inputs!$E$54*Inputs!$B$73))*(1+$I130)*IF(Inputs!$B$29=0,1,(MAX(CT129,0)/Inputs!$B$6)^Inputs!$B$29)</f>
        <v>20551.679904528042</v>
      </c>
      <c r="CR130" s="38">
        <f>Inputs!$B$32*CT129/Inputs!$B$6</f>
        <v>0</v>
      </c>
      <c r="CS130" s="38">
        <f>Inputs!$B$33</f>
        <v>2500</v>
      </c>
      <c r="CT130" s="38">
        <f t="shared" si="86"/>
        <v>0</v>
      </c>
      <c r="CU130" s="38">
        <f t="shared" si="87"/>
        <v>0</v>
      </c>
      <c r="CV130" s="38">
        <f>Inputs!$B$19*(1-Inputs!$C$73*$H130)+Inputs!$B$21+Inputs!$B$73*$J130</f>
        <v>583500</v>
      </c>
      <c r="CW130" s="38">
        <f t="shared" si="88"/>
        <v>-583500</v>
      </c>
      <c r="CX130" s="38">
        <f t="shared" si="89"/>
        <v>1</v>
      </c>
      <c r="CY130" s="38">
        <f>MAX(0,MIN(Inputs!$C$36,DD129,CZ130+DA130+DB130+Inputs!$C$6-DC129))</f>
        <v>0</v>
      </c>
      <c r="CZ130" s="38">
        <f>Inputs!$C$27*(1+Inputs!$C$28)^($A130/12)*IF(Inputs!$B$73=1,$G130,1)*(1-Inputs!$C$73*$H130*(1-Inputs!$E$54*Inputs!$B$73))*(1+$I130)*IF(Inputs!$C$29=0,1,(MAX(DC129,0)/Inputs!$C$6)^Inputs!$C$29)</f>
        <v>0</v>
      </c>
      <c r="DA130" s="38">
        <f>Inputs!$C$32*DC129/Inputs!$C$6</f>
        <v>0</v>
      </c>
      <c r="DB130" s="38">
        <f>Inputs!$C$33</f>
        <v>2000</v>
      </c>
      <c r="DC130" s="38">
        <f t="shared" si="90"/>
        <v>0</v>
      </c>
      <c r="DD130" s="38">
        <f t="shared" si="91"/>
        <v>0</v>
      </c>
      <c r="DE130" s="38">
        <f>Inputs!$C$19*(1-Inputs!$C$73*$H130)+Inputs!$C$21+Inputs!$B$73*$J130</f>
        <v>486000</v>
      </c>
      <c r="DF130" s="38">
        <f t="shared" si="92"/>
        <v>-486000</v>
      </c>
      <c r="DG130" s="38">
        <f t="shared" si="93"/>
        <v>1</v>
      </c>
      <c r="DH130" s="38">
        <f>MAX(0,MIN(Inputs!$D$36,DM129,DI130+DJ130+DK130+Inputs!$D$6-DL129))</f>
        <v>0</v>
      </c>
      <c r="DI130" s="38">
        <f>Inputs!$D$27*(1+Inputs!$D$28)^($A130/12)*IF(Inputs!$B$73=1,$G130,1)*(1-Inputs!$C$73*$H130*(1-Inputs!$E$54*Inputs!$B$73))*(1+$I130)*IF(Inputs!$D$29=0,1,(MAX(DL129,0)/Inputs!$D$6)^Inputs!$D$29)</f>
        <v>3192.1129719940986</v>
      </c>
      <c r="DJ130" s="38">
        <f>Inputs!$D$32*DL129/Inputs!$D$6</f>
        <v>1834.1250716233492</v>
      </c>
      <c r="DK130" s="38">
        <f>Inputs!$D$33</f>
        <v>1500</v>
      </c>
      <c r="DL130" s="38">
        <f t="shared" si="94"/>
        <v>377766.63410603668</v>
      </c>
      <c r="DM130" s="38">
        <f t="shared" si="95"/>
        <v>0</v>
      </c>
      <c r="DN130" s="38">
        <f>Inputs!$D$19*(1-Inputs!$C$73*$H130)+Inputs!$D$21+Inputs!$B$73*$J130</f>
        <v>398150</v>
      </c>
      <c r="DO130" s="38">
        <f t="shared" si="96"/>
        <v>-20383.365893963317</v>
      </c>
      <c r="DP130" s="38">
        <f t="shared" si="97"/>
        <v>1</v>
      </c>
    </row>
    <row r="131" spans="1:120" x14ac:dyDescent="0.35">
      <c r="A131" s="29">
        <v>126</v>
      </c>
      <c r="B131" s="34">
        <f>EDATE(Inputs!$B$67,$A131)</f>
        <v>50100</v>
      </c>
      <c r="C131" s="35">
        <f>IF(Inputs!$E$47&lt;=0,Inputs!$E$46,Inputs!$E$44+(Inputs!$E$46-Inputs!$E$44)*MIN($A131/Inputs!$E$47,1))</f>
        <v>0.7</v>
      </c>
      <c r="D131" s="35">
        <f>MIN(Inputs!$E$57,Inputs!$E$55*(1+Inputs!$E$56)^($A131/12))*Inputs!$E$58*(1+Inputs!$E$59)^($A131/12)/Inputs!$E$45</f>
        <v>1.5</v>
      </c>
      <c r="E131" s="35">
        <f>MAX(Inputs!$E$44,MIN(C131,D131))</f>
        <v>0.7</v>
      </c>
      <c r="F131" s="35">
        <f>IF(Inputs!$E$50&lt;=0,Inputs!$E$49,Inputs!$E$48+(Inputs!$E$49-Inputs!$E$48)*MIN($A131/Inputs!$E$50,1))</f>
        <v>0.12</v>
      </c>
      <c r="G131" s="36">
        <f>(Inputs!$E$41*(1-E131*Inputs!$E$51)+Inputs!$E$42*(1-F131*Inputs!$E$51))/(Inputs!$E$41*(1-Inputs!$E$44*Inputs!$E$51)+Inputs!$E$42*(1-Inputs!$E$48*Inputs!$E$51))</f>
        <v>0.8423127463863338</v>
      </c>
      <c r="H131" s="35">
        <f>IF(Inputs!$E$53&lt;=0,Inputs!$E$52,Inputs!$E$52*MIN($A131/Inputs!$E$53,1))</f>
        <v>0.1</v>
      </c>
      <c r="I131" s="35">
        <f>IF(Inputs!$E$64&lt;=0,Inputs!$E$63,Inputs!$E$62+(Inputs!$E$63-Inputs!$E$62)*MIN($A131/Inputs!$E$64,1))</f>
        <v>0.03</v>
      </c>
      <c r="J131" s="37">
        <f>(E131-Inputs!$E$44)*Inputs!$E$45/Inputs!$E$60*Inputs!$E$61</f>
        <v>5999.9999999999991</v>
      </c>
      <c r="K131" s="29">
        <f t="shared" si="49"/>
        <v>0</v>
      </c>
      <c r="L131" s="29"/>
      <c r="M131" s="38">
        <f>MAX(0,MIN(Inputs!$B$36,R130,N131+O131+P131+Inputs!$B$6-Q130))</f>
        <v>0</v>
      </c>
      <c r="N131" s="38">
        <f>Inputs!$B$27*(1+Inputs!$B$28)^($A131/12)*IF(Inputs!$B$70=1,$G131,1)*(1-Inputs!$C$70*$H131*(1-Inputs!$E$54*Inputs!$B$70))*(1+$I131)*IF(Inputs!$B$29=0,1,(MAX(Q130,0)/Inputs!$B$6)^Inputs!$B$29)</f>
        <v>25787.908702245488</v>
      </c>
      <c r="O131" s="38">
        <f>Inputs!$B$32*Q130/Inputs!$B$6</f>
        <v>0</v>
      </c>
      <c r="P131" s="38">
        <f>Inputs!$B$33</f>
        <v>2500</v>
      </c>
      <c r="Q131" s="38">
        <f t="shared" si="50"/>
        <v>0</v>
      </c>
      <c r="R131" s="38">
        <f t="shared" si="51"/>
        <v>0</v>
      </c>
      <c r="S131" s="38">
        <f>Inputs!$B$19*(1-Inputs!$C$70*$H131)+Inputs!$B$21+Inputs!$B$70*$J131</f>
        <v>595000</v>
      </c>
      <c r="T131" s="38">
        <f t="shared" si="52"/>
        <v>-595000</v>
      </c>
      <c r="U131" s="38">
        <f t="shared" si="53"/>
        <v>1</v>
      </c>
      <c r="V131" s="38">
        <f>MAX(0,MIN(Inputs!$C$36,AA130,W131+X131+Y131+Inputs!$C$6-Z130))</f>
        <v>0</v>
      </c>
      <c r="W131" s="38">
        <f>Inputs!$C$27*(1+Inputs!$C$28)^($A131/12)*IF(Inputs!$B$70=1,$G131,1)*(1-Inputs!$C$70*$H131*(1-Inputs!$E$54*Inputs!$B$70))*(1+$I131)*IF(Inputs!$C$29=0,1,(MAX(Z130,0)/Inputs!$C$6)^Inputs!$C$29)</f>
        <v>0</v>
      </c>
      <c r="X131" s="38">
        <f>Inputs!$C$32*Z130/Inputs!$C$6</f>
        <v>0</v>
      </c>
      <c r="Y131" s="38">
        <f>Inputs!$C$33</f>
        <v>2000</v>
      </c>
      <c r="Z131" s="38">
        <f t="shared" si="54"/>
        <v>0</v>
      </c>
      <c r="AA131" s="38">
        <f t="shared" si="55"/>
        <v>0</v>
      </c>
      <c r="AB131" s="38">
        <f>Inputs!$C$19*(1-Inputs!$C$70*$H131)+Inputs!$C$21+Inputs!$B$70*$J131</f>
        <v>495000</v>
      </c>
      <c r="AC131" s="38">
        <f t="shared" si="56"/>
        <v>-495000</v>
      </c>
      <c r="AD131" s="38">
        <f t="shared" si="57"/>
        <v>1</v>
      </c>
      <c r="AE131" s="38">
        <f>MAX(0,MIN(Inputs!$D$36,AJ130,AF131+AG131+AH131+Inputs!$D$6-AI130))</f>
        <v>0</v>
      </c>
      <c r="AF131" s="38">
        <f>Inputs!$D$27*(1+Inputs!$D$28)^($A131/12)*IF(Inputs!$B$70=1,$G131,1)*(1-Inputs!$C$70*$H131*(1-Inputs!$E$54*Inputs!$B$70))*(1+$I131)*IF(Inputs!$D$29=0,1,(MAX(AI130,0)/Inputs!$D$6)^Inputs!$D$29)</f>
        <v>3383.1461493586053</v>
      </c>
      <c r="AG131" s="38">
        <f>Inputs!$D$32*AI130/Inputs!$D$6</f>
        <v>1330.517676440594</v>
      </c>
      <c r="AH131" s="38">
        <f>Inputs!$D$33</f>
        <v>1500</v>
      </c>
      <c r="AI131" s="38">
        <f t="shared" si="58"/>
        <v>272561.46838080144</v>
      </c>
      <c r="AJ131" s="38">
        <f t="shared" si="59"/>
        <v>0</v>
      </c>
      <c r="AK131" s="38">
        <f>Inputs!$D$19*(1-Inputs!$C$70*$H131)+Inputs!$D$21+Inputs!$B$70*$J131</f>
        <v>404800</v>
      </c>
      <c r="AL131" s="38">
        <f t="shared" si="60"/>
        <v>-132238.53161919856</v>
      </c>
      <c r="AM131" s="38">
        <f t="shared" si="61"/>
        <v>1</v>
      </c>
      <c r="AN131" s="38">
        <f>MAX(0,MIN(Inputs!$B$36,AS130,AO131+AP131+AQ131+Inputs!$B$6-AR130))</f>
        <v>0</v>
      </c>
      <c r="AO131" s="38">
        <f>Inputs!$B$27*(1+Inputs!$B$28)^($A131/12)*IF(Inputs!$B$71=1,$G131,1)*(1-Inputs!$C$71*$H131*(1-Inputs!$E$54*Inputs!$B$71))*(1+$I131)*IF(Inputs!$B$29=0,1,(MAX(AR130,0)/Inputs!$B$6)^Inputs!$B$29)</f>
        <v>21721.484202548436</v>
      </c>
      <c r="AP131" s="38">
        <f>Inputs!$B$32*AR130/Inputs!$B$6</f>
        <v>0</v>
      </c>
      <c r="AQ131" s="38">
        <f>Inputs!$B$33</f>
        <v>2500</v>
      </c>
      <c r="AR131" s="38">
        <f t="shared" si="62"/>
        <v>0</v>
      </c>
      <c r="AS131" s="38">
        <f t="shared" si="63"/>
        <v>0</v>
      </c>
      <c r="AT131" s="38">
        <f>Inputs!$B$19*(1-Inputs!$C$71*$H131)+Inputs!$B$21+Inputs!$B$71*$J131</f>
        <v>601000</v>
      </c>
      <c r="AU131" s="38">
        <f t="shared" si="64"/>
        <v>-601000</v>
      </c>
      <c r="AV131" s="38">
        <f t="shared" si="65"/>
        <v>1</v>
      </c>
      <c r="AW131" s="38">
        <f>MAX(0,MIN(Inputs!$C$36,BB130,AX131+AY131+AZ131+Inputs!$C$6-BA130))</f>
        <v>0</v>
      </c>
      <c r="AX131" s="38">
        <f>Inputs!$C$27*(1+Inputs!$C$28)^($A131/12)*IF(Inputs!$B$71=1,$G131,1)*(1-Inputs!$C$71*$H131*(1-Inputs!$E$54*Inputs!$B$71))*(1+$I131)*IF(Inputs!$C$29=0,1,(MAX(BA130,0)/Inputs!$C$6)^Inputs!$C$29)</f>
        <v>0</v>
      </c>
      <c r="AY131" s="38">
        <f>Inputs!$C$32*BA130/Inputs!$C$6</f>
        <v>0</v>
      </c>
      <c r="AZ131" s="38">
        <f>Inputs!$C$33</f>
        <v>2000</v>
      </c>
      <c r="BA131" s="38">
        <f t="shared" si="66"/>
        <v>0</v>
      </c>
      <c r="BB131" s="38">
        <f t="shared" si="67"/>
        <v>0</v>
      </c>
      <c r="BC131" s="38">
        <f>Inputs!$C$19*(1-Inputs!$C$71*$H131)+Inputs!$C$21+Inputs!$B$71*$J131</f>
        <v>501000</v>
      </c>
      <c r="BD131" s="38">
        <f t="shared" si="68"/>
        <v>-501000</v>
      </c>
      <c r="BE131" s="38">
        <f t="shared" si="69"/>
        <v>1</v>
      </c>
      <c r="BF131" s="38">
        <f>MAX(0,MIN(Inputs!$D$36,BK130,BG131+BH131+BI131+Inputs!$D$6-BJ130))</f>
        <v>0</v>
      </c>
      <c r="BG131" s="38">
        <f>Inputs!$D$27*(1+Inputs!$D$28)^($A131/12)*IF(Inputs!$B$71=1,$G131,1)*(1-Inputs!$C$71*$H131*(1-Inputs!$E$54*Inputs!$B$71))*(1+$I131)*IF(Inputs!$D$29=0,1,(MAX(BJ130,0)/Inputs!$D$6)^Inputs!$D$29)</f>
        <v>3226.7862285481538</v>
      </c>
      <c r="BH131" s="38">
        <f>Inputs!$D$32*BJ130/Inputs!$D$6</f>
        <v>1705.9754376003793</v>
      </c>
      <c r="BI131" s="38">
        <f>Inputs!$D$33</f>
        <v>1500</v>
      </c>
      <c r="BJ131" s="38">
        <f t="shared" si="70"/>
        <v>351009.71097393095</v>
      </c>
      <c r="BK131" s="38">
        <f t="shared" si="71"/>
        <v>0</v>
      </c>
      <c r="BL131" s="38">
        <f>Inputs!$D$19*(1-Inputs!$C$71*$H131)+Inputs!$D$21+Inputs!$B$71*$J131</f>
        <v>410800</v>
      </c>
      <c r="BM131" s="38">
        <f t="shared" si="72"/>
        <v>-59790.289026069047</v>
      </c>
      <c r="BN131" s="38">
        <f t="shared" si="73"/>
        <v>1</v>
      </c>
      <c r="BO131" s="38">
        <f>MAX(0,MIN(Inputs!$B$36,BT130,BP131+BQ131+BR131+Inputs!$B$6-BS130))</f>
        <v>0</v>
      </c>
      <c r="BP131" s="38">
        <f>Inputs!$B$27*(1+Inputs!$B$28)^($A131/12)*IF(Inputs!$B$72=1,$G131,1)*(1-Inputs!$C$72*$H131*(1-Inputs!$E$54*Inputs!$B$72))*(1+$I131)*IF(Inputs!$B$29=0,1,(MAX(BS130,0)/Inputs!$B$6)^Inputs!$B$29)</f>
        <v>23209.11783202094</v>
      </c>
      <c r="BQ131" s="38">
        <f>Inputs!$B$32*BS130/Inputs!$B$6</f>
        <v>0</v>
      </c>
      <c r="BR131" s="38">
        <f>Inputs!$B$33</f>
        <v>2500</v>
      </c>
      <c r="BS131" s="38">
        <f t="shared" si="74"/>
        <v>0</v>
      </c>
      <c r="BT131" s="38">
        <f t="shared" si="75"/>
        <v>0</v>
      </c>
      <c r="BU131" s="38">
        <f>Inputs!$B$19*(1-Inputs!$C$72*$H131)+Inputs!$B$21+Inputs!$B$72*$J131</f>
        <v>577500</v>
      </c>
      <c r="BV131" s="38">
        <f t="shared" si="76"/>
        <v>-577500</v>
      </c>
      <c r="BW131" s="38">
        <f t="shared" si="77"/>
        <v>1</v>
      </c>
      <c r="BX131" s="38">
        <f>MAX(0,MIN(Inputs!$C$36,CC130,BY131+BZ131+CA131+Inputs!$C$6-CB130))</f>
        <v>0</v>
      </c>
      <c r="BY131" s="38">
        <f>Inputs!$C$27*(1+Inputs!$C$28)^($A131/12)*IF(Inputs!$B$72=1,$G131,1)*(1-Inputs!$C$72*$H131*(1-Inputs!$E$54*Inputs!$B$72))*(1+$I131)*IF(Inputs!$C$29=0,1,(MAX(CB130,0)/Inputs!$C$6)^Inputs!$C$29)</f>
        <v>0</v>
      </c>
      <c r="BZ131" s="38">
        <f>Inputs!$C$32*CB130/Inputs!$C$6</f>
        <v>0</v>
      </c>
      <c r="CA131" s="38">
        <f>Inputs!$C$33</f>
        <v>2000</v>
      </c>
      <c r="CB131" s="38">
        <f t="shared" si="78"/>
        <v>0</v>
      </c>
      <c r="CC131" s="38">
        <f t="shared" si="79"/>
        <v>0</v>
      </c>
      <c r="CD131" s="38">
        <f>Inputs!$C$19*(1-Inputs!$C$72*$H131)+Inputs!$C$21+Inputs!$B$72*$J131</f>
        <v>480000</v>
      </c>
      <c r="CE131" s="38">
        <f t="shared" si="80"/>
        <v>-480000</v>
      </c>
      <c r="CF131" s="38">
        <f t="shared" si="81"/>
        <v>1</v>
      </c>
      <c r="CG131" s="38">
        <f>MAX(0,MIN(Inputs!$D$36,CL130,CH131+CI131+CJ131+Inputs!$D$6-CK130))</f>
        <v>0</v>
      </c>
      <c r="CH131" s="38">
        <f>Inputs!$D$27*(1+Inputs!$D$28)^($A131/12)*IF(Inputs!$B$72=1,$G131,1)*(1-Inputs!$C$72*$H131*(1-Inputs!$E$54*Inputs!$B$72))*(1+$I131)*IF(Inputs!$D$29=0,1,(MAX(CK130,0)/Inputs!$D$6)^Inputs!$D$29)</f>
        <v>3274.5827072756801</v>
      </c>
      <c r="CI131" s="38">
        <f>Inputs!$D$32*CK130/Inputs!$D$6</f>
        <v>1538.8845487074836</v>
      </c>
      <c r="CJ131" s="38">
        <f>Inputs!$D$33</f>
        <v>1500</v>
      </c>
      <c r="CK131" s="38">
        <f t="shared" si="82"/>
        <v>316119.48580653721</v>
      </c>
      <c r="CL131" s="38">
        <f t="shared" si="83"/>
        <v>0</v>
      </c>
      <c r="CM131" s="38">
        <f>Inputs!$D$19*(1-Inputs!$C$72*$H131)+Inputs!$D$21+Inputs!$B$72*$J131</f>
        <v>392150</v>
      </c>
      <c r="CN131" s="38">
        <f t="shared" si="84"/>
        <v>-76030.51419346279</v>
      </c>
      <c r="CO131" s="38">
        <f t="shared" si="85"/>
        <v>1</v>
      </c>
      <c r="CP131" s="38">
        <f>MAX(0,MIN(Inputs!$B$36,CU130,CQ131+CR131+CS131+Inputs!$B$6-CT130))</f>
        <v>0</v>
      </c>
      <c r="CQ131" s="38">
        <f>Inputs!$B$27*(1+Inputs!$B$28)^($A131/12)*IF(Inputs!$B$73=1,$G131,1)*(1-Inputs!$C$73*$H131*(1-Inputs!$E$54*Inputs!$B$73))*(1+$I131)*IF(Inputs!$B$29=0,1,(MAX(CT130,0)/Inputs!$B$6)^Inputs!$B$29)</f>
        <v>20635.409992421013</v>
      </c>
      <c r="CR131" s="38">
        <f>Inputs!$B$32*CT130/Inputs!$B$6</f>
        <v>0</v>
      </c>
      <c r="CS131" s="38">
        <f>Inputs!$B$33</f>
        <v>2500</v>
      </c>
      <c r="CT131" s="38">
        <f t="shared" si="86"/>
        <v>0</v>
      </c>
      <c r="CU131" s="38">
        <f t="shared" si="87"/>
        <v>0</v>
      </c>
      <c r="CV131" s="38">
        <f>Inputs!$B$19*(1-Inputs!$C$73*$H131)+Inputs!$B$21+Inputs!$B$73*$J131</f>
        <v>583500</v>
      </c>
      <c r="CW131" s="38">
        <f t="shared" si="88"/>
        <v>-583500</v>
      </c>
      <c r="CX131" s="38">
        <f t="shared" si="89"/>
        <v>1</v>
      </c>
      <c r="CY131" s="38">
        <f>MAX(0,MIN(Inputs!$C$36,DD130,CZ131+DA131+DB131+Inputs!$C$6-DC130))</f>
        <v>0</v>
      </c>
      <c r="CZ131" s="38">
        <f>Inputs!$C$27*(1+Inputs!$C$28)^($A131/12)*IF(Inputs!$B$73=1,$G131,1)*(1-Inputs!$C$73*$H131*(1-Inputs!$E$54*Inputs!$B$73))*(1+$I131)*IF(Inputs!$C$29=0,1,(MAX(DC130,0)/Inputs!$C$6)^Inputs!$C$29)</f>
        <v>0</v>
      </c>
      <c r="DA131" s="38">
        <f>Inputs!$C$32*DC130/Inputs!$C$6</f>
        <v>0</v>
      </c>
      <c r="DB131" s="38">
        <f>Inputs!$C$33</f>
        <v>2000</v>
      </c>
      <c r="DC131" s="38">
        <f t="shared" si="90"/>
        <v>0</v>
      </c>
      <c r="DD131" s="38">
        <f t="shared" si="91"/>
        <v>0</v>
      </c>
      <c r="DE131" s="38">
        <f>Inputs!$C$19*(1-Inputs!$C$73*$H131)+Inputs!$C$21+Inputs!$B$73*$J131</f>
        <v>486000</v>
      </c>
      <c r="DF131" s="38">
        <f t="shared" si="92"/>
        <v>-486000</v>
      </c>
      <c r="DG131" s="38">
        <f t="shared" si="93"/>
        <v>1</v>
      </c>
      <c r="DH131" s="38">
        <f>MAX(0,MIN(Inputs!$D$36,DM130,DI131+DJ131+DK131+Inputs!$D$6-DL130))</f>
        <v>0</v>
      </c>
      <c r="DI131" s="38">
        <f>Inputs!$D$27*(1+Inputs!$D$28)^($A131/12)*IF(Inputs!$B$73=1,$G131,1)*(1-Inputs!$C$73*$H131*(1-Inputs!$E$54*Inputs!$B$73))*(1+$I131)*IF(Inputs!$D$29=0,1,(MAX(DL130,0)/Inputs!$D$6)^Inputs!$D$29)</f>
        <v>3151.3926698363184</v>
      </c>
      <c r="DJ131" s="38">
        <f>Inputs!$D$32*DL130/Inputs!$D$6</f>
        <v>1802.9771173242661</v>
      </c>
      <c r="DK131" s="38">
        <f>Inputs!$D$33</f>
        <v>1500</v>
      </c>
      <c r="DL131" s="38">
        <f t="shared" si="94"/>
        <v>371312.26431887614</v>
      </c>
      <c r="DM131" s="38">
        <f t="shared" si="95"/>
        <v>0</v>
      </c>
      <c r="DN131" s="38">
        <f>Inputs!$D$19*(1-Inputs!$C$73*$H131)+Inputs!$D$21+Inputs!$B$73*$J131</f>
        <v>398150</v>
      </c>
      <c r="DO131" s="38">
        <f t="shared" si="96"/>
        <v>-26837.735681123857</v>
      </c>
      <c r="DP131" s="38">
        <f t="shared" si="97"/>
        <v>1</v>
      </c>
    </row>
    <row r="132" spans="1:120" x14ac:dyDescent="0.35">
      <c r="A132" s="29">
        <v>127</v>
      </c>
      <c r="B132" s="34">
        <f>EDATE(Inputs!$B$67,$A132)</f>
        <v>50131</v>
      </c>
      <c r="C132" s="35">
        <f>IF(Inputs!$E$47&lt;=0,Inputs!$E$46,Inputs!$E$44+(Inputs!$E$46-Inputs!$E$44)*MIN($A132/Inputs!$E$47,1))</f>
        <v>0.7</v>
      </c>
      <c r="D132" s="35">
        <f>MIN(Inputs!$E$57,Inputs!$E$55*(1+Inputs!$E$56)^($A132/12))*Inputs!$E$58*(1+Inputs!$E$59)^($A132/12)/Inputs!$E$45</f>
        <v>1.5</v>
      </c>
      <c r="E132" s="35">
        <f>MAX(Inputs!$E$44,MIN(C132,D132))</f>
        <v>0.7</v>
      </c>
      <c r="F132" s="35">
        <f>IF(Inputs!$E$50&lt;=0,Inputs!$E$49,Inputs!$E$48+(Inputs!$E$49-Inputs!$E$48)*MIN($A132/Inputs!$E$50,1))</f>
        <v>0.12</v>
      </c>
      <c r="G132" s="36">
        <f>(Inputs!$E$41*(1-E132*Inputs!$E$51)+Inputs!$E$42*(1-F132*Inputs!$E$51))/(Inputs!$E$41*(1-Inputs!$E$44*Inputs!$E$51)+Inputs!$E$42*(1-Inputs!$E$48*Inputs!$E$51))</f>
        <v>0.8423127463863338</v>
      </c>
      <c r="H132" s="35">
        <f>IF(Inputs!$E$53&lt;=0,Inputs!$E$52,Inputs!$E$52*MIN($A132/Inputs!$E$53,1))</f>
        <v>0.1</v>
      </c>
      <c r="I132" s="35">
        <f>IF(Inputs!$E$64&lt;=0,Inputs!$E$63,Inputs!$E$62+(Inputs!$E$63-Inputs!$E$62)*MIN($A132/Inputs!$E$64,1))</f>
        <v>0.03</v>
      </c>
      <c r="J132" s="37">
        <f>(E132-Inputs!$E$44)*Inputs!$E$45/Inputs!$E$60*Inputs!$E$61</f>
        <v>5999.9999999999991</v>
      </c>
      <c r="K132" s="29">
        <f t="shared" si="49"/>
        <v>0</v>
      </c>
      <c r="L132" s="29"/>
      <c r="M132" s="38">
        <f>MAX(0,MIN(Inputs!$B$36,R131,N132+O132+P132+Inputs!$B$6-Q131))</f>
        <v>0</v>
      </c>
      <c r="N132" s="38">
        <f>Inputs!$B$27*(1+Inputs!$B$28)^($A132/12)*IF(Inputs!$B$70=1,$G132,1)*(1-Inputs!$C$70*$H132*(1-Inputs!$E$54*Inputs!$B$70))*(1+$I132)*IF(Inputs!$B$29=0,1,(MAX(Q131,0)/Inputs!$B$6)^Inputs!$B$29)</f>
        <v>25892.971834419855</v>
      </c>
      <c r="O132" s="38">
        <f>Inputs!$B$32*Q131/Inputs!$B$6</f>
        <v>0</v>
      </c>
      <c r="P132" s="38">
        <f>Inputs!$B$33</f>
        <v>2500</v>
      </c>
      <c r="Q132" s="38">
        <f t="shared" si="50"/>
        <v>0</v>
      </c>
      <c r="R132" s="38">
        <f t="shared" si="51"/>
        <v>0</v>
      </c>
      <c r="S132" s="38">
        <f>Inputs!$B$19*(1-Inputs!$C$70*$H132)+Inputs!$B$21+Inputs!$B$70*$J132</f>
        <v>595000</v>
      </c>
      <c r="T132" s="38">
        <f t="shared" si="52"/>
        <v>-595000</v>
      </c>
      <c r="U132" s="38">
        <f t="shared" si="53"/>
        <v>1</v>
      </c>
      <c r="V132" s="38">
        <f>MAX(0,MIN(Inputs!$C$36,AA131,W132+X132+Y132+Inputs!$C$6-Z131))</f>
        <v>0</v>
      </c>
      <c r="W132" s="38">
        <f>Inputs!$C$27*(1+Inputs!$C$28)^($A132/12)*IF(Inputs!$B$70=1,$G132,1)*(1-Inputs!$C$70*$H132*(1-Inputs!$E$54*Inputs!$B$70))*(1+$I132)*IF(Inputs!$C$29=0,1,(MAX(Z131,0)/Inputs!$C$6)^Inputs!$C$29)</f>
        <v>0</v>
      </c>
      <c r="X132" s="38">
        <f>Inputs!$C$32*Z131/Inputs!$C$6</f>
        <v>0</v>
      </c>
      <c r="Y132" s="38">
        <f>Inputs!$C$33</f>
        <v>2000</v>
      </c>
      <c r="Z132" s="38">
        <f t="shared" si="54"/>
        <v>0</v>
      </c>
      <c r="AA132" s="38">
        <f t="shared" si="55"/>
        <v>0</v>
      </c>
      <c r="AB132" s="38">
        <f>Inputs!$C$19*(1-Inputs!$C$70*$H132)+Inputs!$C$21+Inputs!$B$70*$J132</f>
        <v>495000</v>
      </c>
      <c r="AC132" s="38">
        <f t="shared" si="56"/>
        <v>-495000</v>
      </c>
      <c r="AD132" s="38">
        <f t="shared" si="57"/>
        <v>1</v>
      </c>
      <c r="AE132" s="38">
        <f>MAX(0,MIN(Inputs!$D$36,AJ131,AF132+AG132+AH132+Inputs!$D$6-AI131))</f>
        <v>0</v>
      </c>
      <c r="AF132" s="38">
        <f>Inputs!$D$27*(1+Inputs!$D$28)^($A132/12)*IF(Inputs!$B$70=1,$G132,1)*(1-Inputs!$C$70*$H132*(1-Inputs!$E$54*Inputs!$B$70))*(1+$I132)*IF(Inputs!$D$29=0,1,(MAX(AI131,0)/Inputs!$D$6)^Inputs!$D$29)</f>
        <v>3330.9614617933094</v>
      </c>
      <c r="AG132" s="38">
        <f>Inputs!$D$32*AI131/Inputs!$D$6</f>
        <v>1300.8615536356433</v>
      </c>
      <c r="AH132" s="38">
        <f>Inputs!$D$33</f>
        <v>1500</v>
      </c>
      <c r="AI132" s="38">
        <f t="shared" si="58"/>
        <v>266429.64536537253</v>
      </c>
      <c r="AJ132" s="38">
        <f t="shared" si="59"/>
        <v>0</v>
      </c>
      <c r="AK132" s="38">
        <f>Inputs!$D$19*(1-Inputs!$C$70*$H132)+Inputs!$D$21+Inputs!$B$70*$J132</f>
        <v>404800</v>
      </c>
      <c r="AL132" s="38">
        <f t="shared" si="60"/>
        <v>-138370.35463462747</v>
      </c>
      <c r="AM132" s="38">
        <f t="shared" si="61"/>
        <v>1</v>
      </c>
      <c r="AN132" s="38">
        <f>MAX(0,MIN(Inputs!$B$36,AS131,AO132+AP132+AQ132+Inputs!$B$6-AR131))</f>
        <v>0</v>
      </c>
      <c r="AO132" s="38">
        <f>Inputs!$B$27*(1+Inputs!$B$28)^($A132/12)*IF(Inputs!$B$71=1,$G132,1)*(1-Inputs!$C$71*$H132*(1-Inputs!$E$54*Inputs!$B$71))*(1+$I132)*IF(Inputs!$B$29=0,1,(MAX(AR131,0)/Inputs!$B$6)^Inputs!$B$29)</f>
        <v>21809.980217954177</v>
      </c>
      <c r="AP132" s="38">
        <f>Inputs!$B$32*AR131/Inputs!$B$6</f>
        <v>0</v>
      </c>
      <c r="AQ132" s="38">
        <f>Inputs!$B$33</f>
        <v>2500</v>
      </c>
      <c r="AR132" s="38">
        <f t="shared" si="62"/>
        <v>0</v>
      </c>
      <c r="AS132" s="38">
        <f t="shared" si="63"/>
        <v>0</v>
      </c>
      <c r="AT132" s="38">
        <f>Inputs!$B$19*(1-Inputs!$C$71*$H132)+Inputs!$B$21+Inputs!$B$71*$J132</f>
        <v>601000</v>
      </c>
      <c r="AU132" s="38">
        <f t="shared" si="64"/>
        <v>-601000</v>
      </c>
      <c r="AV132" s="38">
        <f t="shared" si="65"/>
        <v>1</v>
      </c>
      <c r="AW132" s="38">
        <f>MAX(0,MIN(Inputs!$C$36,BB131,AX132+AY132+AZ132+Inputs!$C$6-BA131))</f>
        <v>0</v>
      </c>
      <c r="AX132" s="38">
        <f>Inputs!$C$27*(1+Inputs!$C$28)^($A132/12)*IF(Inputs!$B$71=1,$G132,1)*(1-Inputs!$C$71*$H132*(1-Inputs!$E$54*Inputs!$B$71))*(1+$I132)*IF(Inputs!$C$29=0,1,(MAX(BA131,0)/Inputs!$C$6)^Inputs!$C$29)</f>
        <v>0</v>
      </c>
      <c r="AY132" s="38">
        <f>Inputs!$C$32*BA131/Inputs!$C$6</f>
        <v>0</v>
      </c>
      <c r="AZ132" s="38">
        <f>Inputs!$C$33</f>
        <v>2000</v>
      </c>
      <c r="BA132" s="38">
        <f t="shared" si="66"/>
        <v>0</v>
      </c>
      <c r="BB132" s="38">
        <f t="shared" si="67"/>
        <v>0</v>
      </c>
      <c r="BC132" s="38">
        <f>Inputs!$C$19*(1-Inputs!$C$71*$H132)+Inputs!$C$21+Inputs!$B$71*$J132</f>
        <v>501000</v>
      </c>
      <c r="BD132" s="38">
        <f t="shared" si="68"/>
        <v>-501000</v>
      </c>
      <c r="BE132" s="38">
        <f t="shared" si="69"/>
        <v>1</v>
      </c>
      <c r="BF132" s="38">
        <f>MAX(0,MIN(Inputs!$D$36,BK131,BG132+BH132+BI132+Inputs!$D$6-BJ131))</f>
        <v>0</v>
      </c>
      <c r="BG132" s="38">
        <f>Inputs!$D$27*(1+Inputs!$D$28)^($A132/12)*IF(Inputs!$B$71=1,$G132,1)*(1-Inputs!$C$71*$H132*(1-Inputs!$E$54*Inputs!$B$71))*(1+$I132)*IF(Inputs!$D$29=0,1,(MAX(BJ131,0)/Inputs!$D$6)^Inputs!$D$29)</f>
        <v>3183.9798935678455</v>
      </c>
      <c r="BH132" s="38">
        <f>Inputs!$D$32*BJ131/Inputs!$D$6</f>
        <v>1675.2736205573976</v>
      </c>
      <c r="BI132" s="38">
        <f>Inputs!$D$33</f>
        <v>1500</v>
      </c>
      <c r="BJ132" s="38">
        <f t="shared" si="70"/>
        <v>344650.45745980571</v>
      </c>
      <c r="BK132" s="38">
        <f t="shared" si="71"/>
        <v>0</v>
      </c>
      <c r="BL132" s="38">
        <f>Inputs!$D$19*(1-Inputs!$C$71*$H132)+Inputs!$D$21+Inputs!$B$71*$J132</f>
        <v>410800</v>
      </c>
      <c r="BM132" s="38">
        <f t="shared" si="72"/>
        <v>-66149.542540194292</v>
      </c>
      <c r="BN132" s="38">
        <f t="shared" si="73"/>
        <v>1</v>
      </c>
      <c r="BO132" s="38">
        <f>MAX(0,MIN(Inputs!$B$36,BT131,BP132+BQ132+BR132+Inputs!$B$6-BS131))</f>
        <v>0</v>
      </c>
      <c r="BP132" s="38">
        <f>Inputs!$B$27*(1+Inputs!$B$28)^($A132/12)*IF(Inputs!$B$72=1,$G132,1)*(1-Inputs!$C$72*$H132*(1-Inputs!$E$54*Inputs!$B$72))*(1+$I132)*IF(Inputs!$B$29=0,1,(MAX(BS131,0)/Inputs!$B$6)^Inputs!$B$29)</f>
        <v>23303.674650977871</v>
      </c>
      <c r="BQ132" s="38">
        <f>Inputs!$B$32*BS131/Inputs!$B$6</f>
        <v>0</v>
      </c>
      <c r="BR132" s="38">
        <f>Inputs!$B$33</f>
        <v>2500</v>
      </c>
      <c r="BS132" s="38">
        <f t="shared" si="74"/>
        <v>0</v>
      </c>
      <c r="BT132" s="38">
        <f t="shared" si="75"/>
        <v>0</v>
      </c>
      <c r="BU132" s="38">
        <f>Inputs!$B$19*(1-Inputs!$C$72*$H132)+Inputs!$B$21+Inputs!$B$72*$J132</f>
        <v>577500</v>
      </c>
      <c r="BV132" s="38">
        <f t="shared" si="76"/>
        <v>-577500</v>
      </c>
      <c r="BW132" s="38">
        <f t="shared" si="77"/>
        <v>1</v>
      </c>
      <c r="BX132" s="38">
        <f>MAX(0,MIN(Inputs!$C$36,CC131,BY132+BZ132+CA132+Inputs!$C$6-CB131))</f>
        <v>0</v>
      </c>
      <c r="BY132" s="38">
        <f>Inputs!$C$27*(1+Inputs!$C$28)^($A132/12)*IF(Inputs!$B$72=1,$G132,1)*(1-Inputs!$C$72*$H132*(1-Inputs!$E$54*Inputs!$B$72))*(1+$I132)*IF(Inputs!$C$29=0,1,(MAX(CB131,0)/Inputs!$C$6)^Inputs!$C$29)</f>
        <v>0</v>
      </c>
      <c r="BZ132" s="38">
        <f>Inputs!$C$32*CB131/Inputs!$C$6</f>
        <v>0</v>
      </c>
      <c r="CA132" s="38">
        <f>Inputs!$C$33</f>
        <v>2000</v>
      </c>
      <c r="CB132" s="38">
        <f t="shared" si="78"/>
        <v>0</v>
      </c>
      <c r="CC132" s="38">
        <f t="shared" si="79"/>
        <v>0</v>
      </c>
      <c r="CD132" s="38">
        <f>Inputs!$C$19*(1-Inputs!$C$72*$H132)+Inputs!$C$21+Inputs!$B$72*$J132</f>
        <v>480000</v>
      </c>
      <c r="CE132" s="38">
        <f t="shared" si="80"/>
        <v>-480000</v>
      </c>
      <c r="CF132" s="38">
        <f t="shared" si="81"/>
        <v>1</v>
      </c>
      <c r="CG132" s="38">
        <f>MAX(0,MIN(Inputs!$D$36,CL131,CH132+CI132+CJ132+Inputs!$D$6-CK131))</f>
        <v>0</v>
      </c>
      <c r="CH132" s="38">
        <f>Inputs!$D$27*(1+Inputs!$D$28)^($A132/12)*IF(Inputs!$B$72=1,$G132,1)*(1-Inputs!$C$72*$H132*(1-Inputs!$E$54*Inputs!$B$72))*(1+$I132)*IF(Inputs!$D$29=0,1,(MAX(CK131,0)/Inputs!$D$6)^Inputs!$D$29)</f>
        <v>3228.5351629741322</v>
      </c>
      <c r="CI132" s="38">
        <f>Inputs!$D$32*CK131/Inputs!$D$6</f>
        <v>1508.752091349382</v>
      </c>
      <c r="CJ132" s="38">
        <f>Inputs!$D$33</f>
        <v>1500</v>
      </c>
      <c r="CK132" s="38">
        <f t="shared" si="82"/>
        <v>309882.19855221367</v>
      </c>
      <c r="CL132" s="38">
        <f t="shared" si="83"/>
        <v>0</v>
      </c>
      <c r="CM132" s="38">
        <f>Inputs!$D$19*(1-Inputs!$C$72*$H132)+Inputs!$D$21+Inputs!$B$72*$J132</f>
        <v>392150</v>
      </c>
      <c r="CN132" s="38">
        <f t="shared" si="84"/>
        <v>-82267.801447786333</v>
      </c>
      <c r="CO132" s="38">
        <f t="shared" si="85"/>
        <v>1</v>
      </c>
      <c r="CP132" s="38">
        <f>MAX(0,MIN(Inputs!$B$36,CU131,CQ132+CR132+CS132+Inputs!$B$6-CT131))</f>
        <v>0</v>
      </c>
      <c r="CQ132" s="38">
        <f>Inputs!$B$27*(1+Inputs!$B$28)^($A132/12)*IF(Inputs!$B$73=1,$G132,1)*(1-Inputs!$C$73*$H132*(1-Inputs!$E$54*Inputs!$B$73))*(1+$I132)*IF(Inputs!$B$29=0,1,(MAX(CT131,0)/Inputs!$B$6)^Inputs!$B$29)</f>
        <v>20719.481207056466</v>
      </c>
      <c r="CR132" s="38">
        <f>Inputs!$B$32*CT131/Inputs!$B$6</f>
        <v>0</v>
      </c>
      <c r="CS132" s="38">
        <f>Inputs!$B$33</f>
        <v>2500</v>
      </c>
      <c r="CT132" s="38">
        <f t="shared" si="86"/>
        <v>0</v>
      </c>
      <c r="CU132" s="38">
        <f t="shared" si="87"/>
        <v>0</v>
      </c>
      <c r="CV132" s="38">
        <f>Inputs!$B$19*(1-Inputs!$C$73*$H132)+Inputs!$B$21+Inputs!$B$73*$J132</f>
        <v>583500</v>
      </c>
      <c r="CW132" s="38">
        <f t="shared" si="88"/>
        <v>-583500</v>
      </c>
      <c r="CX132" s="38">
        <f t="shared" si="89"/>
        <v>1</v>
      </c>
      <c r="CY132" s="38">
        <f>MAX(0,MIN(Inputs!$C$36,DD131,CZ132+DA132+DB132+Inputs!$C$6-DC131))</f>
        <v>0</v>
      </c>
      <c r="CZ132" s="38">
        <f>Inputs!$C$27*(1+Inputs!$C$28)^($A132/12)*IF(Inputs!$B$73=1,$G132,1)*(1-Inputs!$C$73*$H132*(1-Inputs!$E$54*Inputs!$B$73))*(1+$I132)*IF(Inputs!$C$29=0,1,(MAX(DC131,0)/Inputs!$C$6)^Inputs!$C$29)</f>
        <v>0</v>
      </c>
      <c r="DA132" s="38">
        <f>Inputs!$C$32*DC131/Inputs!$C$6</f>
        <v>0</v>
      </c>
      <c r="DB132" s="38">
        <f>Inputs!$C$33</f>
        <v>2000</v>
      </c>
      <c r="DC132" s="38">
        <f t="shared" si="90"/>
        <v>0</v>
      </c>
      <c r="DD132" s="38">
        <f t="shared" si="91"/>
        <v>0</v>
      </c>
      <c r="DE132" s="38">
        <f>Inputs!$C$19*(1-Inputs!$C$73*$H132)+Inputs!$C$21+Inputs!$B$73*$J132</f>
        <v>486000</v>
      </c>
      <c r="DF132" s="38">
        <f t="shared" si="92"/>
        <v>-486000</v>
      </c>
      <c r="DG132" s="38">
        <f t="shared" si="93"/>
        <v>1</v>
      </c>
      <c r="DH132" s="38">
        <f>MAX(0,MIN(Inputs!$D$36,DM131,DI132+DJ132+DK132+Inputs!$D$6-DL131))</f>
        <v>0</v>
      </c>
      <c r="DI132" s="38">
        <f>Inputs!$D$27*(1+Inputs!$D$28)^($A132/12)*IF(Inputs!$B$73=1,$G132,1)*(1-Inputs!$C$73*$H132*(1-Inputs!$E$54*Inputs!$B$73))*(1+$I132)*IF(Inputs!$D$29=0,1,(MAX(DL131,0)/Inputs!$D$6)^Inputs!$D$29)</f>
        <v>3111.0285954566298</v>
      </c>
      <c r="DJ132" s="38">
        <f>Inputs!$D$32*DL131/Inputs!$D$6</f>
        <v>1772.172170612818</v>
      </c>
      <c r="DK132" s="38">
        <f>Inputs!$D$33</f>
        <v>1500</v>
      </c>
      <c r="DL132" s="38">
        <f t="shared" si="94"/>
        <v>364929.06355280668</v>
      </c>
      <c r="DM132" s="38">
        <f t="shared" si="95"/>
        <v>0</v>
      </c>
      <c r="DN132" s="38">
        <f>Inputs!$D$19*(1-Inputs!$C$73*$H132)+Inputs!$D$21+Inputs!$B$73*$J132</f>
        <v>398150</v>
      </c>
      <c r="DO132" s="38">
        <f t="shared" si="96"/>
        <v>-33220.936447193322</v>
      </c>
      <c r="DP132" s="38">
        <f t="shared" si="97"/>
        <v>1</v>
      </c>
    </row>
    <row r="133" spans="1:120" x14ac:dyDescent="0.35">
      <c r="A133" s="29">
        <v>128</v>
      </c>
      <c r="B133" s="34">
        <f>EDATE(Inputs!$B$67,$A133)</f>
        <v>50161</v>
      </c>
      <c r="C133" s="35">
        <f>IF(Inputs!$E$47&lt;=0,Inputs!$E$46,Inputs!$E$44+(Inputs!$E$46-Inputs!$E$44)*MIN($A133/Inputs!$E$47,1))</f>
        <v>0.7</v>
      </c>
      <c r="D133" s="35">
        <f>MIN(Inputs!$E$57,Inputs!$E$55*(1+Inputs!$E$56)^($A133/12))*Inputs!$E$58*(1+Inputs!$E$59)^($A133/12)/Inputs!$E$45</f>
        <v>1.5</v>
      </c>
      <c r="E133" s="35">
        <f>MAX(Inputs!$E$44,MIN(C133,D133))</f>
        <v>0.7</v>
      </c>
      <c r="F133" s="35">
        <f>IF(Inputs!$E$50&lt;=0,Inputs!$E$49,Inputs!$E$48+(Inputs!$E$49-Inputs!$E$48)*MIN($A133/Inputs!$E$50,1))</f>
        <v>0.12</v>
      </c>
      <c r="G133" s="36">
        <f>(Inputs!$E$41*(1-E133*Inputs!$E$51)+Inputs!$E$42*(1-F133*Inputs!$E$51))/(Inputs!$E$41*(1-Inputs!$E$44*Inputs!$E$51)+Inputs!$E$42*(1-Inputs!$E$48*Inputs!$E$51))</f>
        <v>0.8423127463863338</v>
      </c>
      <c r="H133" s="35">
        <f>IF(Inputs!$E$53&lt;=0,Inputs!$E$52,Inputs!$E$52*MIN($A133/Inputs!$E$53,1))</f>
        <v>0.1</v>
      </c>
      <c r="I133" s="35">
        <f>IF(Inputs!$E$64&lt;=0,Inputs!$E$63,Inputs!$E$62+(Inputs!$E$63-Inputs!$E$62)*MIN($A133/Inputs!$E$64,1))</f>
        <v>0.03</v>
      </c>
      <c r="J133" s="37">
        <f>(E133-Inputs!$E$44)*Inputs!$E$45/Inputs!$E$60*Inputs!$E$61</f>
        <v>5999.9999999999991</v>
      </c>
      <c r="K133" s="29">
        <f t="shared" si="49"/>
        <v>0</v>
      </c>
      <c r="L133" s="29"/>
      <c r="M133" s="38">
        <f>MAX(0,MIN(Inputs!$B$36,R132,N133+O133+P133+Inputs!$B$6-Q132))</f>
        <v>0</v>
      </c>
      <c r="N133" s="38">
        <f>Inputs!$B$27*(1+Inputs!$B$28)^($A133/12)*IF(Inputs!$B$70=1,$G133,1)*(1-Inputs!$C$70*$H133*(1-Inputs!$E$54*Inputs!$B$70))*(1+$I133)*IF(Inputs!$B$29=0,1,(MAX(Q132,0)/Inputs!$B$6)^Inputs!$B$29)</f>
        <v>25998.463006799797</v>
      </c>
      <c r="O133" s="38">
        <f>Inputs!$B$32*Q132/Inputs!$B$6</f>
        <v>0</v>
      </c>
      <c r="P133" s="38">
        <f>Inputs!$B$33</f>
        <v>2500</v>
      </c>
      <c r="Q133" s="38">
        <f t="shared" si="50"/>
        <v>0</v>
      </c>
      <c r="R133" s="38">
        <f t="shared" si="51"/>
        <v>0</v>
      </c>
      <c r="S133" s="38">
        <f>Inputs!$B$19*(1-Inputs!$C$70*$H133)+Inputs!$B$21+Inputs!$B$70*$J133</f>
        <v>595000</v>
      </c>
      <c r="T133" s="38">
        <f t="shared" si="52"/>
        <v>-595000</v>
      </c>
      <c r="U133" s="38">
        <f t="shared" si="53"/>
        <v>1</v>
      </c>
      <c r="V133" s="38">
        <f>MAX(0,MIN(Inputs!$C$36,AA132,W133+X133+Y133+Inputs!$C$6-Z132))</f>
        <v>0</v>
      </c>
      <c r="W133" s="38">
        <f>Inputs!$C$27*(1+Inputs!$C$28)^($A133/12)*IF(Inputs!$B$70=1,$G133,1)*(1-Inputs!$C$70*$H133*(1-Inputs!$E$54*Inputs!$B$70))*(1+$I133)*IF(Inputs!$C$29=0,1,(MAX(Z132,0)/Inputs!$C$6)^Inputs!$C$29)</f>
        <v>0</v>
      </c>
      <c r="X133" s="38">
        <f>Inputs!$C$32*Z132/Inputs!$C$6</f>
        <v>0</v>
      </c>
      <c r="Y133" s="38">
        <f>Inputs!$C$33</f>
        <v>2000</v>
      </c>
      <c r="Z133" s="38">
        <f t="shared" si="54"/>
        <v>0</v>
      </c>
      <c r="AA133" s="38">
        <f t="shared" si="55"/>
        <v>0</v>
      </c>
      <c r="AB133" s="38">
        <f>Inputs!$C$19*(1-Inputs!$C$70*$H133)+Inputs!$C$21+Inputs!$B$70*$J133</f>
        <v>495000</v>
      </c>
      <c r="AC133" s="38">
        <f t="shared" si="56"/>
        <v>-495000</v>
      </c>
      <c r="AD133" s="38">
        <f t="shared" si="57"/>
        <v>1</v>
      </c>
      <c r="AE133" s="38">
        <f>MAX(0,MIN(Inputs!$D$36,AJ132,AF133+AG133+AH133+Inputs!$D$6-AI132))</f>
        <v>0</v>
      </c>
      <c r="AF133" s="38">
        <f>Inputs!$D$27*(1+Inputs!$D$28)^($A133/12)*IF(Inputs!$B$70=1,$G133,1)*(1-Inputs!$C$70*$H133*(1-Inputs!$E$54*Inputs!$B$70))*(1+$I133)*IF(Inputs!$D$29=0,1,(MAX(AI132,0)/Inputs!$D$6)^Inputs!$D$29)</f>
        <v>3279.2330701199439</v>
      </c>
      <c r="AG133" s="38">
        <f>Inputs!$D$32*AI132/Inputs!$D$6</f>
        <v>1271.5960346983691</v>
      </c>
      <c r="AH133" s="38">
        <f>Inputs!$D$33</f>
        <v>1500</v>
      </c>
      <c r="AI133" s="38">
        <f t="shared" si="58"/>
        <v>260378.81626055425</v>
      </c>
      <c r="AJ133" s="38">
        <f t="shared" si="59"/>
        <v>0</v>
      </c>
      <c r="AK133" s="38">
        <f>Inputs!$D$19*(1-Inputs!$C$70*$H133)+Inputs!$D$21+Inputs!$B$70*$J133</f>
        <v>404800</v>
      </c>
      <c r="AL133" s="38">
        <f t="shared" si="60"/>
        <v>-144421.18373944575</v>
      </c>
      <c r="AM133" s="38">
        <f t="shared" si="61"/>
        <v>1</v>
      </c>
      <c r="AN133" s="38">
        <f>MAX(0,MIN(Inputs!$B$36,AS132,AO133+AP133+AQ133+Inputs!$B$6-AR132))</f>
        <v>0</v>
      </c>
      <c r="AO133" s="38">
        <f>Inputs!$B$27*(1+Inputs!$B$28)^($A133/12)*IF(Inputs!$B$71=1,$G133,1)*(1-Inputs!$C$71*$H133*(1-Inputs!$E$54*Inputs!$B$71))*(1+$I133)*IF(Inputs!$B$29=0,1,(MAX(AR132,0)/Inputs!$B$6)^Inputs!$B$29)</f>
        <v>21898.83677708104</v>
      </c>
      <c r="AP133" s="38">
        <f>Inputs!$B$32*AR132/Inputs!$B$6</f>
        <v>0</v>
      </c>
      <c r="AQ133" s="38">
        <f>Inputs!$B$33</f>
        <v>2500</v>
      </c>
      <c r="AR133" s="38">
        <f t="shared" si="62"/>
        <v>0</v>
      </c>
      <c r="AS133" s="38">
        <f t="shared" si="63"/>
        <v>0</v>
      </c>
      <c r="AT133" s="38">
        <f>Inputs!$B$19*(1-Inputs!$C$71*$H133)+Inputs!$B$21+Inputs!$B$71*$J133</f>
        <v>601000</v>
      </c>
      <c r="AU133" s="38">
        <f t="shared" si="64"/>
        <v>-601000</v>
      </c>
      <c r="AV133" s="38">
        <f t="shared" si="65"/>
        <v>1</v>
      </c>
      <c r="AW133" s="38">
        <f>MAX(0,MIN(Inputs!$C$36,BB132,AX133+AY133+AZ133+Inputs!$C$6-BA132))</f>
        <v>0</v>
      </c>
      <c r="AX133" s="38">
        <f>Inputs!$C$27*(1+Inputs!$C$28)^($A133/12)*IF(Inputs!$B$71=1,$G133,1)*(1-Inputs!$C$71*$H133*(1-Inputs!$E$54*Inputs!$B$71))*(1+$I133)*IF(Inputs!$C$29=0,1,(MAX(BA132,0)/Inputs!$C$6)^Inputs!$C$29)</f>
        <v>0</v>
      </c>
      <c r="AY133" s="38">
        <f>Inputs!$C$32*BA132/Inputs!$C$6</f>
        <v>0</v>
      </c>
      <c r="AZ133" s="38">
        <f>Inputs!$C$33</f>
        <v>2000</v>
      </c>
      <c r="BA133" s="38">
        <f t="shared" si="66"/>
        <v>0</v>
      </c>
      <c r="BB133" s="38">
        <f t="shared" si="67"/>
        <v>0</v>
      </c>
      <c r="BC133" s="38">
        <f>Inputs!$C$19*(1-Inputs!$C$71*$H133)+Inputs!$C$21+Inputs!$B$71*$J133</f>
        <v>501000</v>
      </c>
      <c r="BD133" s="38">
        <f t="shared" si="68"/>
        <v>-501000</v>
      </c>
      <c r="BE133" s="38">
        <f t="shared" si="69"/>
        <v>1</v>
      </c>
      <c r="BF133" s="38">
        <f>MAX(0,MIN(Inputs!$D$36,BK132,BG133+BH133+BI133+Inputs!$D$6-BJ132))</f>
        <v>0</v>
      </c>
      <c r="BG133" s="38">
        <f>Inputs!$D$27*(1+Inputs!$D$28)^($A133/12)*IF(Inputs!$B$71=1,$G133,1)*(1-Inputs!$C$71*$H133*(1-Inputs!$E$54*Inputs!$B$71))*(1+$I133)*IF(Inputs!$D$29=0,1,(MAX(BJ132,0)/Inputs!$D$6)^Inputs!$D$29)</f>
        <v>3141.5488273136884</v>
      </c>
      <c r="BH133" s="38">
        <f>Inputs!$D$32*BJ132/Inputs!$D$6</f>
        <v>1644.9226378763453</v>
      </c>
      <c r="BI133" s="38">
        <f>Inputs!$D$33</f>
        <v>1500</v>
      </c>
      <c r="BJ133" s="38">
        <f t="shared" si="70"/>
        <v>338363.98599461565</v>
      </c>
      <c r="BK133" s="38">
        <f t="shared" si="71"/>
        <v>0</v>
      </c>
      <c r="BL133" s="38">
        <f>Inputs!$D$19*(1-Inputs!$C$71*$H133)+Inputs!$D$21+Inputs!$B$71*$J133</f>
        <v>410800</v>
      </c>
      <c r="BM133" s="38">
        <f t="shared" si="72"/>
        <v>-72436.01400538435</v>
      </c>
      <c r="BN133" s="38">
        <f t="shared" si="73"/>
        <v>1</v>
      </c>
      <c r="BO133" s="38">
        <f>MAX(0,MIN(Inputs!$B$36,BT132,BP133+BQ133+BR133+Inputs!$B$6-BS132))</f>
        <v>0</v>
      </c>
      <c r="BP133" s="38">
        <f>Inputs!$B$27*(1+Inputs!$B$28)^($A133/12)*IF(Inputs!$B$72=1,$G133,1)*(1-Inputs!$C$72*$H133*(1-Inputs!$E$54*Inputs!$B$72))*(1+$I133)*IF(Inputs!$B$29=0,1,(MAX(BS132,0)/Inputs!$B$6)^Inputs!$B$29)</f>
        <v>23398.616706119818</v>
      </c>
      <c r="BQ133" s="38">
        <f>Inputs!$B$32*BS132/Inputs!$B$6</f>
        <v>0</v>
      </c>
      <c r="BR133" s="38">
        <f>Inputs!$B$33</f>
        <v>2500</v>
      </c>
      <c r="BS133" s="38">
        <f t="shared" si="74"/>
        <v>0</v>
      </c>
      <c r="BT133" s="38">
        <f t="shared" si="75"/>
        <v>0</v>
      </c>
      <c r="BU133" s="38">
        <f>Inputs!$B$19*(1-Inputs!$C$72*$H133)+Inputs!$B$21+Inputs!$B$72*$J133</f>
        <v>577500</v>
      </c>
      <c r="BV133" s="38">
        <f t="shared" si="76"/>
        <v>-577500</v>
      </c>
      <c r="BW133" s="38">
        <f t="shared" si="77"/>
        <v>1</v>
      </c>
      <c r="BX133" s="38">
        <f>MAX(0,MIN(Inputs!$C$36,CC132,BY133+BZ133+CA133+Inputs!$C$6-CB132))</f>
        <v>0</v>
      </c>
      <c r="BY133" s="38">
        <f>Inputs!$C$27*(1+Inputs!$C$28)^($A133/12)*IF(Inputs!$B$72=1,$G133,1)*(1-Inputs!$C$72*$H133*(1-Inputs!$E$54*Inputs!$B$72))*(1+$I133)*IF(Inputs!$C$29=0,1,(MAX(CB132,0)/Inputs!$C$6)^Inputs!$C$29)</f>
        <v>0</v>
      </c>
      <c r="BZ133" s="38">
        <f>Inputs!$C$32*CB132/Inputs!$C$6</f>
        <v>0</v>
      </c>
      <c r="CA133" s="38">
        <f>Inputs!$C$33</f>
        <v>2000</v>
      </c>
      <c r="CB133" s="38">
        <f t="shared" si="78"/>
        <v>0</v>
      </c>
      <c r="CC133" s="38">
        <f t="shared" si="79"/>
        <v>0</v>
      </c>
      <c r="CD133" s="38">
        <f>Inputs!$C$19*(1-Inputs!$C$72*$H133)+Inputs!$C$21+Inputs!$B$72*$J133</f>
        <v>480000</v>
      </c>
      <c r="CE133" s="38">
        <f t="shared" si="80"/>
        <v>-480000</v>
      </c>
      <c r="CF133" s="38">
        <f t="shared" si="81"/>
        <v>1</v>
      </c>
      <c r="CG133" s="38">
        <f>MAX(0,MIN(Inputs!$D$36,CL132,CH133+CI133+CJ133+Inputs!$D$6-CK132))</f>
        <v>0</v>
      </c>
      <c r="CH133" s="38">
        <f>Inputs!$D$27*(1+Inputs!$D$28)^($A133/12)*IF(Inputs!$B$72=1,$G133,1)*(1-Inputs!$C$72*$H133*(1-Inputs!$E$54*Inputs!$B$72))*(1+$I133)*IF(Inputs!$D$29=0,1,(MAX(CK132,0)/Inputs!$D$6)^Inputs!$D$29)</f>
        <v>3182.8915072852305</v>
      </c>
      <c r="CI133" s="38">
        <f>Inputs!$D$32*CK132/Inputs!$D$6</f>
        <v>1478.983220362838</v>
      </c>
      <c r="CJ133" s="38">
        <f>Inputs!$D$33</f>
        <v>1500</v>
      </c>
      <c r="CK133" s="38">
        <f t="shared" si="82"/>
        <v>303720.32382456557</v>
      </c>
      <c r="CL133" s="38">
        <f t="shared" si="83"/>
        <v>0</v>
      </c>
      <c r="CM133" s="38">
        <f>Inputs!$D$19*(1-Inputs!$C$72*$H133)+Inputs!$D$21+Inputs!$B$72*$J133</f>
        <v>392150</v>
      </c>
      <c r="CN133" s="38">
        <f t="shared" si="84"/>
        <v>-88429.676175434433</v>
      </c>
      <c r="CO133" s="38">
        <f t="shared" si="85"/>
        <v>1</v>
      </c>
      <c r="CP133" s="38">
        <f>MAX(0,MIN(Inputs!$B$36,CU132,CQ133+CR133+CS133+Inputs!$B$6-CT132))</f>
        <v>0</v>
      </c>
      <c r="CQ133" s="38">
        <f>Inputs!$B$27*(1+Inputs!$B$28)^($A133/12)*IF(Inputs!$B$73=1,$G133,1)*(1-Inputs!$C$73*$H133*(1-Inputs!$E$54*Inputs!$B$73))*(1+$I133)*IF(Inputs!$B$29=0,1,(MAX(CT132,0)/Inputs!$B$6)^Inputs!$B$29)</f>
        <v>20803.894938226986</v>
      </c>
      <c r="CR133" s="38">
        <f>Inputs!$B$32*CT132/Inputs!$B$6</f>
        <v>0</v>
      </c>
      <c r="CS133" s="38">
        <f>Inputs!$B$33</f>
        <v>2500</v>
      </c>
      <c r="CT133" s="38">
        <f t="shared" si="86"/>
        <v>0</v>
      </c>
      <c r="CU133" s="38">
        <f t="shared" si="87"/>
        <v>0</v>
      </c>
      <c r="CV133" s="38">
        <f>Inputs!$B$19*(1-Inputs!$C$73*$H133)+Inputs!$B$21+Inputs!$B$73*$J133</f>
        <v>583500</v>
      </c>
      <c r="CW133" s="38">
        <f t="shared" si="88"/>
        <v>-583500</v>
      </c>
      <c r="CX133" s="38">
        <f t="shared" si="89"/>
        <v>1</v>
      </c>
      <c r="CY133" s="38">
        <f>MAX(0,MIN(Inputs!$C$36,DD132,CZ133+DA133+DB133+Inputs!$C$6-DC132))</f>
        <v>0</v>
      </c>
      <c r="CZ133" s="38">
        <f>Inputs!$C$27*(1+Inputs!$C$28)^($A133/12)*IF(Inputs!$B$73=1,$G133,1)*(1-Inputs!$C$73*$H133*(1-Inputs!$E$54*Inputs!$B$73))*(1+$I133)*IF(Inputs!$C$29=0,1,(MAX(DC132,0)/Inputs!$C$6)^Inputs!$C$29)</f>
        <v>0</v>
      </c>
      <c r="DA133" s="38">
        <f>Inputs!$C$32*DC132/Inputs!$C$6</f>
        <v>0</v>
      </c>
      <c r="DB133" s="38">
        <f>Inputs!$C$33</f>
        <v>2000</v>
      </c>
      <c r="DC133" s="38">
        <f t="shared" si="90"/>
        <v>0</v>
      </c>
      <c r="DD133" s="38">
        <f t="shared" si="91"/>
        <v>0</v>
      </c>
      <c r="DE133" s="38">
        <f>Inputs!$C$19*(1-Inputs!$C$73*$H133)+Inputs!$C$21+Inputs!$B$73*$J133</f>
        <v>486000</v>
      </c>
      <c r="DF133" s="38">
        <f t="shared" si="92"/>
        <v>-486000</v>
      </c>
      <c r="DG133" s="38">
        <f t="shared" si="93"/>
        <v>1</v>
      </c>
      <c r="DH133" s="38">
        <f>MAX(0,MIN(Inputs!$D$36,DM132,DI133+DJ133+DK133+Inputs!$D$6-DL132))</f>
        <v>0</v>
      </c>
      <c r="DI133" s="38">
        <f>Inputs!$D$27*(1+Inputs!$D$28)^($A133/12)*IF(Inputs!$B$73=1,$G133,1)*(1-Inputs!$C$73*$H133*(1-Inputs!$E$54*Inputs!$B$73))*(1+$I133)*IF(Inputs!$D$29=0,1,(MAX(DL132,0)/Inputs!$D$6)^Inputs!$D$29)</f>
        <v>3071.0169684798338</v>
      </c>
      <c r="DJ133" s="38">
        <f>Inputs!$D$32*DL132/Inputs!$D$6</f>
        <v>1741.7068942293045</v>
      </c>
      <c r="DK133" s="38">
        <f>Inputs!$D$33</f>
        <v>1500</v>
      </c>
      <c r="DL133" s="38">
        <f t="shared" si="94"/>
        <v>358616.33969009755</v>
      </c>
      <c r="DM133" s="38">
        <f t="shared" si="95"/>
        <v>0</v>
      </c>
      <c r="DN133" s="38">
        <f>Inputs!$D$19*(1-Inputs!$C$73*$H133)+Inputs!$D$21+Inputs!$B$73*$J133</f>
        <v>398150</v>
      </c>
      <c r="DO133" s="38">
        <f t="shared" si="96"/>
        <v>-39533.660309902451</v>
      </c>
      <c r="DP133" s="38">
        <f t="shared" si="97"/>
        <v>1</v>
      </c>
    </row>
    <row r="134" spans="1:120" x14ac:dyDescent="0.35">
      <c r="A134" s="29">
        <v>129</v>
      </c>
      <c r="B134" s="34">
        <f>EDATE(Inputs!$B$67,$A134)</f>
        <v>50192</v>
      </c>
      <c r="C134" s="35">
        <f>IF(Inputs!$E$47&lt;=0,Inputs!$E$46,Inputs!$E$44+(Inputs!$E$46-Inputs!$E$44)*MIN($A134/Inputs!$E$47,1))</f>
        <v>0.7</v>
      </c>
      <c r="D134" s="35">
        <f>MIN(Inputs!$E$57,Inputs!$E$55*(1+Inputs!$E$56)^($A134/12))*Inputs!$E$58*(1+Inputs!$E$59)^($A134/12)/Inputs!$E$45</f>
        <v>1.5</v>
      </c>
      <c r="E134" s="35">
        <f>MAX(Inputs!$E$44,MIN(C134,D134))</f>
        <v>0.7</v>
      </c>
      <c r="F134" s="35">
        <f>IF(Inputs!$E$50&lt;=0,Inputs!$E$49,Inputs!$E$48+(Inputs!$E$49-Inputs!$E$48)*MIN($A134/Inputs!$E$50,1))</f>
        <v>0.12</v>
      </c>
      <c r="G134" s="36">
        <f>(Inputs!$E$41*(1-E134*Inputs!$E$51)+Inputs!$E$42*(1-F134*Inputs!$E$51))/(Inputs!$E$41*(1-Inputs!$E$44*Inputs!$E$51)+Inputs!$E$42*(1-Inputs!$E$48*Inputs!$E$51))</f>
        <v>0.8423127463863338</v>
      </c>
      <c r="H134" s="35">
        <f>IF(Inputs!$E$53&lt;=0,Inputs!$E$52,Inputs!$E$52*MIN($A134/Inputs!$E$53,1))</f>
        <v>0.1</v>
      </c>
      <c r="I134" s="35">
        <f>IF(Inputs!$E$64&lt;=0,Inputs!$E$63,Inputs!$E$62+(Inputs!$E$63-Inputs!$E$62)*MIN($A134/Inputs!$E$64,1))</f>
        <v>0.03</v>
      </c>
      <c r="J134" s="37">
        <f>(E134-Inputs!$E$44)*Inputs!$E$45/Inputs!$E$60*Inputs!$E$61</f>
        <v>5999.9999999999991</v>
      </c>
      <c r="K134" s="29">
        <f t="shared" ref="K134:K197" si="98">IF(D134&lt;C134,1,0)</f>
        <v>0</v>
      </c>
      <c r="L134" s="29"/>
      <c r="M134" s="38">
        <f>MAX(0,MIN(Inputs!$B$36,R133,N134+O134+P134+Inputs!$B$6-Q133))</f>
        <v>0</v>
      </c>
      <c r="N134" s="38">
        <f>Inputs!$B$27*(1+Inputs!$B$28)^($A134/12)*IF(Inputs!$B$70=1,$G134,1)*(1-Inputs!$C$70*$H134*(1-Inputs!$E$54*Inputs!$B$70))*(1+$I134)*IF(Inputs!$B$29=0,1,(MAX(Q133,0)/Inputs!$B$6)^Inputs!$B$29)</f>
        <v>26104.383963274104</v>
      </c>
      <c r="O134" s="38">
        <f>Inputs!$B$32*Q133/Inputs!$B$6</f>
        <v>0</v>
      </c>
      <c r="P134" s="38">
        <f>Inputs!$B$33</f>
        <v>2500</v>
      </c>
      <c r="Q134" s="38">
        <f t="shared" si="50"/>
        <v>0</v>
      </c>
      <c r="R134" s="38">
        <f t="shared" si="51"/>
        <v>0</v>
      </c>
      <c r="S134" s="38">
        <f>Inputs!$B$19*(1-Inputs!$C$70*$H134)+Inputs!$B$21+Inputs!$B$70*$J134</f>
        <v>595000</v>
      </c>
      <c r="T134" s="38">
        <f t="shared" si="52"/>
        <v>-595000</v>
      </c>
      <c r="U134" s="38">
        <f t="shared" si="53"/>
        <v>1</v>
      </c>
      <c r="V134" s="38">
        <f>MAX(0,MIN(Inputs!$C$36,AA133,W134+X134+Y134+Inputs!$C$6-Z133))</f>
        <v>0</v>
      </c>
      <c r="W134" s="38">
        <f>Inputs!$C$27*(1+Inputs!$C$28)^($A134/12)*IF(Inputs!$B$70=1,$G134,1)*(1-Inputs!$C$70*$H134*(1-Inputs!$E$54*Inputs!$B$70))*(1+$I134)*IF(Inputs!$C$29=0,1,(MAX(Z133,0)/Inputs!$C$6)^Inputs!$C$29)</f>
        <v>0</v>
      </c>
      <c r="X134" s="38">
        <f>Inputs!$C$32*Z133/Inputs!$C$6</f>
        <v>0</v>
      </c>
      <c r="Y134" s="38">
        <f>Inputs!$C$33</f>
        <v>2000</v>
      </c>
      <c r="Z134" s="38">
        <f t="shared" si="54"/>
        <v>0</v>
      </c>
      <c r="AA134" s="38">
        <f t="shared" si="55"/>
        <v>0</v>
      </c>
      <c r="AB134" s="38">
        <f>Inputs!$C$19*(1-Inputs!$C$70*$H134)+Inputs!$C$21+Inputs!$B$70*$J134</f>
        <v>495000</v>
      </c>
      <c r="AC134" s="38">
        <f t="shared" si="56"/>
        <v>-495000</v>
      </c>
      <c r="AD134" s="38">
        <f t="shared" si="57"/>
        <v>1</v>
      </c>
      <c r="AE134" s="38">
        <f>MAX(0,MIN(Inputs!$D$36,AJ133,AF134+AG134+AH134+Inputs!$D$6-AI133))</f>
        <v>0</v>
      </c>
      <c r="AF134" s="38">
        <f>Inputs!$D$27*(1+Inputs!$D$28)^($A134/12)*IF(Inputs!$B$70=1,$G134,1)*(1-Inputs!$C$70*$H134*(1-Inputs!$E$54*Inputs!$B$70))*(1+$I134)*IF(Inputs!$D$29=0,1,(MAX(AI133,0)/Inputs!$D$6)^Inputs!$D$29)</f>
        <v>3227.9549844182711</v>
      </c>
      <c r="AG134" s="38">
        <f>Inputs!$D$32*AI133/Inputs!$D$6</f>
        <v>1242.7170776071905</v>
      </c>
      <c r="AH134" s="38">
        <f>Inputs!$D$33</f>
        <v>1500</v>
      </c>
      <c r="AI134" s="38">
        <f t="shared" si="58"/>
        <v>254408.14419852878</v>
      </c>
      <c r="AJ134" s="38">
        <f t="shared" si="59"/>
        <v>0</v>
      </c>
      <c r="AK134" s="38">
        <f>Inputs!$D$19*(1-Inputs!$C$70*$H134)+Inputs!$D$21+Inputs!$B$70*$J134</f>
        <v>404800</v>
      </c>
      <c r="AL134" s="38">
        <f t="shared" si="60"/>
        <v>-150391.85580147122</v>
      </c>
      <c r="AM134" s="38">
        <f t="shared" si="61"/>
        <v>1</v>
      </c>
      <c r="AN134" s="38">
        <f>MAX(0,MIN(Inputs!$B$36,AS133,AO134+AP134+AQ134+Inputs!$B$6-AR133))</f>
        <v>0</v>
      </c>
      <c r="AO134" s="38">
        <f>Inputs!$B$27*(1+Inputs!$B$28)^($A134/12)*IF(Inputs!$B$71=1,$G134,1)*(1-Inputs!$C$71*$H134*(1-Inputs!$E$54*Inputs!$B$71))*(1+$I134)*IF(Inputs!$B$29=0,1,(MAX(AR133,0)/Inputs!$B$6)^Inputs!$B$29)</f>
        <v>21988.055348828781</v>
      </c>
      <c r="AP134" s="38">
        <f>Inputs!$B$32*AR133/Inputs!$B$6</f>
        <v>0</v>
      </c>
      <c r="AQ134" s="38">
        <f>Inputs!$B$33</f>
        <v>2500</v>
      </c>
      <c r="AR134" s="38">
        <f t="shared" si="62"/>
        <v>0</v>
      </c>
      <c r="AS134" s="38">
        <f t="shared" si="63"/>
        <v>0</v>
      </c>
      <c r="AT134" s="38">
        <f>Inputs!$B$19*(1-Inputs!$C$71*$H134)+Inputs!$B$21+Inputs!$B$71*$J134</f>
        <v>601000</v>
      </c>
      <c r="AU134" s="38">
        <f t="shared" si="64"/>
        <v>-601000</v>
      </c>
      <c r="AV134" s="38">
        <f t="shared" si="65"/>
        <v>1</v>
      </c>
      <c r="AW134" s="38">
        <f>MAX(0,MIN(Inputs!$C$36,BB133,AX134+AY134+AZ134+Inputs!$C$6-BA133))</f>
        <v>0</v>
      </c>
      <c r="AX134" s="38">
        <f>Inputs!$C$27*(1+Inputs!$C$28)^($A134/12)*IF(Inputs!$B$71=1,$G134,1)*(1-Inputs!$C$71*$H134*(1-Inputs!$E$54*Inputs!$B$71))*(1+$I134)*IF(Inputs!$C$29=0,1,(MAX(BA133,0)/Inputs!$C$6)^Inputs!$C$29)</f>
        <v>0</v>
      </c>
      <c r="AY134" s="38">
        <f>Inputs!$C$32*BA133/Inputs!$C$6</f>
        <v>0</v>
      </c>
      <c r="AZ134" s="38">
        <f>Inputs!$C$33</f>
        <v>2000</v>
      </c>
      <c r="BA134" s="38">
        <f t="shared" si="66"/>
        <v>0</v>
      </c>
      <c r="BB134" s="38">
        <f t="shared" si="67"/>
        <v>0</v>
      </c>
      <c r="BC134" s="38">
        <f>Inputs!$C$19*(1-Inputs!$C$71*$H134)+Inputs!$C$21+Inputs!$B$71*$J134</f>
        <v>501000</v>
      </c>
      <c r="BD134" s="38">
        <f t="shared" si="68"/>
        <v>-501000</v>
      </c>
      <c r="BE134" s="38">
        <f t="shared" si="69"/>
        <v>1</v>
      </c>
      <c r="BF134" s="38">
        <f>MAX(0,MIN(Inputs!$D$36,BK133,BG134+BH134+BI134+Inputs!$D$6-BJ133))</f>
        <v>0</v>
      </c>
      <c r="BG134" s="38">
        <f>Inputs!$D$27*(1+Inputs!$D$28)^($A134/12)*IF(Inputs!$B$71=1,$G134,1)*(1-Inputs!$C$71*$H134*(1-Inputs!$E$54*Inputs!$B$71))*(1+$I134)*IF(Inputs!$D$29=0,1,(MAX(BJ133,0)/Inputs!$D$6)^Inputs!$D$29)</f>
        <v>3099.4888932215208</v>
      </c>
      <c r="BH134" s="38">
        <f>Inputs!$D$32*BJ133/Inputs!$D$6</f>
        <v>1614.919024065211</v>
      </c>
      <c r="BI134" s="38">
        <f>Inputs!$D$33</f>
        <v>1500</v>
      </c>
      <c r="BJ134" s="38">
        <f t="shared" si="70"/>
        <v>332149.57807732892</v>
      </c>
      <c r="BK134" s="38">
        <f t="shared" si="71"/>
        <v>0</v>
      </c>
      <c r="BL134" s="38">
        <f>Inputs!$D$19*(1-Inputs!$C$71*$H134)+Inputs!$D$21+Inputs!$B$71*$J134</f>
        <v>410800</v>
      </c>
      <c r="BM134" s="38">
        <f t="shared" si="72"/>
        <v>-78650.421922671085</v>
      </c>
      <c r="BN134" s="38">
        <f t="shared" si="73"/>
        <v>1</v>
      </c>
      <c r="BO134" s="38">
        <f>MAX(0,MIN(Inputs!$B$36,BT133,BP134+BQ134+BR134+Inputs!$B$6-BS133))</f>
        <v>0</v>
      </c>
      <c r="BP134" s="38">
        <f>Inputs!$B$27*(1+Inputs!$B$28)^($A134/12)*IF(Inputs!$B$72=1,$G134,1)*(1-Inputs!$C$72*$H134*(1-Inputs!$E$54*Inputs!$B$72))*(1+$I134)*IF(Inputs!$B$29=0,1,(MAX(BS133,0)/Inputs!$B$6)^Inputs!$B$29)</f>
        <v>23493.945566946695</v>
      </c>
      <c r="BQ134" s="38">
        <f>Inputs!$B$32*BS133/Inputs!$B$6</f>
        <v>0</v>
      </c>
      <c r="BR134" s="38">
        <f>Inputs!$B$33</f>
        <v>2500</v>
      </c>
      <c r="BS134" s="38">
        <f t="shared" si="74"/>
        <v>0</v>
      </c>
      <c r="BT134" s="38">
        <f t="shared" si="75"/>
        <v>0</v>
      </c>
      <c r="BU134" s="38">
        <f>Inputs!$B$19*(1-Inputs!$C$72*$H134)+Inputs!$B$21+Inputs!$B$72*$J134</f>
        <v>577500</v>
      </c>
      <c r="BV134" s="38">
        <f t="shared" si="76"/>
        <v>-577500</v>
      </c>
      <c r="BW134" s="38">
        <f t="shared" si="77"/>
        <v>1</v>
      </c>
      <c r="BX134" s="38">
        <f>MAX(0,MIN(Inputs!$C$36,CC133,BY134+BZ134+CA134+Inputs!$C$6-CB133))</f>
        <v>0</v>
      </c>
      <c r="BY134" s="38">
        <f>Inputs!$C$27*(1+Inputs!$C$28)^($A134/12)*IF(Inputs!$B$72=1,$G134,1)*(1-Inputs!$C$72*$H134*(1-Inputs!$E$54*Inputs!$B$72))*(1+$I134)*IF(Inputs!$C$29=0,1,(MAX(CB133,0)/Inputs!$C$6)^Inputs!$C$29)</f>
        <v>0</v>
      </c>
      <c r="BZ134" s="38">
        <f>Inputs!$C$32*CB133/Inputs!$C$6</f>
        <v>0</v>
      </c>
      <c r="CA134" s="38">
        <f>Inputs!$C$33</f>
        <v>2000</v>
      </c>
      <c r="CB134" s="38">
        <f t="shared" si="78"/>
        <v>0</v>
      </c>
      <c r="CC134" s="38">
        <f t="shared" si="79"/>
        <v>0</v>
      </c>
      <c r="CD134" s="38">
        <f>Inputs!$C$19*(1-Inputs!$C$72*$H134)+Inputs!$C$21+Inputs!$B$72*$J134</f>
        <v>480000</v>
      </c>
      <c r="CE134" s="38">
        <f t="shared" si="80"/>
        <v>-480000</v>
      </c>
      <c r="CF134" s="38">
        <f t="shared" si="81"/>
        <v>1</v>
      </c>
      <c r="CG134" s="38">
        <f>MAX(0,MIN(Inputs!$D$36,CL133,CH134+CI134+CJ134+Inputs!$D$6-CK133))</f>
        <v>0</v>
      </c>
      <c r="CH134" s="38">
        <f>Inputs!$D$27*(1+Inputs!$D$28)^($A134/12)*IF(Inputs!$B$72=1,$G134,1)*(1-Inputs!$C$72*$H134*(1-Inputs!$E$54*Inputs!$B$72))*(1+$I134)*IF(Inputs!$D$29=0,1,(MAX(CK133,0)/Inputs!$D$6)^Inputs!$D$29)</f>
        <v>3137.6470015528521</v>
      </c>
      <c r="CI134" s="38">
        <f>Inputs!$D$32*CK133/Inputs!$D$6</f>
        <v>1449.574272799063</v>
      </c>
      <c r="CJ134" s="38">
        <f>Inputs!$D$33</f>
        <v>1500</v>
      </c>
      <c r="CK134" s="38">
        <f t="shared" si="82"/>
        <v>297633.10255021363</v>
      </c>
      <c r="CL134" s="38">
        <f t="shared" si="83"/>
        <v>0</v>
      </c>
      <c r="CM134" s="38">
        <f>Inputs!$D$19*(1-Inputs!$C$72*$H134)+Inputs!$D$21+Inputs!$B$72*$J134</f>
        <v>392150</v>
      </c>
      <c r="CN134" s="38">
        <f t="shared" si="84"/>
        <v>-94516.897449786367</v>
      </c>
      <c r="CO134" s="38">
        <f t="shared" si="85"/>
        <v>1</v>
      </c>
      <c r="CP134" s="38">
        <f>MAX(0,MIN(Inputs!$B$36,CU133,CQ134+CR134+CS134+Inputs!$B$6-CT133))</f>
        <v>0</v>
      </c>
      <c r="CQ134" s="38">
        <f>Inputs!$B$27*(1+Inputs!$B$28)^($A134/12)*IF(Inputs!$B$73=1,$G134,1)*(1-Inputs!$C$73*$H134*(1-Inputs!$E$54*Inputs!$B$73))*(1+$I134)*IF(Inputs!$B$29=0,1,(MAX(CT133,0)/Inputs!$B$6)^Inputs!$B$29)</f>
        <v>20888.652581387338</v>
      </c>
      <c r="CR134" s="38">
        <f>Inputs!$B$32*CT133/Inputs!$B$6</f>
        <v>0</v>
      </c>
      <c r="CS134" s="38">
        <f>Inputs!$B$33</f>
        <v>2500</v>
      </c>
      <c r="CT134" s="38">
        <f t="shared" si="86"/>
        <v>0</v>
      </c>
      <c r="CU134" s="38">
        <f t="shared" si="87"/>
        <v>0</v>
      </c>
      <c r="CV134" s="38">
        <f>Inputs!$B$19*(1-Inputs!$C$73*$H134)+Inputs!$B$21+Inputs!$B$73*$J134</f>
        <v>583500</v>
      </c>
      <c r="CW134" s="38">
        <f t="shared" si="88"/>
        <v>-583500</v>
      </c>
      <c r="CX134" s="38">
        <f t="shared" si="89"/>
        <v>1</v>
      </c>
      <c r="CY134" s="38">
        <f>MAX(0,MIN(Inputs!$C$36,DD133,CZ134+DA134+DB134+Inputs!$C$6-DC133))</f>
        <v>0</v>
      </c>
      <c r="CZ134" s="38">
        <f>Inputs!$C$27*(1+Inputs!$C$28)^($A134/12)*IF(Inputs!$B$73=1,$G134,1)*(1-Inputs!$C$73*$H134*(1-Inputs!$E$54*Inputs!$B$73))*(1+$I134)*IF(Inputs!$C$29=0,1,(MAX(DC133,0)/Inputs!$C$6)^Inputs!$C$29)</f>
        <v>0</v>
      </c>
      <c r="DA134" s="38">
        <f>Inputs!$C$32*DC133/Inputs!$C$6</f>
        <v>0</v>
      </c>
      <c r="DB134" s="38">
        <f>Inputs!$C$33</f>
        <v>2000</v>
      </c>
      <c r="DC134" s="38">
        <f t="shared" si="90"/>
        <v>0</v>
      </c>
      <c r="DD134" s="38">
        <f t="shared" si="91"/>
        <v>0</v>
      </c>
      <c r="DE134" s="38">
        <f>Inputs!$C$19*(1-Inputs!$C$73*$H134)+Inputs!$C$21+Inputs!$B$73*$J134</f>
        <v>486000</v>
      </c>
      <c r="DF134" s="38">
        <f t="shared" si="92"/>
        <v>-486000</v>
      </c>
      <c r="DG134" s="38">
        <f t="shared" si="93"/>
        <v>1</v>
      </c>
      <c r="DH134" s="38">
        <f>MAX(0,MIN(Inputs!$D$36,DM133,DI134+DJ134+DK134+Inputs!$D$6-DL133))</f>
        <v>0</v>
      </c>
      <c r="DI134" s="38">
        <f>Inputs!$D$27*(1+Inputs!$D$28)^($A134/12)*IF(Inputs!$B$73=1,$G134,1)*(1-Inputs!$C$73*$H134*(1-Inputs!$E$54*Inputs!$B$73))*(1+$I134)*IF(Inputs!$D$29=0,1,(MAX(DL133,0)/Inputs!$D$6)^Inputs!$D$29)</f>
        <v>3031.3540296794772</v>
      </c>
      <c r="DJ134" s="38">
        <f>Inputs!$D$32*DL133/Inputs!$D$6</f>
        <v>1711.5779848845566</v>
      </c>
      <c r="DK134" s="38">
        <f>Inputs!$D$33</f>
        <v>1500</v>
      </c>
      <c r="DL134" s="38">
        <f t="shared" si="94"/>
        <v>352373.4076755335</v>
      </c>
      <c r="DM134" s="38">
        <f t="shared" si="95"/>
        <v>0</v>
      </c>
      <c r="DN134" s="38">
        <f>Inputs!$D$19*(1-Inputs!$C$73*$H134)+Inputs!$D$21+Inputs!$B$73*$J134</f>
        <v>398150</v>
      </c>
      <c r="DO134" s="38">
        <f t="shared" si="96"/>
        <v>-45776.592324466503</v>
      </c>
      <c r="DP134" s="38">
        <f t="shared" si="97"/>
        <v>1</v>
      </c>
    </row>
    <row r="135" spans="1:120" x14ac:dyDescent="0.35">
      <c r="A135" s="29">
        <v>130</v>
      </c>
      <c r="B135" s="34">
        <f>EDATE(Inputs!$B$67,$A135)</f>
        <v>50222</v>
      </c>
      <c r="C135" s="35">
        <f>IF(Inputs!$E$47&lt;=0,Inputs!$E$46,Inputs!$E$44+(Inputs!$E$46-Inputs!$E$44)*MIN($A135/Inputs!$E$47,1))</f>
        <v>0.7</v>
      </c>
      <c r="D135" s="35">
        <f>MIN(Inputs!$E$57,Inputs!$E$55*(1+Inputs!$E$56)^($A135/12))*Inputs!$E$58*(1+Inputs!$E$59)^($A135/12)/Inputs!$E$45</f>
        <v>1.5</v>
      </c>
      <c r="E135" s="35">
        <f>MAX(Inputs!$E$44,MIN(C135,D135))</f>
        <v>0.7</v>
      </c>
      <c r="F135" s="35">
        <f>IF(Inputs!$E$50&lt;=0,Inputs!$E$49,Inputs!$E$48+(Inputs!$E$49-Inputs!$E$48)*MIN($A135/Inputs!$E$50,1))</f>
        <v>0.12</v>
      </c>
      <c r="G135" s="36">
        <f>(Inputs!$E$41*(1-E135*Inputs!$E$51)+Inputs!$E$42*(1-F135*Inputs!$E$51))/(Inputs!$E$41*(1-Inputs!$E$44*Inputs!$E$51)+Inputs!$E$42*(1-Inputs!$E$48*Inputs!$E$51))</f>
        <v>0.8423127463863338</v>
      </c>
      <c r="H135" s="35">
        <f>IF(Inputs!$E$53&lt;=0,Inputs!$E$52,Inputs!$E$52*MIN($A135/Inputs!$E$53,1))</f>
        <v>0.1</v>
      </c>
      <c r="I135" s="35">
        <f>IF(Inputs!$E$64&lt;=0,Inputs!$E$63,Inputs!$E$62+(Inputs!$E$63-Inputs!$E$62)*MIN($A135/Inputs!$E$64,1))</f>
        <v>0.03</v>
      </c>
      <c r="J135" s="37">
        <f>(E135-Inputs!$E$44)*Inputs!$E$45/Inputs!$E$60*Inputs!$E$61</f>
        <v>5999.9999999999991</v>
      </c>
      <c r="K135" s="29">
        <f t="shared" si="98"/>
        <v>0</v>
      </c>
      <c r="L135" s="29"/>
      <c r="M135" s="38">
        <f>MAX(0,MIN(Inputs!$B$36,R134,N135+O135+P135+Inputs!$B$6-Q134))</f>
        <v>0</v>
      </c>
      <c r="N135" s="38">
        <f>Inputs!$B$27*(1+Inputs!$B$28)^($A135/12)*IF(Inputs!$B$70=1,$G135,1)*(1-Inputs!$C$70*$H135*(1-Inputs!$E$54*Inputs!$B$70))*(1+$I135)*IF(Inputs!$B$29=0,1,(MAX(Q134,0)/Inputs!$B$6)^Inputs!$B$29)</f>
        <v>26210.736454836366</v>
      </c>
      <c r="O135" s="38">
        <f>Inputs!$B$32*Q134/Inputs!$B$6</f>
        <v>0</v>
      </c>
      <c r="P135" s="38">
        <f>Inputs!$B$33</f>
        <v>2500</v>
      </c>
      <c r="Q135" s="38">
        <f t="shared" ref="Q135:Q198" si="99">MAX(Q134+M135-N135-O135-P135,0)</f>
        <v>0</v>
      </c>
      <c r="R135" s="38">
        <f t="shared" ref="R135:R198" si="100">R134-M135</f>
        <v>0</v>
      </c>
      <c r="S135" s="38">
        <f>Inputs!$B$19*(1-Inputs!$C$70*$H135)+Inputs!$B$21+Inputs!$B$70*$J135</f>
        <v>595000</v>
      </c>
      <c r="T135" s="38">
        <f t="shared" ref="T135:T198" si="101">Q135-S135</f>
        <v>-595000</v>
      </c>
      <c r="U135" s="38">
        <f t="shared" ref="U135:U198" si="102">IF(T135&lt;0,1,0)</f>
        <v>1</v>
      </c>
      <c r="V135" s="38">
        <f>MAX(0,MIN(Inputs!$C$36,AA134,W135+X135+Y135+Inputs!$C$6-Z134))</f>
        <v>0</v>
      </c>
      <c r="W135" s="38">
        <f>Inputs!$C$27*(1+Inputs!$C$28)^($A135/12)*IF(Inputs!$B$70=1,$G135,1)*(1-Inputs!$C$70*$H135*(1-Inputs!$E$54*Inputs!$B$70))*(1+$I135)*IF(Inputs!$C$29=0,1,(MAX(Z134,0)/Inputs!$C$6)^Inputs!$C$29)</f>
        <v>0</v>
      </c>
      <c r="X135" s="38">
        <f>Inputs!$C$32*Z134/Inputs!$C$6</f>
        <v>0</v>
      </c>
      <c r="Y135" s="38">
        <f>Inputs!$C$33</f>
        <v>2000</v>
      </c>
      <c r="Z135" s="38">
        <f t="shared" ref="Z135:Z198" si="103">MAX(Z134+V135-W135-X135-Y135,0)</f>
        <v>0</v>
      </c>
      <c r="AA135" s="38">
        <f t="shared" ref="AA135:AA198" si="104">AA134-V135</f>
        <v>0</v>
      </c>
      <c r="AB135" s="38">
        <f>Inputs!$C$19*(1-Inputs!$C$70*$H135)+Inputs!$C$21+Inputs!$B$70*$J135</f>
        <v>495000</v>
      </c>
      <c r="AC135" s="38">
        <f t="shared" ref="AC135:AC198" si="105">Z135-AB135</f>
        <v>-495000</v>
      </c>
      <c r="AD135" s="38">
        <f t="shared" ref="AD135:AD198" si="106">IF(AC135&lt;0,1,0)</f>
        <v>1</v>
      </c>
      <c r="AE135" s="38">
        <f>MAX(0,MIN(Inputs!$D$36,AJ134,AF135+AG135+AH135+Inputs!$D$6-AI134))</f>
        <v>0</v>
      </c>
      <c r="AF135" s="38">
        <f>Inputs!$D$27*(1+Inputs!$D$28)^($A135/12)*IF(Inputs!$B$70=1,$G135,1)*(1-Inputs!$C$70*$H135*(1-Inputs!$E$54*Inputs!$B$70))*(1+$I135)*IF(Inputs!$D$29=0,1,(MAX(AI134,0)/Inputs!$D$6)^Inputs!$D$29)</f>
        <v>3177.1212128150241</v>
      </c>
      <c r="AG135" s="38">
        <f>Inputs!$D$32*AI134/Inputs!$D$6</f>
        <v>1214.2206882202511</v>
      </c>
      <c r="AH135" s="38">
        <f>Inputs!$D$33</f>
        <v>1500</v>
      </c>
      <c r="AI135" s="38">
        <f t="shared" ref="AI135:AI198" si="107">MAX(AI134+AE135-AF135-AG135-AH135,0)</f>
        <v>248516.8022974935</v>
      </c>
      <c r="AJ135" s="38">
        <f t="shared" ref="AJ135:AJ198" si="108">AJ134-AE135</f>
        <v>0</v>
      </c>
      <c r="AK135" s="38">
        <f>Inputs!$D$19*(1-Inputs!$C$70*$H135)+Inputs!$D$21+Inputs!$B$70*$J135</f>
        <v>404800</v>
      </c>
      <c r="AL135" s="38">
        <f t="shared" ref="AL135:AL198" si="109">AI135-AK135</f>
        <v>-156283.1977025065</v>
      </c>
      <c r="AM135" s="38">
        <f t="shared" ref="AM135:AM198" si="110">IF(AL135&lt;0,1,0)</f>
        <v>1</v>
      </c>
      <c r="AN135" s="38">
        <f>MAX(0,MIN(Inputs!$B$36,AS134,AO135+AP135+AQ135+Inputs!$B$6-AR134))</f>
        <v>0</v>
      </c>
      <c r="AO135" s="38">
        <f>Inputs!$B$27*(1+Inputs!$B$28)^($A135/12)*IF(Inputs!$B$71=1,$G135,1)*(1-Inputs!$C$71*$H135*(1-Inputs!$E$54*Inputs!$B$71))*(1+$I135)*IF(Inputs!$B$29=0,1,(MAX(AR134,0)/Inputs!$B$6)^Inputs!$B$29)</f>
        <v>22077.637408081617</v>
      </c>
      <c r="AP135" s="38">
        <f>Inputs!$B$32*AR134/Inputs!$B$6</f>
        <v>0</v>
      </c>
      <c r="AQ135" s="38">
        <f>Inputs!$B$33</f>
        <v>2500</v>
      </c>
      <c r="AR135" s="38">
        <f t="shared" ref="AR135:AR198" si="111">MAX(AR134+AN135-AO135-AP135-AQ135,0)</f>
        <v>0</v>
      </c>
      <c r="AS135" s="38">
        <f t="shared" ref="AS135:AS198" si="112">AS134-AN135</f>
        <v>0</v>
      </c>
      <c r="AT135" s="38">
        <f>Inputs!$B$19*(1-Inputs!$C$71*$H135)+Inputs!$B$21+Inputs!$B$71*$J135</f>
        <v>601000</v>
      </c>
      <c r="AU135" s="38">
        <f t="shared" ref="AU135:AU198" si="113">AR135-AT135</f>
        <v>-601000</v>
      </c>
      <c r="AV135" s="38">
        <f t="shared" ref="AV135:AV198" si="114">IF(AU135&lt;0,1,0)</f>
        <v>1</v>
      </c>
      <c r="AW135" s="38">
        <f>MAX(0,MIN(Inputs!$C$36,BB134,AX135+AY135+AZ135+Inputs!$C$6-BA134))</f>
        <v>0</v>
      </c>
      <c r="AX135" s="38">
        <f>Inputs!$C$27*(1+Inputs!$C$28)^($A135/12)*IF(Inputs!$B$71=1,$G135,1)*(1-Inputs!$C$71*$H135*(1-Inputs!$E$54*Inputs!$B$71))*(1+$I135)*IF(Inputs!$C$29=0,1,(MAX(BA134,0)/Inputs!$C$6)^Inputs!$C$29)</f>
        <v>0</v>
      </c>
      <c r="AY135" s="38">
        <f>Inputs!$C$32*BA134/Inputs!$C$6</f>
        <v>0</v>
      </c>
      <c r="AZ135" s="38">
        <f>Inputs!$C$33</f>
        <v>2000</v>
      </c>
      <c r="BA135" s="38">
        <f t="shared" ref="BA135:BA198" si="115">MAX(BA134+AW135-AX135-AY135-AZ135,0)</f>
        <v>0</v>
      </c>
      <c r="BB135" s="38">
        <f t="shared" ref="BB135:BB198" si="116">BB134-AW135</f>
        <v>0</v>
      </c>
      <c r="BC135" s="38">
        <f>Inputs!$C$19*(1-Inputs!$C$71*$H135)+Inputs!$C$21+Inputs!$B$71*$J135</f>
        <v>501000</v>
      </c>
      <c r="BD135" s="38">
        <f t="shared" ref="BD135:BD198" si="117">BA135-BC135</f>
        <v>-501000</v>
      </c>
      <c r="BE135" s="38">
        <f t="shared" ref="BE135:BE198" si="118">IF(BD135&lt;0,1,0)</f>
        <v>1</v>
      </c>
      <c r="BF135" s="38">
        <f>MAX(0,MIN(Inputs!$D$36,BK134,BG135+BH135+BI135+Inputs!$D$6-BJ134))</f>
        <v>0</v>
      </c>
      <c r="BG135" s="38">
        <f>Inputs!$D$27*(1+Inputs!$D$28)^($A135/12)*IF(Inputs!$B$71=1,$G135,1)*(1-Inputs!$C$71*$H135*(1-Inputs!$E$54*Inputs!$B$71))*(1+$I135)*IF(Inputs!$D$29=0,1,(MAX(BJ134,0)/Inputs!$D$6)^Inputs!$D$29)</f>
        <v>3057.7959743031897</v>
      </c>
      <c r="BH135" s="38">
        <f>Inputs!$D$32*BJ134/Inputs!$D$6</f>
        <v>1585.2593499145246</v>
      </c>
      <c r="BI135" s="38">
        <f>Inputs!$D$33</f>
        <v>1500</v>
      </c>
      <c r="BJ135" s="38">
        <f t="shared" ref="BJ135:BJ198" si="119">MAX(BJ134+BF135-BG135-BH135-BI135,0)</f>
        <v>326006.5227531112</v>
      </c>
      <c r="BK135" s="38">
        <f t="shared" ref="BK135:BK198" si="120">BK134-BF135</f>
        <v>0</v>
      </c>
      <c r="BL135" s="38">
        <f>Inputs!$D$19*(1-Inputs!$C$71*$H135)+Inputs!$D$21+Inputs!$B$71*$J135</f>
        <v>410800</v>
      </c>
      <c r="BM135" s="38">
        <f t="shared" ref="BM135:BM198" si="121">BJ135-BL135</f>
        <v>-84793.477246888797</v>
      </c>
      <c r="BN135" s="38">
        <f t="shared" ref="BN135:BN198" si="122">IF(BM135&lt;0,1,0)</f>
        <v>1</v>
      </c>
      <c r="BO135" s="38">
        <f>MAX(0,MIN(Inputs!$B$36,BT134,BP135+BQ135+BR135+Inputs!$B$6-BS134))</f>
        <v>0</v>
      </c>
      <c r="BP135" s="38">
        <f>Inputs!$B$27*(1+Inputs!$B$28)^($A135/12)*IF(Inputs!$B$72=1,$G135,1)*(1-Inputs!$C$72*$H135*(1-Inputs!$E$54*Inputs!$B$72))*(1+$I135)*IF(Inputs!$B$29=0,1,(MAX(BS134,0)/Inputs!$B$6)^Inputs!$B$29)</f>
        <v>23589.662809352729</v>
      </c>
      <c r="BQ135" s="38">
        <f>Inputs!$B$32*BS134/Inputs!$B$6</f>
        <v>0</v>
      </c>
      <c r="BR135" s="38">
        <f>Inputs!$B$33</f>
        <v>2500</v>
      </c>
      <c r="BS135" s="38">
        <f t="shared" ref="BS135:BS198" si="123">MAX(BS134+BO135-BP135-BQ135-BR135,0)</f>
        <v>0</v>
      </c>
      <c r="BT135" s="38">
        <f t="shared" ref="BT135:BT198" si="124">BT134-BO135</f>
        <v>0</v>
      </c>
      <c r="BU135" s="38">
        <f>Inputs!$B$19*(1-Inputs!$C$72*$H135)+Inputs!$B$21+Inputs!$B$72*$J135</f>
        <v>577500</v>
      </c>
      <c r="BV135" s="38">
        <f t="shared" ref="BV135:BV198" si="125">BS135-BU135</f>
        <v>-577500</v>
      </c>
      <c r="BW135" s="38">
        <f t="shared" ref="BW135:BW198" si="126">IF(BV135&lt;0,1,0)</f>
        <v>1</v>
      </c>
      <c r="BX135" s="38">
        <f>MAX(0,MIN(Inputs!$C$36,CC134,BY135+BZ135+CA135+Inputs!$C$6-CB134))</f>
        <v>0</v>
      </c>
      <c r="BY135" s="38">
        <f>Inputs!$C$27*(1+Inputs!$C$28)^($A135/12)*IF(Inputs!$B$72=1,$G135,1)*(1-Inputs!$C$72*$H135*(1-Inputs!$E$54*Inputs!$B$72))*(1+$I135)*IF(Inputs!$C$29=0,1,(MAX(CB134,0)/Inputs!$C$6)^Inputs!$C$29)</f>
        <v>0</v>
      </c>
      <c r="BZ135" s="38">
        <f>Inputs!$C$32*CB134/Inputs!$C$6</f>
        <v>0</v>
      </c>
      <c r="CA135" s="38">
        <f>Inputs!$C$33</f>
        <v>2000</v>
      </c>
      <c r="CB135" s="38">
        <f t="shared" ref="CB135:CB198" si="127">MAX(CB134+BX135-BY135-BZ135-CA135,0)</f>
        <v>0</v>
      </c>
      <c r="CC135" s="38">
        <f t="shared" ref="CC135:CC198" si="128">CC134-BX135</f>
        <v>0</v>
      </c>
      <c r="CD135" s="38">
        <f>Inputs!$C$19*(1-Inputs!$C$72*$H135)+Inputs!$C$21+Inputs!$B$72*$J135</f>
        <v>480000</v>
      </c>
      <c r="CE135" s="38">
        <f t="shared" ref="CE135:CE198" si="129">CB135-CD135</f>
        <v>-480000</v>
      </c>
      <c r="CF135" s="38">
        <f t="shared" ref="CF135:CF198" si="130">IF(CE135&lt;0,1,0)</f>
        <v>1</v>
      </c>
      <c r="CG135" s="38">
        <f>MAX(0,MIN(Inputs!$D$36,CL134,CH135+CI135+CJ135+Inputs!$D$6-CK134))</f>
        <v>0</v>
      </c>
      <c r="CH135" s="38">
        <f>Inputs!$D$27*(1+Inputs!$D$28)^($A135/12)*IF(Inputs!$B$72=1,$G135,1)*(1-Inputs!$C$72*$H135*(1-Inputs!$E$54*Inputs!$B$72))*(1+$I135)*IF(Inputs!$D$29=0,1,(MAX(CK134,0)/Inputs!$D$6)^Inputs!$D$29)</f>
        <v>3092.7969218457101</v>
      </c>
      <c r="CI135" s="38">
        <f>Inputs!$D$32*CK134/Inputs!$D$6</f>
        <v>1420.5216258078378</v>
      </c>
      <c r="CJ135" s="38">
        <f>Inputs!$D$33</f>
        <v>1500</v>
      </c>
      <c r="CK135" s="38">
        <f t="shared" ref="CK135:CK198" si="131">MAX(CK134+CG135-CH135-CI135-CJ135,0)</f>
        <v>291619.78400256007</v>
      </c>
      <c r="CL135" s="38">
        <f t="shared" ref="CL135:CL198" si="132">CL134-CG135</f>
        <v>0</v>
      </c>
      <c r="CM135" s="38">
        <f>Inputs!$D$19*(1-Inputs!$C$72*$H135)+Inputs!$D$21+Inputs!$B$72*$J135</f>
        <v>392150</v>
      </c>
      <c r="CN135" s="38">
        <f t="shared" ref="CN135:CN198" si="133">CK135-CM135</f>
        <v>-100530.21599743993</v>
      </c>
      <c r="CO135" s="38">
        <f t="shared" ref="CO135:CO198" si="134">IF(CN135&lt;0,1,0)</f>
        <v>1</v>
      </c>
      <c r="CP135" s="38">
        <f>MAX(0,MIN(Inputs!$B$36,CU134,CQ135+CR135+CS135+Inputs!$B$6-CT134))</f>
        <v>0</v>
      </c>
      <c r="CQ135" s="38">
        <f>Inputs!$B$27*(1+Inputs!$B$28)^($A135/12)*IF(Inputs!$B$73=1,$G135,1)*(1-Inputs!$C$73*$H135*(1-Inputs!$E$54*Inputs!$B$73))*(1+$I135)*IF(Inputs!$B$29=0,1,(MAX(CT134,0)/Inputs!$B$6)^Inputs!$B$29)</f>
        <v>20973.755537677534</v>
      </c>
      <c r="CR135" s="38">
        <f>Inputs!$B$32*CT134/Inputs!$B$6</f>
        <v>0</v>
      </c>
      <c r="CS135" s="38">
        <f>Inputs!$B$33</f>
        <v>2500</v>
      </c>
      <c r="CT135" s="38">
        <f t="shared" ref="CT135:CT198" si="135">MAX(CT134+CP135-CQ135-CR135-CS135,0)</f>
        <v>0</v>
      </c>
      <c r="CU135" s="38">
        <f t="shared" ref="CU135:CU198" si="136">CU134-CP135</f>
        <v>0</v>
      </c>
      <c r="CV135" s="38">
        <f>Inputs!$B$19*(1-Inputs!$C$73*$H135)+Inputs!$B$21+Inputs!$B$73*$J135</f>
        <v>583500</v>
      </c>
      <c r="CW135" s="38">
        <f t="shared" ref="CW135:CW198" si="137">CT135-CV135</f>
        <v>-583500</v>
      </c>
      <c r="CX135" s="38">
        <f t="shared" ref="CX135:CX198" si="138">IF(CW135&lt;0,1,0)</f>
        <v>1</v>
      </c>
      <c r="CY135" s="38">
        <f>MAX(0,MIN(Inputs!$C$36,DD134,CZ135+DA135+DB135+Inputs!$C$6-DC134))</f>
        <v>0</v>
      </c>
      <c r="CZ135" s="38">
        <f>Inputs!$C$27*(1+Inputs!$C$28)^($A135/12)*IF(Inputs!$B$73=1,$G135,1)*(1-Inputs!$C$73*$H135*(1-Inputs!$E$54*Inputs!$B$73))*(1+$I135)*IF(Inputs!$C$29=0,1,(MAX(DC134,0)/Inputs!$C$6)^Inputs!$C$29)</f>
        <v>0</v>
      </c>
      <c r="DA135" s="38">
        <f>Inputs!$C$32*DC134/Inputs!$C$6</f>
        <v>0</v>
      </c>
      <c r="DB135" s="38">
        <f>Inputs!$C$33</f>
        <v>2000</v>
      </c>
      <c r="DC135" s="38">
        <f t="shared" ref="DC135:DC198" si="139">MAX(DC134+CY135-CZ135-DA135-DB135,0)</f>
        <v>0</v>
      </c>
      <c r="DD135" s="38">
        <f t="shared" ref="DD135:DD198" si="140">DD134-CY135</f>
        <v>0</v>
      </c>
      <c r="DE135" s="38">
        <f>Inputs!$C$19*(1-Inputs!$C$73*$H135)+Inputs!$C$21+Inputs!$B$73*$J135</f>
        <v>486000</v>
      </c>
      <c r="DF135" s="38">
        <f t="shared" ref="DF135:DF198" si="141">DC135-DE135</f>
        <v>-486000</v>
      </c>
      <c r="DG135" s="38">
        <f t="shared" ref="DG135:DG198" si="142">IF(DF135&lt;0,1,0)</f>
        <v>1</v>
      </c>
      <c r="DH135" s="38">
        <f>MAX(0,MIN(Inputs!$D$36,DM134,DI135+DJ135+DK135+Inputs!$D$6-DL134))</f>
        <v>0</v>
      </c>
      <c r="DI135" s="38">
        <f>Inputs!$D$27*(1+Inputs!$D$28)^($A135/12)*IF(Inputs!$B$73=1,$G135,1)*(1-Inputs!$C$73*$H135*(1-Inputs!$E$54*Inputs!$B$73))*(1+$I135)*IF(Inputs!$D$29=0,1,(MAX(DL134,0)/Inputs!$D$6)^Inputs!$D$29)</f>
        <v>2992.0360403174336</v>
      </c>
      <c r="DJ135" s="38">
        <f>Inputs!$D$32*DL134/Inputs!$D$6</f>
        <v>1681.7821729968646</v>
      </c>
      <c r="DK135" s="38">
        <f>Inputs!$D$33</f>
        <v>1500</v>
      </c>
      <c r="DL135" s="38">
        <f t="shared" ref="DL135:DL198" si="143">MAX(DL134+DH135-DI135-DJ135-DK135,0)</f>
        <v>346199.58946221921</v>
      </c>
      <c r="DM135" s="38">
        <f t="shared" ref="DM135:DM198" si="144">DM134-DH135</f>
        <v>0</v>
      </c>
      <c r="DN135" s="38">
        <f>Inputs!$D$19*(1-Inputs!$C$73*$H135)+Inputs!$D$21+Inputs!$B$73*$J135</f>
        <v>398150</v>
      </c>
      <c r="DO135" s="38">
        <f t="shared" ref="DO135:DO198" si="145">DL135-DN135</f>
        <v>-51950.410537780786</v>
      </c>
      <c r="DP135" s="38">
        <f t="shared" ref="DP135:DP198" si="146">IF(DO135&lt;0,1,0)</f>
        <v>1</v>
      </c>
    </row>
    <row r="136" spans="1:120" x14ac:dyDescent="0.35">
      <c r="A136" s="29">
        <v>131</v>
      </c>
      <c r="B136" s="34">
        <f>EDATE(Inputs!$B$67,$A136)</f>
        <v>50253</v>
      </c>
      <c r="C136" s="35">
        <f>IF(Inputs!$E$47&lt;=0,Inputs!$E$46,Inputs!$E$44+(Inputs!$E$46-Inputs!$E$44)*MIN($A136/Inputs!$E$47,1))</f>
        <v>0.7</v>
      </c>
      <c r="D136" s="35">
        <f>MIN(Inputs!$E$57,Inputs!$E$55*(1+Inputs!$E$56)^($A136/12))*Inputs!$E$58*(1+Inputs!$E$59)^($A136/12)/Inputs!$E$45</f>
        <v>1.5</v>
      </c>
      <c r="E136" s="35">
        <f>MAX(Inputs!$E$44,MIN(C136,D136))</f>
        <v>0.7</v>
      </c>
      <c r="F136" s="35">
        <f>IF(Inputs!$E$50&lt;=0,Inputs!$E$49,Inputs!$E$48+(Inputs!$E$49-Inputs!$E$48)*MIN($A136/Inputs!$E$50,1))</f>
        <v>0.12</v>
      </c>
      <c r="G136" s="36">
        <f>(Inputs!$E$41*(1-E136*Inputs!$E$51)+Inputs!$E$42*(1-F136*Inputs!$E$51))/(Inputs!$E$41*(1-Inputs!$E$44*Inputs!$E$51)+Inputs!$E$42*(1-Inputs!$E$48*Inputs!$E$51))</f>
        <v>0.8423127463863338</v>
      </c>
      <c r="H136" s="35">
        <f>IF(Inputs!$E$53&lt;=0,Inputs!$E$52,Inputs!$E$52*MIN($A136/Inputs!$E$53,1))</f>
        <v>0.1</v>
      </c>
      <c r="I136" s="35">
        <f>IF(Inputs!$E$64&lt;=0,Inputs!$E$63,Inputs!$E$62+(Inputs!$E$63-Inputs!$E$62)*MIN($A136/Inputs!$E$64,1))</f>
        <v>0.03</v>
      </c>
      <c r="J136" s="37">
        <f>(E136-Inputs!$E$44)*Inputs!$E$45/Inputs!$E$60*Inputs!$E$61</f>
        <v>5999.9999999999991</v>
      </c>
      <c r="K136" s="29">
        <f t="shared" si="98"/>
        <v>0</v>
      </c>
      <c r="L136" s="29"/>
      <c r="M136" s="38">
        <f>MAX(0,MIN(Inputs!$B$36,R135,N136+O136+P136+Inputs!$B$6-Q135))</f>
        <v>0</v>
      </c>
      <c r="N136" s="38">
        <f>Inputs!$B$27*(1+Inputs!$B$28)^($A136/12)*IF(Inputs!$B$70=1,$G136,1)*(1-Inputs!$C$70*$H136*(1-Inputs!$E$54*Inputs!$B$70))*(1+$I136)*IF(Inputs!$B$29=0,1,(MAX(Q135,0)/Inputs!$B$6)^Inputs!$B$29)</f>
        <v>26317.522239613951</v>
      </c>
      <c r="O136" s="38">
        <f>Inputs!$B$32*Q135/Inputs!$B$6</f>
        <v>0</v>
      </c>
      <c r="P136" s="38">
        <f>Inputs!$B$33</f>
        <v>2500</v>
      </c>
      <c r="Q136" s="38">
        <f t="shared" si="99"/>
        <v>0</v>
      </c>
      <c r="R136" s="38">
        <f t="shared" si="100"/>
        <v>0</v>
      </c>
      <c r="S136" s="38">
        <f>Inputs!$B$19*(1-Inputs!$C$70*$H136)+Inputs!$B$21+Inputs!$B$70*$J136</f>
        <v>595000</v>
      </c>
      <c r="T136" s="38">
        <f t="shared" si="101"/>
        <v>-595000</v>
      </c>
      <c r="U136" s="38">
        <f t="shared" si="102"/>
        <v>1</v>
      </c>
      <c r="V136" s="38">
        <f>MAX(0,MIN(Inputs!$C$36,AA135,W136+X136+Y136+Inputs!$C$6-Z135))</f>
        <v>0</v>
      </c>
      <c r="W136" s="38">
        <f>Inputs!$C$27*(1+Inputs!$C$28)^($A136/12)*IF(Inputs!$B$70=1,$G136,1)*(1-Inputs!$C$70*$H136*(1-Inputs!$E$54*Inputs!$B$70))*(1+$I136)*IF(Inputs!$C$29=0,1,(MAX(Z135,0)/Inputs!$C$6)^Inputs!$C$29)</f>
        <v>0</v>
      </c>
      <c r="X136" s="38">
        <f>Inputs!$C$32*Z135/Inputs!$C$6</f>
        <v>0</v>
      </c>
      <c r="Y136" s="38">
        <f>Inputs!$C$33</f>
        <v>2000</v>
      </c>
      <c r="Z136" s="38">
        <f t="shared" si="103"/>
        <v>0</v>
      </c>
      <c r="AA136" s="38">
        <f t="shared" si="104"/>
        <v>0</v>
      </c>
      <c r="AB136" s="38">
        <f>Inputs!$C$19*(1-Inputs!$C$70*$H136)+Inputs!$C$21+Inputs!$B$70*$J136</f>
        <v>495000</v>
      </c>
      <c r="AC136" s="38">
        <f t="shared" si="105"/>
        <v>-495000</v>
      </c>
      <c r="AD136" s="38">
        <f t="shared" si="106"/>
        <v>1</v>
      </c>
      <c r="AE136" s="38">
        <f>MAX(0,MIN(Inputs!$D$36,AJ135,AF136+AG136+AH136+Inputs!$D$6-AI135))</f>
        <v>0</v>
      </c>
      <c r="AF136" s="38">
        <f>Inputs!$D$27*(1+Inputs!$D$28)^($A136/12)*IF(Inputs!$B$70=1,$G136,1)*(1-Inputs!$C$70*$H136*(1-Inputs!$E$54*Inputs!$B$70))*(1+$I136)*IF(Inputs!$D$29=0,1,(MAX(AI135,0)/Inputs!$D$6)^Inputs!$D$29)</f>
        <v>3126.7257585687094</v>
      </c>
      <c r="AG136" s="38">
        <f>Inputs!$D$32*AI135/Inputs!$D$6</f>
        <v>1186.1029200562191</v>
      </c>
      <c r="AH136" s="38">
        <f>Inputs!$D$33</f>
        <v>1500</v>
      </c>
      <c r="AI136" s="38">
        <f t="shared" si="107"/>
        <v>242703.97361886856</v>
      </c>
      <c r="AJ136" s="38">
        <f t="shared" si="108"/>
        <v>0</v>
      </c>
      <c r="AK136" s="38">
        <f>Inputs!$D$19*(1-Inputs!$C$70*$H136)+Inputs!$D$21+Inputs!$B$70*$J136</f>
        <v>404800</v>
      </c>
      <c r="AL136" s="38">
        <f t="shared" si="109"/>
        <v>-162096.02638113144</v>
      </c>
      <c r="AM136" s="38">
        <f t="shared" si="110"/>
        <v>1</v>
      </c>
      <c r="AN136" s="38">
        <f>MAX(0,MIN(Inputs!$B$36,AS135,AO136+AP136+AQ136+Inputs!$B$6-AR135))</f>
        <v>0</v>
      </c>
      <c r="AO136" s="38">
        <f>Inputs!$B$27*(1+Inputs!$B$28)^($A136/12)*IF(Inputs!$B$71=1,$G136,1)*(1-Inputs!$C$71*$H136*(1-Inputs!$E$54*Inputs!$B$71))*(1+$I136)*IF(Inputs!$B$29=0,1,(MAX(AR135,0)/Inputs!$B$6)^Inputs!$B$29)</f>
        <v>22167.584435732646</v>
      </c>
      <c r="AP136" s="38">
        <f>Inputs!$B$32*AR135/Inputs!$B$6</f>
        <v>0</v>
      </c>
      <c r="AQ136" s="38">
        <f>Inputs!$B$33</f>
        <v>2500</v>
      </c>
      <c r="AR136" s="38">
        <f t="shared" si="111"/>
        <v>0</v>
      </c>
      <c r="AS136" s="38">
        <f t="shared" si="112"/>
        <v>0</v>
      </c>
      <c r="AT136" s="38">
        <f>Inputs!$B$19*(1-Inputs!$C$71*$H136)+Inputs!$B$21+Inputs!$B$71*$J136</f>
        <v>601000</v>
      </c>
      <c r="AU136" s="38">
        <f t="shared" si="113"/>
        <v>-601000</v>
      </c>
      <c r="AV136" s="38">
        <f t="shared" si="114"/>
        <v>1</v>
      </c>
      <c r="AW136" s="38">
        <f>MAX(0,MIN(Inputs!$C$36,BB135,AX136+AY136+AZ136+Inputs!$C$6-BA135))</f>
        <v>0</v>
      </c>
      <c r="AX136" s="38">
        <f>Inputs!$C$27*(1+Inputs!$C$28)^($A136/12)*IF(Inputs!$B$71=1,$G136,1)*(1-Inputs!$C$71*$H136*(1-Inputs!$E$54*Inputs!$B$71))*(1+$I136)*IF(Inputs!$C$29=0,1,(MAX(BA135,0)/Inputs!$C$6)^Inputs!$C$29)</f>
        <v>0</v>
      </c>
      <c r="AY136" s="38">
        <f>Inputs!$C$32*BA135/Inputs!$C$6</f>
        <v>0</v>
      </c>
      <c r="AZ136" s="38">
        <f>Inputs!$C$33</f>
        <v>2000</v>
      </c>
      <c r="BA136" s="38">
        <f t="shared" si="115"/>
        <v>0</v>
      </c>
      <c r="BB136" s="38">
        <f t="shared" si="116"/>
        <v>0</v>
      </c>
      <c r="BC136" s="38">
        <f>Inputs!$C$19*(1-Inputs!$C$71*$H136)+Inputs!$C$21+Inputs!$B$71*$J136</f>
        <v>501000</v>
      </c>
      <c r="BD136" s="38">
        <f t="shared" si="117"/>
        <v>-501000</v>
      </c>
      <c r="BE136" s="38">
        <f t="shared" si="118"/>
        <v>1</v>
      </c>
      <c r="BF136" s="38">
        <f>MAX(0,MIN(Inputs!$D$36,BK135,BG136+BH136+BI136+Inputs!$D$6-BJ135))</f>
        <v>0</v>
      </c>
      <c r="BG136" s="38">
        <f>Inputs!$D$27*(1+Inputs!$D$28)^($A136/12)*IF(Inputs!$B$71=1,$G136,1)*(1-Inputs!$C$71*$H136*(1-Inputs!$E$54*Inputs!$B$71))*(1+$I136)*IF(Inputs!$D$29=0,1,(MAX(BJ135,0)/Inputs!$D$6)^Inputs!$D$29)</f>
        <v>3016.4659722665783</v>
      </c>
      <c r="BH136" s="38">
        <f>Inputs!$D$32*BJ135/Inputs!$D$6</f>
        <v>1555.9402222307579</v>
      </c>
      <c r="BI136" s="38">
        <f>Inputs!$D$33</f>
        <v>1500</v>
      </c>
      <c r="BJ136" s="38">
        <f t="shared" si="119"/>
        <v>319934.1165586139</v>
      </c>
      <c r="BK136" s="38">
        <f t="shared" si="120"/>
        <v>0</v>
      </c>
      <c r="BL136" s="38">
        <f>Inputs!$D$19*(1-Inputs!$C$71*$H136)+Inputs!$D$21+Inputs!$B$71*$J136</f>
        <v>410800</v>
      </c>
      <c r="BM136" s="38">
        <f t="shared" si="121"/>
        <v>-90865.883441386104</v>
      </c>
      <c r="BN136" s="38">
        <f t="shared" si="122"/>
        <v>1</v>
      </c>
      <c r="BO136" s="38">
        <f>MAX(0,MIN(Inputs!$B$36,BT135,BP136+BQ136+BR136+Inputs!$B$6-BS135))</f>
        <v>0</v>
      </c>
      <c r="BP136" s="38">
        <f>Inputs!$B$27*(1+Inputs!$B$28)^($A136/12)*IF(Inputs!$B$72=1,$G136,1)*(1-Inputs!$C$72*$H136*(1-Inputs!$E$54*Inputs!$B$72))*(1+$I136)*IF(Inputs!$B$29=0,1,(MAX(BS135,0)/Inputs!$B$6)^Inputs!$B$29)</f>
        <v>23685.770015652557</v>
      </c>
      <c r="BQ136" s="38">
        <f>Inputs!$B$32*BS135/Inputs!$B$6</f>
        <v>0</v>
      </c>
      <c r="BR136" s="38">
        <f>Inputs!$B$33</f>
        <v>2500</v>
      </c>
      <c r="BS136" s="38">
        <f t="shared" si="123"/>
        <v>0</v>
      </c>
      <c r="BT136" s="38">
        <f t="shared" si="124"/>
        <v>0</v>
      </c>
      <c r="BU136" s="38">
        <f>Inputs!$B$19*(1-Inputs!$C$72*$H136)+Inputs!$B$21+Inputs!$B$72*$J136</f>
        <v>577500</v>
      </c>
      <c r="BV136" s="38">
        <f t="shared" si="125"/>
        <v>-577500</v>
      </c>
      <c r="BW136" s="38">
        <f t="shared" si="126"/>
        <v>1</v>
      </c>
      <c r="BX136" s="38">
        <f>MAX(0,MIN(Inputs!$C$36,CC135,BY136+BZ136+CA136+Inputs!$C$6-CB135))</f>
        <v>0</v>
      </c>
      <c r="BY136" s="38">
        <f>Inputs!$C$27*(1+Inputs!$C$28)^($A136/12)*IF(Inputs!$B$72=1,$G136,1)*(1-Inputs!$C$72*$H136*(1-Inputs!$E$54*Inputs!$B$72))*(1+$I136)*IF(Inputs!$C$29=0,1,(MAX(CB135,0)/Inputs!$C$6)^Inputs!$C$29)</f>
        <v>0</v>
      </c>
      <c r="BZ136" s="38">
        <f>Inputs!$C$32*CB135/Inputs!$C$6</f>
        <v>0</v>
      </c>
      <c r="CA136" s="38">
        <f>Inputs!$C$33</f>
        <v>2000</v>
      </c>
      <c r="CB136" s="38">
        <f t="shared" si="127"/>
        <v>0</v>
      </c>
      <c r="CC136" s="38">
        <f t="shared" si="128"/>
        <v>0</v>
      </c>
      <c r="CD136" s="38">
        <f>Inputs!$C$19*(1-Inputs!$C$72*$H136)+Inputs!$C$21+Inputs!$B$72*$J136</f>
        <v>480000</v>
      </c>
      <c r="CE136" s="38">
        <f t="shared" si="129"/>
        <v>-480000</v>
      </c>
      <c r="CF136" s="38">
        <f t="shared" si="130"/>
        <v>1</v>
      </c>
      <c r="CG136" s="38">
        <f>MAX(0,MIN(Inputs!$D$36,CL135,CH136+CI136+CJ136+Inputs!$D$6-CK135))</f>
        <v>0</v>
      </c>
      <c r="CH136" s="38">
        <f>Inputs!$D$27*(1+Inputs!$D$28)^($A136/12)*IF(Inputs!$B$72=1,$G136,1)*(1-Inputs!$C$72*$H136*(1-Inputs!$E$54*Inputs!$B$72))*(1+$I136)*IF(Inputs!$D$29=0,1,(MAX(CK135,0)/Inputs!$D$6)^Inputs!$D$29)</f>
        <v>3048.3365575760349</v>
      </c>
      <c r="CI136" s="38">
        <f>Inputs!$D$32*CK135/Inputs!$D$6</f>
        <v>1391.821696375855</v>
      </c>
      <c r="CJ136" s="38">
        <f>Inputs!$D$33</f>
        <v>1500</v>
      </c>
      <c r="CK136" s="38">
        <f t="shared" si="131"/>
        <v>285679.6257486082</v>
      </c>
      <c r="CL136" s="38">
        <f t="shared" si="132"/>
        <v>0</v>
      </c>
      <c r="CM136" s="38">
        <f>Inputs!$D$19*(1-Inputs!$C$72*$H136)+Inputs!$D$21+Inputs!$B$72*$J136</f>
        <v>392150</v>
      </c>
      <c r="CN136" s="38">
        <f t="shared" si="133"/>
        <v>-106470.3742513918</v>
      </c>
      <c r="CO136" s="38">
        <f t="shared" si="134"/>
        <v>1</v>
      </c>
      <c r="CP136" s="38">
        <f>MAX(0,MIN(Inputs!$B$36,CU135,CQ136+CR136+CS136+Inputs!$B$6-CT135))</f>
        <v>0</v>
      </c>
      <c r="CQ136" s="38">
        <f>Inputs!$B$27*(1+Inputs!$B$28)^($A136/12)*IF(Inputs!$B$73=1,$G136,1)*(1-Inputs!$C$73*$H136*(1-Inputs!$E$54*Inputs!$B$73))*(1+$I136)*IF(Inputs!$B$29=0,1,(MAX(CT135,0)/Inputs!$B$6)^Inputs!$B$29)</f>
        <v>21059.205213946014</v>
      </c>
      <c r="CR136" s="38">
        <f>Inputs!$B$32*CT135/Inputs!$B$6</f>
        <v>0</v>
      </c>
      <c r="CS136" s="38">
        <f>Inputs!$B$33</f>
        <v>2500</v>
      </c>
      <c r="CT136" s="38">
        <f t="shared" si="135"/>
        <v>0</v>
      </c>
      <c r="CU136" s="38">
        <f t="shared" si="136"/>
        <v>0</v>
      </c>
      <c r="CV136" s="38">
        <f>Inputs!$B$19*(1-Inputs!$C$73*$H136)+Inputs!$B$21+Inputs!$B$73*$J136</f>
        <v>583500</v>
      </c>
      <c r="CW136" s="38">
        <f t="shared" si="137"/>
        <v>-583500</v>
      </c>
      <c r="CX136" s="38">
        <f t="shared" si="138"/>
        <v>1</v>
      </c>
      <c r="CY136" s="38">
        <f>MAX(0,MIN(Inputs!$C$36,DD135,CZ136+DA136+DB136+Inputs!$C$6-DC135))</f>
        <v>0</v>
      </c>
      <c r="CZ136" s="38">
        <f>Inputs!$C$27*(1+Inputs!$C$28)^($A136/12)*IF(Inputs!$B$73=1,$G136,1)*(1-Inputs!$C$73*$H136*(1-Inputs!$E$54*Inputs!$B$73))*(1+$I136)*IF(Inputs!$C$29=0,1,(MAX(DC135,0)/Inputs!$C$6)^Inputs!$C$29)</f>
        <v>0</v>
      </c>
      <c r="DA136" s="38">
        <f>Inputs!$C$32*DC135/Inputs!$C$6</f>
        <v>0</v>
      </c>
      <c r="DB136" s="38">
        <f>Inputs!$C$33</f>
        <v>2000</v>
      </c>
      <c r="DC136" s="38">
        <f t="shared" si="139"/>
        <v>0</v>
      </c>
      <c r="DD136" s="38">
        <f t="shared" si="140"/>
        <v>0</v>
      </c>
      <c r="DE136" s="38">
        <f>Inputs!$C$19*(1-Inputs!$C$73*$H136)+Inputs!$C$21+Inputs!$B$73*$J136</f>
        <v>486000</v>
      </c>
      <c r="DF136" s="38">
        <f t="shared" si="141"/>
        <v>-486000</v>
      </c>
      <c r="DG136" s="38">
        <f t="shared" si="142"/>
        <v>1</v>
      </c>
      <c r="DH136" s="38">
        <f>MAX(0,MIN(Inputs!$D$36,DM135,DI136+DJ136+DK136+Inputs!$D$6-DL135))</f>
        <v>0</v>
      </c>
      <c r="DI136" s="38">
        <f>Inputs!$D$27*(1+Inputs!$D$28)^($A136/12)*IF(Inputs!$B$73=1,$G136,1)*(1-Inputs!$C$73*$H136*(1-Inputs!$E$54*Inputs!$B$73))*(1+$I136)*IF(Inputs!$D$29=0,1,(MAX(DL135,0)/Inputs!$D$6)^Inputs!$D$29)</f>
        <v>2953.0592814669103</v>
      </c>
      <c r="DJ136" s="38">
        <f>Inputs!$D$32*DL135/Inputs!$D$6</f>
        <v>1652.3162224333189</v>
      </c>
      <c r="DK136" s="38">
        <f>Inputs!$D$33</f>
        <v>1500</v>
      </c>
      <c r="DL136" s="38">
        <f t="shared" si="143"/>
        <v>340094.21395831899</v>
      </c>
      <c r="DM136" s="38">
        <f t="shared" si="144"/>
        <v>0</v>
      </c>
      <c r="DN136" s="38">
        <f>Inputs!$D$19*(1-Inputs!$C$73*$H136)+Inputs!$D$21+Inputs!$B$73*$J136</f>
        <v>398150</v>
      </c>
      <c r="DO136" s="38">
        <f t="shared" si="145"/>
        <v>-58055.786041681014</v>
      </c>
      <c r="DP136" s="38">
        <f t="shared" si="146"/>
        <v>1</v>
      </c>
    </row>
    <row r="137" spans="1:120" x14ac:dyDescent="0.35">
      <c r="A137" s="29">
        <v>132</v>
      </c>
      <c r="B137" s="34">
        <f>EDATE(Inputs!$B$67,$A137)</f>
        <v>50284</v>
      </c>
      <c r="C137" s="35">
        <f>IF(Inputs!$E$47&lt;=0,Inputs!$E$46,Inputs!$E$44+(Inputs!$E$46-Inputs!$E$44)*MIN($A137/Inputs!$E$47,1))</f>
        <v>0.7</v>
      </c>
      <c r="D137" s="35">
        <f>MIN(Inputs!$E$57,Inputs!$E$55*(1+Inputs!$E$56)^($A137/12))*Inputs!$E$58*(1+Inputs!$E$59)^($A137/12)/Inputs!$E$45</f>
        <v>1.5</v>
      </c>
      <c r="E137" s="35">
        <f>MAX(Inputs!$E$44,MIN(C137,D137))</f>
        <v>0.7</v>
      </c>
      <c r="F137" s="35">
        <f>IF(Inputs!$E$50&lt;=0,Inputs!$E$49,Inputs!$E$48+(Inputs!$E$49-Inputs!$E$48)*MIN($A137/Inputs!$E$50,1))</f>
        <v>0.12</v>
      </c>
      <c r="G137" s="36">
        <f>(Inputs!$E$41*(1-E137*Inputs!$E$51)+Inputs!$E$42*(1-F137*Inputs!$E$51))/(Inputs!$E$41*(1-Inputs!$E$44*Inputs!$E$51)+Inputs!$E$42*(1-Inputs!$E$48*Inputs!$E$51))</f>
        <v>0.8423127463863338</v>
      </c>
      <c r="H137" s="35">
        <f>IF(Inputs!$E$53&lt;=0,Inputs!$E$52,Inputs!$E$52*MIN($A137/Inputs!$E$53,1))</f>
        <v>0.1</v>
      </c>
      <c r="I137" s="35">
        <f>IF(Inputs!$E$64&lt;=0,Inputs!$E$63,Inputs!$E$62+(Inputs!$E$63-Inputs!$E$62)*MIN($A137/Inputs!$E$64,1))</f>
        <v>0.03</v>
      </c>
      <c r="J137" s="37">
        <f>(E137-Inputs!$E$44)*Inputs!$E$45/Inputs!$E$60*Inputs!$E$61</f>
        <v>5999.9999999999991</v>
      </c>
      <c r="K137" s="29">
        <f t="shared" si="98"/>
        <v>0</v>
      </c>
      <c r="L137" s="29"/>
      <c r="M137" s="38">
        <f>MAX(0,MIN(Inputs!$B$36,R136,N137+O137+P137+Inputs!$B$6-Q136))</f>
        <v>0</v>
      </c>
      <c r="N137" s="38">
        <f>Inputs!$B$27*(1+Inputs!$B$28)^($A137/12)*IF(Inputs!$B$70=1,$G137,1)*(1-Inputs!$C$70*$H137*(1-Inputs!$E$54*Inputs!$B$70))*(1+$I137)*IF(Inputs!$B$29=0,1,(MAX(Q136,0)/Inputs!$B$6)^Inputs!$B$29)</f>
        <v>26424.74308289705</v>
      </c>
      <c r="O137" s="38">
        <f>Inputs!$B$32*Q136/Inputs!$B$6</f>
        <v>0</v>
      </c>
      <c r="P137" s="38">
        <f>Inputs!$B$33</f>
        <v>2500</v>
      </c>
      <c r="Q137" s="38">
        <f t="shared" si="99"/>
        <v>0</v>
      </c>
      <c r="R137" s="38">
        <f t="shared" si="100"/>
        <v>0</v>
      </c>
      <c r="S137" s="38">
        <f>Inputs!$B$19*(1-Inputs!$C$70*$H137)+Inputs!$B$21+Inputs!$B$70*$J137</f>
        <v>595000</v>
      </c>
      <c r="T137" s="38">
        <f t="shared" si="101"/>
        <v>-595000</v>
      </c>
      <c r="U137" s="38">
        <f t="shared" si="102"/>
        <v>1</v>
      </c>
      <c r="V137" s="38">
        <f>MAX(0,MIN(Inputs!$C$36,AA136,W137+X137+Y137+Inputs!$C$6-Z136))</f>
        <v>0</v>
      </c>
      <c r="W137" s="38">
        <f>Inputs!$C$27*(1+Inputs!$C$28)^($A137/12)*IF(Inputs!$B$70=1,$G137,1)*(1-Inputs!$C$70*$H137*(1-Inputs!$E$54*Inputs!$B$70))*(1+$I137)*IF(Inputs!$C$29=0,1,(MAX(Z136,0)/Inputs!$C$6)^Inputs!$C$29)</f>
        <v>0</v>
      </c>
      <c r="X137" s="38">
        <f>Inputs!$C$32*Z136/Inputs!$C$6</f>
        <v>0</v>
      </c>
      <c r="Y137" s="38">
        <f>Inputs!$C$33</f>
        <v>2000</v>
      </c>
      <c r="Z137" s="38">
        <f t="shared" si="103"/>
        <v>0</v>
      </c>
      <c r="AA137" s="38">
        <f t="shared" si="104"/>
        <v>0</v>
      </c>
      <c r="AB137" s="38">
        <f>Inputs!$C$19*(1-Inputs!$C$70*$H137)+Inputs!$C$21+Inputs!$B$70*$J137</f>
        <v>495000</v>
      </c>
      <c r="AC137" s="38">
        <f t="shared" si="105"/>
        <v>-495000</v>
      </c>
      <c r="AD137" s="38">
        <f t="shared" si="106"/>
        <v>1</v>
      </c>
      <c r="AE137" s="38">
        <f>MAX(0,MIN(Inputs!$D$36,AJ136,AF137+AG137+AH137+Inputs!$D$6-AI136))</f>
        <v>0</v>
      </c>
      <c r="AF137" s="38">
        <f>Inputs!$D$27*(1+Inputs!$D$28)^($A137/12)*IF(Inputs!$B$70=1,$G137,1)*(1-Inputs!$C$70*$H137*(1-Inputs!$E$54*Inputs!$B$70))*(1+$I137)*IF(Inputs!$D$29=0,1,(MAX(AI136,0)/Inputs!$D$6)^Inputs!$D$29)</f>
        <v>3076.7626169850141</v>
      </c>
      <c r="AG137" s="38">
        <f>Inputs!$D$32*AI136/Inputs!$D$6</f>
        <v>1158.3598740900545</v>
      </c>
      <c r="AH137" s="38">
        <f>Inputs!$D$33</f>
        <v>1500</v>
      </c>
      <c r="AI137" s="38">
        <f t="shared" si="107"/>
        <v>236968.85112779349</v>
      </c>
      <c r="AJ137" s="38">
        <f t="shared" si="108"/>
        <v>0</v>
      </c>
      <c r="AK137" s="38">
        <f>Inputs!$D$19*(1-Inputs!$C$70*$H137)+Inputs!$D$21+Inputs!$B$70*$J137</f>
        <v>404800</v>
      </c>
      <c r="AL137" s="38">
        <f t="shared" si="109"/>
        <v>-167831.14887220651</v>
      </c>
      <c r="AM137" s="38">
        <f t="shared" si="110"/>
        <v>1</v>
      </c>
      <c r="AN137" s="38">
        <f>MAX(0,MIN(Inputs!$B$36,AS136,AO137+AP137+AQ137+Inputs!$B$6-AR136))</f>
        <v>0</v>
      </c>
      <c r="AO137" s="38">
        <f>Inputs!$B$27*(1+Inputs!$B$28)^($A137/12)*IF(Inputs!$B$71=1,$G137,1)*(1-Inputs!$C$71*$H137*(1-Inputs!$E$54*Inputs!$B$71))*(1+$I137)*IF(Inputs!$B$29=0,1,(MAX(AR136,0)/Inputs!$B$6)^Inputs!$B$29)</f>
        <v>22257.897918708288</v>
      </c>
      <c r="AP137" s="38">
        <f>Inputs!$B$32*AR136/Inputs!$B$6</f>
        <v>0</v>
      </c>
      <c r="AQ137" s="38">
        <f>Inputs!$B$33</f>
        <v>2500</v>
      </c>
      <c r="AR137" s="38">
        <f t="shared" si="111"/>
        <v>0</v>
      </c>
      <c r="AS137" s="38">
        <f t="shared" si="112"/>
        <v>0</v>
      </c>
      <c r="AT137" s="38">
        <f>Inputs!$B$19*(1-Inputs!$C$71*$H137)+Inputs!$B$21+Inputs!$B$71*$J137</f>
        <v>601000</v>
      </c>
      <c r="AU137" s="38">
        <f t="shared" si="113"/>
        <v>-601000</v>
      </c>
      <c r="AV137" s="38">
        <f t="shared" si="114"/>
        <v>1</v>
      </c>
      <c r="AW137" s="38">
        <f>MAX(0,MIN(Inputs!$C$36,BB136,AX137+AY137+AZ137+Inputs!$C$6-BA136))</f>
        <v>0</v>
      </c>
      <c r="AX137" s="38">
        <f>Inputs!$C$27*(1+Inputs!$C$28)^($A137/12)*IF(Inputs!$B$71=1,$G137,1)*(1-Inputs!$C$71*$H137*(1-Inputs!$E$54*Inputs!$B$71))*(1+$I137)*IF(Inputs!$C$29=0,1,(MAX(BA136,0)/Inputs!$C$6)^Inputs!$C$29)</f>
        <v>0</v>
      </c>
      <c r="AY137" s="38">
        <f>Inputs!$C$32*BA136/Inputs!$C$6</f>
        <v>0</v>
      </c>
      <c r="AZ137" s="38">
        <f>Inputs!$C$33</f>
        <v>2000</v>
      </c>
      <c r="BA137" s="38">
        <f t="shared" si="115"/>
        <v>0</v>
      </c>
      <c r="BB137" s="38">
        <f t="shared" si="116"/>
        <v>0</v>
      </c>
      <c r="BC137" s="38">
        <f>Inputs!$C$19*(1-Inputs!$C$71*$H137)+Inputs!$C$21+Inputs!$B$71*$J137</f>
        <v>501000</v>
      </c>
      <c r="BD137" s="38">
        <f t="shared" si="117"/>
        <v>-501000</v>
      </c>
      <c r="BE137" s="38">
        <f t="shared" si="118"/>
        <v>1</v>
      </c>
      <c r="BF137" s="38">
        <f>MAX(0,MIN(Inputs!$D$36,BK136,BG137+BH137+BI137+Inputs!$D$6-BJ136))</f>
        <v>0</v>
      </c>
      <c r="BG137" s="38">
        <f>Inputs!$D$27*(1+Inputs!$D$28)^($A137/12)*IF(Inputs!$B$71=1,$G137,1)*(1-Inputs!$C$71*$H137*(1-Inputs!$E$54*Inputs!$B$71))*(1+$I137)*IF(Inputs!$D$29=0,1,(MAX(BJ136,0)/Inputs!$D$6)^Inputs!$D$29)</f>
        <v>2975.4948066074539</v>
      </c>
      <c r="BH137" s="38">
        <f>Inputs!$D$32*BJ136/Inputs!$D$6</f>
        <v>1526.9582835752026</v>
      </c>
      <c r="BI137" s="38">
        <f>Inputs!$D$33</f>
        <v>1500</v>
      </c>
      <c r="BJ137" s="38">
        <f t="shared" si="119"/>
        <v>313931.66346843127</v>
      </c>
      <c r="BK137" s="38">
        <f t="shared" si="120"/>
        <v>0</v>
      </c>
      <c r="BL137" s="38">
        <f>Inputs!$D$19*(1-Inputs!$C$71*$H137)+Inputs!$D$21+Inputs!$B$71*$J137</f>
        <v>410800</v>
      </c>
      <c r="BM137" s="38">
        <f t="shared" si="121"/>
        <v>-96868.336531568726</v>
      </c>
      <c r="BN137" s="38">
        <f t="shared" si="122"/>
        <v>1</v>
      </c>
      <c r="BO137" s="38">
        <f>MAX(0,MIN(Inputs!$B$36,BT136,BP137+BQ137+BR137+Inputs!$B$6-BS136))</f>
        <v>0</v>
      </c>
      <c r="BP137" s="38">
        <f>Inputs!$B$27*(1+Inputs!$B$28)^($A137/12)*IF(Inputs!$B$72=1,$G137,1)*(1-Inputs!$C$72*$H137*(1-Inputs!$E$54*Inputs!$B$72))*(1+$I137)*IF(Inputs!$B$29=0,1,(MAX(BS136,0)/Inputs!$B$6)^Inputs!$B$29)</f>
        <v>23782.268774607346</v>
      </c>
      <c r="BQ137" s="38">
        <f>Inputs!$B$32*BS136/Inputs!$B$6</f>
        <v>0</v>
      </c>
      <c r="BR137" s="38">
        <f>Inputs!$B$33</f>
        <v>2500</v>
      </c>
      <c r="BS137" s="38">
        <f t="shared" si="123"/>
        <v>0</v>
      </c>
      <c r="BT137" s="38">
        <f t="shared" si="124"/>
        <v>0</v>
      </c>
      <c r="BU137" s="38">
        <f>Inputs!$B$19*(1-Inputs!$C$72*$H137)+Inputs!$B$21+Inputs!$B$72*$J137</f>
        <v>577500</v>
      </c>
      <c r="BV137" s="38">
        <f t="shared" si="125"/>
        <v>-577500</v>
      </c>
      <c r="BW137" s="38">
        <f t="shared" si="126"/>
        <v>1</v>
      </c>
      <c r="BX137" s="38">
        <f>MAX(0,MIN(Inputs!$C$36,CC136,BY137+BZ137+CA137+Inputs!$C$6-CB136))</f>
        <v>0</v>
      </c>
      <c r="BY137" s="38">
        <f>Inputs!$C$27*(1+Inputs!$C$28)^($A137/12)*IF(Inputs!$B$72=1,$G137,1)*(1-Inputs!$C$72*$H137*(1-Inputs!$E$54*Inputs!$B$72))*(1+$I137)*IF(Inputs!$C$29=0,1,(MAX(CB136,0)/Inputs!$C$6)^Inputs!$C$29)</f>
        <v>0</v>
      </c>
      <c r="BZ137" s="38">
        <f>Inputs!$C$32*CB136/Inputs!$C$6</f>
        <v>0</v>
      </c>
      <c r="CA137" s="38">
        <f>Inputs!$C$33</f>
        <v>2000</v>
      </c>
      <c r="CB137" s="38">
        <f t="shared" si="127"/>
        <v>0</v>
      </c>
      <c r="CC137" s="38">
        <f t="shared" si="128"/>
        <v>0</v>
      </c>
      <c r="CD137" s="38">
        <f>Inputs!$C$19*(1-Inputs!$C$72*$H137)+Inputs!$C$21+Inputs!$B$72*$J137</f>
        <v>480000</v>
      </c>
      <c r="CE137" s="38">
        <f t="shared" si="129"/>
        <v>-480000</v>
      </c>
      <c r="CF137" s="38">
        <f t="shared" si="130"/>
        <v>1</v>
      </c>
      <c r="CG137" s="38">
        <f>MAX(0,MIN(Inputs!$D$36,CL136,CH137+CI137+CJ137+Inputs!$D$6-CK136))</f>
        <v>0</v>
      </c>
      <c r="CH137" s="38">
        <f>Inputs!$D$27*(1+Inputs!$D$28)^($A137/12)*IF(Inputs!$B$72=1,$G137,1)*(1-Inputs!$C$72*$H137*(1-Inputs!$E$54*Inputs!$B$72))*(1+$I137)*IF(Inputs!$D$29=0,1,(MAX(CK136,0)/Inputs!$D$6)^Inputs!$D$29)</f>
        <v>3004.2612100596543</v>
      </c>
      <c r="CI137" s="38">
        <f>Inputs!$D$32*CK136/Inputs!$D$6</f>
        <v>1363.4709410729029</v>
      </c>
      <c r="CJ137" s="38">
        <f>Inputs!$D$33</f>
        <v>1500</v>
      </c>
      <c r="CK137" s="38">
        <f t="shared" si="131"/>
        <v>279811.89359747566</v>
      </c>
      <c r="CL137" s="38">
        <f t="shared" si="132"/>
        <v>0</v>
      </c>
      <c r="CM137" s="38">
        <f>Inputs!$D$19*(1-Inputs!$C$72*$H137)+Inputs!$D$21+Inputs!$B$72*$J137</f>
        <v>392150</v>
      </c>
      <c r="CN137" s="38">
        <f t="shared" si="133"/>
        <v>-112338.10640252434</v>
      </c>
      <c r="CO137" s="38">
        <f t="shared" si="134"/>
        <v>1</v>
      </c>
      <c r="CP137" s="38">
        <f>MAX(0,MIN(Inputs!$B$36,CU136,CQ137+CR137+CS137+Inputs!$B$6-CT136))</f>
        <v>0</v>
      </c>
      <c r="CQ137" s="38">
        <f>Inputs!$B$27*(1+Inputs!$B$28)^($A137/12)*IF(Inputs!$B$73=1,$G137,1)*(1-Inputs!$C$73*$H137*(1-Inputs!$E$54*Inputs!$B$73))*(1+$I137)*IF(Inputs!$B$29=0,1,(MAX(CT136,0)/Inputs!$B$6)^Inputs!$B$29)</f>
        <v>21145.003022772875</v>
      </c>
      <c r="CR137" s="38">
        <f>Inputs!$B$32*CT136/Inputs!$B$6</f>
        <v>0</v>
      </c>
      <c r="CS137" s="38">
        <f>Inputs!$B$33</f>
        <v>2500</v>
      </c>
      <c r="CT137" s="38">
        <f t="shared" si="135"/>
        <v>0</v>
      </c>
      <c r="CU137" s="38">
        <f t="shared" si="136"/>
        <v>0</v>
      </c>
      <c r="CV137" s="38">
        <f>Inputs!$B$19*(1-Inputs!$C$73*$H137)+Inputs!$B$21+Inputs!$B$73*$J137</f>
        <v>583500</v>
      </c>
      <c r="CW137" s="38">
        <f t="shared" si="137"/>
        <v>-583500</v>
      </c>
      <c r="CX137" s="38">
        <f t="shared" si="138"/>
        <v>1</v>
      </c>
      <c r="CY137" s="38">
        <f>MAX(0,MIN(Inputs!$C$36,DD136,CZ137+DA137+DB137+Inputs!$C$6-DC136))</f>
        <v>0</v>
      </c>
      <c r="CZ137" s="38">
        <f>Inputs!$C$27*(1+Inputs!$C$28)^($A137/12)*IF(Inputs!$B$73=1,$G137,1)*(1-Inputs!$C$73*$H137*(1-Inputs!$E$54*Inputs!$B$73))*(1+$I137)*IF(Inputs!$C$29=0,1,(MAX(DC136,0)/Inputs!$C$6)^Inputs!$C$29)</f>
        <v>0</v>
      </c>
      <c r="DA137" s="38">
        <f>Inputs!$C$32*DC136/Inputs!$C$6</f>
        <v>0</v>
      </c>
      <c r="DB137" s="38">
        <f>Inputs!$C$33</f>
        <v>2000</v>
      </c>
      <c r="DC137" s="38">
        <f t="shared" si="139"/>
        <v>0</v>
      </c>
      <c r="DD137" s="38">
        <f t="shared" si="140"/>
        <v>0</v>
      </c>
      <c r="DE137" s="38">
        <f>Inputs!$C$19*(1-Inputs!$C$73*$H137)+Inputs!$C$21+Inputs!$B$73*$J137</f>
        <v>486000</v>
      </c>
      <c r="DF137" s="38">
        <f t="shared" si="141"/>
        <v>-486000</v>
      </c>
      <c r="DG137" s="38">
        <f t="shared" si="142"/>
        <v>1</v>
      </c>
      <c r="DH137" s="38">
        <f>MAX(0,MIN(Inputs!$D$36,DM136,DI137+DJ137+DK137+Inputs!$D$6-DL136))</f>
        <v>0</v>
      </c>
      <c r="DI137" s="38">
        <f>Inputs!$D$27*(1+Inputs!$D$28)^($A137/12)*IF(Inputs!$B$73=1,$G137,1)*(1-Inputs!$C$73*$H137*(1-Inputs!$E$54*Inputs!$B$73))*(1+$I137)*IF(Inputs!$D$29=0,1,(MAX(DL136,0)/Inputs!$D$6)^Inputs!$D$29)</f>
        <v>2914.4200533177341</v>
      </c>
      <c r="DJ137" s="38">
        <f>Inputs!$D$32*DL136/Inputs!$D$6</f>
        <v>1623.1769302556133</v>
      </c>
      <c r="DK137" s="38">
        <f>Inputs!$D$33</f>
        <v>1500</v>
      </c>
      <c r="DL137" s="38">
        <f t="shared" si="143"/>
        <v>334056.61697474564</v>
      </c>
      <c r="DM137" s="38">
        <f t="shared" si="144"/>
        <v>0</v>
      </c>
      <c r="DN137" s="38">
        <f>Inputs!$D$19*(1-Inputs!$C$73*$H137)+Inputs!$D$21+Inputs!$B$73*$J137</f>
        <v>398150</v>
      </c>
      <c r="DO137" s="38">
        <f t="shared" si="145"/>
        <v>-64093.383025254356</v>
      </c>
      <c r="DP137" s="38">
        <f t="shared" si="146"/>
        <v>1</v>
      </c>
    </row>
    <row r="138" spans="1:120" x14ac:dyDescent="0.35">
      <c r="A138" s="29">
        <v>133</v>
      </c>
      <c r="B138" s="34">
        <f>EDATE(Inputs!$B$67,$A138)</f>
        <v>50314</v>
      </c>
      <c r="C138" s="35">
        <f>IF(Inputs!$E$47&lt;=0,Inputs!$E$46,Inputs!$E$44+(Inputs!$E$46-Inputs!$E$44)*MIN($A138/Inputs!$E$47,1))</f>
        <v>0.7</v>
      </c>
      <c r="D138" s="35">
        <f>MIN(Inputs!$E$57,Inputs!$E$55*(1+Inputs!$E$56)^($A138/12))*Inputs!$E$58*(1+Inputs!$E$59)^($A138/12)/Inputs!$E$45</f>
        <v>1.5</v>
      </c>
      <c r="E138" s="35">
        <f>MAX(Inputs!$E$44,MIN(C138,D138))</f>
        <v>0.7</v>
      </c>
      <c r="F138" s="35">
        <f>IF(Inputs!$E$50&lt;=0,Inputs!$E$49,Inputs!$E$48+(Inputs!$E$49-Inputs!$E$48)*MIN($A138/Inputs!$E$50,1))</f>
        <v>0.12</v>
      </c>
      <c r="G138" s="36">
        <f>(Inputs!$E$41*(1-E138*Inputs!$E$51)+Inputs!$E$42*(1-F138*Inputs!$E$51))/(Inputs!$E$41*(1-Inputs!$E$44*Inputs!$E$51)+Inputs!$E$42*(1-Inputs!$E$48*Inputs!$E$51))</f>
        <v>0.8423127463863338</v>
      </c>
      <c r="H138" s="35">
        <f>IF(Inputs!$E$53&lt;=0,Inputs!$E$52,Inputs!$E$52*MIN($A138/Inputs!$E$53,1))</f>
        <v>0.1</v>
      </c>
      <c r="I138" s="35">
        <f>IF(Inputs!$E$64&lt;=0,Inputs!$E$63,Inputs!$E$62+(Inputs!$E$63-Inputs!$E$62)*MIN($A138/Inputs!$E$64,1))</f>
        <v>0.03</v>
      </c>
      <c r="J138" s="37">
        <f>(E138-Inputs!$E$44)*Inputs!$E$45/Inputs!$E$60*Inputs!$E$61</f>
        <v>5999.9999999999991</v>
      </c>
      <c r="K138" s="29">
        <f t="shared" si="98"/>
        <v>0</v>
      </c>
      <c r="L138" s="29"/>
      <c r="M138" s="38">
        <f>MAX(0,MIN(Inputs!$B$36,R137,N138+O138+P138+Inputs!$B$6-Q137))</f>
        <v>0</v>
      </c>
      <c r="N138" s="38">
        <f>Inputs!$B$27*(1+Inputs!$B$28)^($A138/12)*IF(Inputs!$B$70=1,$G138,1)*(1-Inputs!$C$70*$H138*(1-Inputs!$E$54*Inputs!$B$70))*(1+$I138)*IF(Inputs!$B$29=0,1,(MAX(Q137,0)/Inputs!$B$6)^Inputs!$B$29)</f>
        <v>26532.400757167885</v>
      </c>
      <c r="O138" s="38">
        <f>Inputs!$B$32*Q137/Inputs!$B$6</f>
        <v>0</v>
      </c>
      <c r="P138" s="38">
        <f>Inputs!$B$33</f>
        <v>2500</v>
      </c>
      <c r="Q138" s="38">
        <f t="shared" si="99"/>
        <v>0</v>
      </c>
      <c r="R138" s="38">
        <f t="shared" si="100"/>
        <v>0</v>
      </c>
      <c r="S138" s="38">
        <f>Inputs!$B$19*(1-Inputs!$C$70*$H138)+Inputs!$B$21+Inputs!$B$70*$J138</f>
        <v>595000</v>
      </c>
      <c r="T138" s="38">
        <f t="shared" si="101"/>
        <v>-595000</v>
      </c>
      <c r="U138" s="38">
        <f t="shared" si="102"/>
        <v>1</v>
      </c>
      <c r="V138" s="38">
        <f>MAX(0,MIN(Inputs!$C$36,AA137,W138+X138+Y138+Inputs!$C$6-Z137))</f>
        <v>0</v>
      </c>
      <c r="W138" s="38">
        <f>Inputs!$C$27*(1+Inputs!$C$28)^($A138/12)*IF(Inputs!$B$70=1,$G138,1)*(1-Inputs!$C$70*$H138*(1-Inputs!$E$54*Inputs!$B$70))*(1+$I138)*IF(Inputs!$C$29=0,1,(MAX(Z137,0)/Inputs!$C$6)^Inputs!$C$29)</f>
        <v>0</v>
      </c>
      <c r="X138" s="38">
        <f>Inputs!$C$32*Z137/Inputs!$C$6</f>
        <v>0</v>
      </c>
      <c r="Y138" s="38">
        <f>Inputs!$C$33</f>
        <v>2000</v>
      </c>
      <c r="Z138" s="38">
        <f t="shared" si="103"/>
        <v>0</v>
      </c>
      <c r="AA138" s="38">
        <f t="shared" si="104"/>
        <v>0</v>
      </c>
      <c r="AB138" s="38">
        <f>Inputs!$C$19*(1-Inputs!$C$70*$H138)+Inputs!$C$21+Inputs!$B$70*$J138</f>
        <v>495000</v>
      </c>
      <c r="AC138" s="38">
        <f t="shared" si="105"/>
        <v>-495000</v>
      </c>
      <c r="AD138" s="38">
        <f t="shared" si="106"/>
        <v>1</v>
      </c>
      <c r="AE138" s="38">
        <f>MAX(0,MIN(Inputs!$D$36,AJ137,AF138+AG138+AH138+Inputs!$D$6-AI137))</f>
        <v>0</v>
      </c>
      <c r="AF138" s="38">
        <f>Inputs!$D$27*(1+Inputs!$D$28)^($A138/12)*IF(Inputs!$B$70=1,$G138,1)*(1-Inputs!$C$70*$H138*(1-Inputs!$E$54*Inputs!$B$70))*(1+$I138)*IF(Inputs!$D$29=0,1,(MAX(AI137,0)/Inputs!$D$6)^Inputs!$D$29)</f>
        <v>3027.2257721481242</v>
      </c>
      <c r="AG138" s="38">
        <f>Inputs!$D$32*AI137/Inputs!$D$6</f>
        <v>1130.9876985644689</v>
      </c>
      <c r="AH138" s="38">
        <f>Inputs!$D$33</f>
        <v>1500</v>
      </c>
      <c r="AI138" s="38">
        <f t="shared" si="107"/>
        <v>231310.63765708089</v>
      </c>
      <c r="AJ138" s="38">
        <f t="shared" si="108"/>
        <v>0</v>
      </c>
      <c r="AK138" s="38">
        <f>Inputs!$D$19*(1-Inputs!$C$70*$H138)+Inputs!$D$21+Inputs!$B$70*$J138</f>
        <v>404800</v>
      </c>
      <c r="AL138" s="38">
        <f t="shared" si="109"/>
        <v>-173489.36234291911</v>
      </c>
      <c r="AM138" s="38">
        <f t="shared" si="110"/>
        <v>1</v>
      </c>
      <c r="AN138" s="38">
        <f>MAX(0,MIN(Inputs!$B$36,AS137,AO138+AP138+AQ138+Inputs!$B$6-AR137))</f>
        <v>0</v>
      </c>
      <c r="AO138" s="38">
        <f>Inputs!$B$27*(1+Inputs!$B$28)^($A138/12)*IF(Inputs!$B$71=1,$G138,1)*(1-Inputs!$C$71*$H138*(1-Inputs!$E$54*Inputs!$B$71))*(1+$I138)*IF(Inputs!$B$29=0,1,(MAX(AR137,0)/Inputs!$B$6)^Inputs!$B$29)</f>
        <v>22348.579349992924</v>
      </c>
      <c r="AP138" s="38">
        <f>Inputs!$B$32*AR137/Inputs!$B$6</f>
        <v>0</v>
      </c>
      <c r="AQ138" s="38">
        <f>Inputs!$B$33</f>
        <v>2500</v>
      </c>
      <c r="AR138" s="38">
        <f t="shared" si="111"/>
        <v>0</v>
      </c>
      <c r="AS138" s="38">
        <f t="shared" si="112"/>
        <v>0</v>
      </c>
      <c r="AT138" s="38">
        <f>Inputs!$B$19*(1-Inputs!$C$71*$H138)+Inputs!$B$21+Inputs!$B$71*$J138</f>
        <v>601000</v>
      </c>
      <c r="AU138" s="38">
        <f t="shared" si="113"/>
        <v>-601000</v>
      </c>
      <c r="AV138" s="38">
        <f t="shared" si="114"/>
        <v>1</v>
      </c>
      <c r="AW138" s="38">
        <f>MAX(0,MIN(Inputs!$C$36,BB137,AX138+AY138+AZ138+Inputs!$C$6-BA137))</f>
        <v>0</v>
      </c>
      <c r="AX138" s="38">
        <f>Inputs!$C$27*(1+Inputs!$C$28)^($A138/12)*IF(Inputs!$B$71=1,$G138,1)*(1-Inputs!$C$71*$H138*(1-Inputs!$E$54*Inputs!$B$71))*(1+$I138)*IF(Inputs!$C$29=0,1,(MAX(BA137,0)/Inputs!$C$6)^Inputs!$C$29)</f>
        <v>0</v>
      </c>
      <c r="AY138" s="38">
        <f>Inputs!$C$32*BA137/Inputs!$C$6</f>
        <v>0</v>
      </c>
      <c r="AZ138" s="38">
        <f>Inputs!$C$33</f>
        <v>2000</v>
      </c>
      <c r="BA138" s="38">
        <f t="shared" si="115"/>
        <v>0</v>
      </c>
      <c r="BB138" s="38">
        <f t="shared" si="116"/>
        <v>0</v>
      </c>
      <c r="BC138" s="38">
        <f>Inputs!$C$19*(1-Inputs!$C$71*$H138)+Inputs!$C$21+Inputs!$B$71*$J138</f>
        <v>501000</v>
      </c>
      <c r="BD138" s="38">
        <f t="shared" si="117"/>
        <v>-501000</v>
      </c>
      <c r="BE138" s="38">
        <f t="shared" si="118"/>
        <v>1</v>
      </c>
      <c r="BF138" s="38">
        <f>MAX(0,MIN(Inputs!$D$36,BK137,BG138+BH138+BI138+Inputs!$D$6-BJ137))</f>
        <v>0</v>
      </c>
      <c r="BG138" s="38">
        <f>Inputs!$D$27*(1+Inputs!$D$28)^($A138/12)*IF(Inputs!$B$71=1,$G138,1)*(1-Inputs!$C$71*$H138*(1-Inputs!$E$54*Inputs!$B$71))*(1+$I138)*IF(Inputs!$D$29=0,1,(MAX(BJ137,0)/Inputs!$D$6)^Inputs!$D$29)</f>
        <v>2934.878413671117</v>
      </c>
      <c r="BH138" s="38">
        <f>Inputs!$D$32*BJ137/Inputs!$D$6</f>
        <v>1498.310212008422</v>
      </c>
      <c r="BI138" s="38">
        <f>Inputs!$D$33</f>
        <v>1500</v>
      </c>
      <c r="BJ138" s="38">
        <f t="shared" si="119"/>
        <v>307998.47484275175</v>
      </c>
      <c r="BK138" s="38">
        <f t="shared" si="120"/>
        <v>0</v>
      </c>
      <c r="BL138" s="38">
        <f>Inputs!$D$19*(1-Inputs!$C$71*$H138)+Inputs!$D$21+Inputs!$B$71*$J138</f>
        <v>410800</v>
      </c>
      <c r="BM138" s="38">
        <f t="shared" si="121"/>
        <v>-102801.52515724825</v>
      </c>
      <c r="BN138" s="38">
        <f t="shared" si="122"/>
        <v>1</v>
      </c>
      <c r="BO138" s="38">
        <f>MAX(0,MIN(Inputs!$B$36,BT137,BP138+BQ138+BR138+Inputs!$B$6-BS137))</f>
        <v>0</v>
      </c>
      <c r="BP138" s="38">
        <f>Inputs!$B$27*(1+Inputs!$B$28)^($A138/12)*IF(Inputs!$B$72=1,$G138,1)*(1-Inputs!$C$72*$H138*(1-Inputs!$E$54*Inputs!$B$72))*(1+$I138)*IF(Inputs!$B$29=0,1,(MAX(BS137,0)/Inputs!$B$6)^Inputs!$B$29)</f>
        <v>23879.1606814511</v>
      </c>
      <c r="BQ138" s="38">
        <f>Inputs!$B$32*BS137/Inputs!$B$6</f>
        <v>0</v>
      </c>
      <c r="BR138" s="38">
        <f>Inputs!$B$33</f>
        <v>2500</v>
      </c>
      <c r="BS138" s="38">
        <f t="shared" si="123"/>
        <v>0</v>
      </c>
      <c r="BT138" s="38">
        <f t="shared" si="124"/>
        <v>0</v>
      </c>
      <c r="BU138" s="38">
        <f>Inputs!$B$19*(1-Inputs!$C$72*$H138)+Inputs!$B$21+Inputs!$B$72*$J138</f>
        <v>577500</v>
      </c>
      <c r="BV138" s="38">
        <f t="shared" si="125"/>
        <v>-577500</v>
      </c>
      <c r="BW138" s="38">
        <f t="shared" si="126"/>
        <v>1</v>
      </c>
      <c r="BX138" s="38">
        <f>MAX(0,MIN(Inputs!$C$36,CC137,BY138+BZ138+CA138+Inputs!$C$6-CB137))</f>
        <v>0</v>
      </c>
      <c r="BY138" s="38">
        <f>Inputs!$C$27*(1+Inputs!$C$28)^($A138/12)*IF(Inputs!$B$72=1,$G138,1)*(1-Inputs!$C$72*$H138*(1-Inputs!$E$54*Inputs!$B$72))*(1+$I138)*IF(Inputs!$C$29=0,1,(MAX(CB137,0)/Inputs!$C$6)^Inputs!$C$29)</f>
        <v>0</v>
      </c>
      <c r="BZ138" s="38">
        <f>Inputs!$C$32*CB137/Inputs!$C$6</f>
        <v>0</v>
      </c>
      <c r="CA138" s="38">
        <f>Inputs!$C$33</f>
        <v>2000</v>
      </c>
      <c r="CB138" s="38">
        <f t="shared" si="127"/>
        <v>0</v>
      </c>
      <c r="CC138" s="38">
        <f t="shared" si="128"/>
        <v>0</v>
      </c>
      <c r="CD138" s="38">
        <f>Inputs!$C$19*(1-Inputs!$C$72*$H138)+Inputs!$C$21+Inputs!$B$72*$J138</f>
        <v>480000</v>
      </c>
      <c r="CE138" s="38">
        <f t="shared" si="129"/>
        <v>-480000</v>
      </c>
      <c r="CF138" s="38">
        <f t="shared" si="130"/>
        <v>1</v>
      </c>
      <c r="CG138" s="38">
        <f>MAX(0,MIN(Inputs!$D$36,CL137,CH138+CI138+CJ138+Inputs!$D$6-CK137))</f>
        <v>0</v>
      </c>
      <c r="CH138" s="38">
        <f>Inputs!$D$27*(1+Inputs!$D$28)^($A138/12)*IF(Inputs!$B$72=1,$G138,1)*(1-Inputs!$C$72*$H138*(1-Inputs!$E$54*Inputs!$B$72))*(1+$I138)*IF(Inputs!$D$29=0,1,(MAX(CK137,0)/Inputs!$D$6)^Inputs!$D$29)</f>
        <v>2960.5661910129852</v>
      </c>
      <c r="CI138" s="38">
        <f>Inputs!$D$32*CK137/Inputs!$D$6</f>
        <v>1335.465855806134</v>
      </c>
      <c r="CJ138" s="38">
        <f>Inputs!$D$33</f>
        <v>1500</v>
      </c>
      <c r="CK138" s="38">
        <f t="shared" si="131"/>
        <v>274015.86155065655</v>
      </c>
      <c r="CL138" s="38">
        <f t="shared" si="132"/>
        <v>0</v>
      </c>
      <c r="CM138" s="38">
        <f>Inputs!$D$19*(1-Inputs!$C$72*$H138)+Inputs!$D$21+Inputs!$B$72*$J138</f>
        <v>392150</v>
      </c>
      <c r="CN138" s="38">
        <f t="shared" si="133"/>
        <v>-118134.13844934345</v>
      </c>
      <c r="CO138" s="38">
        <f t="shared" si="134"/>
        <v>1</v>
      </c>
      <c r="CP138" s="38">
        <f>MAX(0,MIN(Inputs!$B$36,CU137,CQ138+CR138+CS138+Inputs!$B$6-CT137))</f>
        <v>0</v>
      </c>
      <c r="CQ138" s="38">
        <f>Inputs!$B$27*(1+Inputs!$B$28)^($A138/12)*IF(Inputs!$B$73=1,$G138,1)*(1-Inputs!$C$73*$H138*(1-Inputs!$E$54*Inputs!$B$73))*(1+$I138)*IF(Inputs!$B$29=0,1,(MAX(CT137,0)/Inputs!$B$6)^Inputs!$B$29)</f>
        <v>21231.150382493277</v>
      </c>
      <c r="CR138" s="38">
        <f>Inputs!$B$32*CT137/Inputs!$B$6</f>
        <v>0</v>
      </c>
      <c r="CS138" s="38">
        <f>Inputs!$B$33</f>
        <v>2500</v>
      </c>
      <c r="CT138" s="38">
        <f t="shared" si="135"/>
        <v>0</v>
      </c>
      <c r="CU138" s="38">
        <f t="shared" si="136"/>
        <v>0</v>
      </c>
      <c r="CV138" s="38">
        <f>Inputs!$B$19*(1-Inputs!$C$73*$H138)+Inputs!$B$21+Inputs!$B$73*$J138</f>
        <v>583500</v>
      </c>
      <c r="CW138" s="38">
        <f t="shared" si="137"/>
        <v>-583500</v>
      </c>
      <c r="CX138" s="38">
        <f t="shared" si="138"/>
        <v>1</v>
      </c>
      <c r="CY138" s="38">
        <f>MAX(0,MIN(Inputs!$C$36,DD137,CZ138+DA138+DB138+Inputs!$C$6-DC137))</f>
        <v>0</v>
      </c>
      <c r="CZ138" s="38">
        <f>Inputs!$C$27*(1+Inputs!$C$28)^($A138/12)*IF(Inputs!$B$73=1,$G138,1)*(1-Inputs!$C$73*$H138*(1-Inputs!$E$54*Inputs!$B$73))*(1+$I138)*IF(Inputs!$C$29=0,1,(MAX(DC137,0)/Inputs!$C$6)^Inputs!$C$29)</f>
        <v>0</v>
      </c>
      <c r="DA138" s="38">
        <f>Inputs!$C$32*DC137/Inputs!$C$6</f>
        <v>0</v>
      </c>
      <c r="DB138" s="38">
        <f>Inputs!$C$33</f>
        <v>2000</v>
      </c>
      <c r="DC138" s="38">
        <f t="shared" si="139"/>
        <v>0</v>
      </c>
      <c r="DD138" s="38">
        <f t="shared" si="140"/>
        <v>0</v>
      </c>
      <c r="DE138" s="38">
        <f>Inputs!$C$19*(1-Inputs!$C$73*$H138)+Inputs!$C$21+Inputs!$B$73*$J138</f>
        <v>486000</v>
      </c>
      <c r="DF138" s="38">
        <f t="shared" si="141"/>
        <v>-486000</v>
      </c>
      <c r="DG138" s="38">
        <f t="shared" si="142"/>
        <v>1</v>
      </c>
      <c r="DH138" s="38">
        <f>MAX(0,MIN(Inputs!$D$36,DM137,DI138+DJ138+DK138+Inputs!$D$6-DL137))</f>
        <v>0</v>
      </c>
      <c r="DI138" s="38">
        <f>Inputs!$D$27*(1+Inputs!$D$28)^($A138/12)*IF(Inputs!$B$73=1,$G138,1)*(1-Inputs!$C$73*$H138*(1-Inputs!$E$54*Inputs!$B$73))*(1+$I138)*IF(Inputs!$D$29=0,1,(MAX(DL137,0)/Inputs!$D$6)^Inputs!$D$29)</f>
        <v>2876.1146744626731</v>
      </c>
      <c r="DJ138" s="38">
        <f>Inputs!$D$32*DL137/Inputs!$D$6</f>
        <v>1594.361126470377</v>
      </c>
      <c r="DK138" s="38">
        <f>Inputs!$D$33</f>
        <v>1500</v>
      </c>
      <c r="DL138" s="38">
        <f t="shared" si="143"/>
        <v>328086.14117381262</v>
      </c>
      <c r="DM138" s="38">
        <f t="shared" si="144"/>
        <v>0</v>
      </c>
      <c r="DN138" s="38">
        <f>Inputs!$D$19*(1-Inputs!$C$73*$H138)+Inputs!$D$21+Inputs!$B$73*$J138</f>
        <v>398150</v>
      </c>
      <c r="DO138" s="38">
        <f t="shared" si="145"/>
        <v>-70063.858826187381</v>
      </c>
      <c r="DP138" s="38">
        <f t="shared" si="146"/>
        <v>1</v>
      </c>
    </row>
    <row r="139" spans="1:120" x14ac:dyDescent="0.35">
      <c r="A139" s="29">
        <v>134</v>
      </c>
      <c r="B139" s="34">
        <f>EDATE(Inputs!$B$67,$A139)</f>
        <v>50345</v>
      </c>
      <c r="C139" s="35">
        <f>IF(Inputs!$E$47&lt;=0,Inputs!$E$46,Inputs!$E$44+(Inputs!$E$46-Inputs!$E$44)*MIN($A139/Inputs!$E$47,1))</f>
        <v>0.7</v>
      </c>
      <c r="D139" s="35">
        <f>MIN(Inputs!$E$57,Inputs!$E$55*(1+Inputs!$E$56)^($A139/12))*Inputs!$E$58*(1+Inputs!$E$59)^($A139/12)/Inputs!$E$45</f>
        <v>1.5</v>
      </c>
      <c r="E139" s="35">
        <f>MAX(Inputs!$E$44,MIN(C139,D139))</f>
        <v>0.7</v>
      </c>
      <c r="F139" s="35">
        <f>IF(Inputs!$E$50&lt;=0,Inputs!$E$49,Inputs!$E$48+(Inputs!$E$49-Inputs!$E$48)*MIN($A139/Inputs!$E$50,1))</f>
        <v>0.12</v>
      </c>
      <c r="G139" s="36">
        <f>(Inputs!$E$41*(1-E139*Inputs!$E$51)+Inputs!$E$42*(1-F139*Inputs!$E$51))/(Inputs!$E$41*(1-Inputs!$E$44*Inputs!$E$51)+Inputs!$E$42*(1-Inputs!$E$48*Inputs!$E$51))</f>
        <v>0.8423127463863338</v>
      </c>
      <c r="H139" s="35">
        <f>IF(Inputs!$E$53&lt;=0,Inputs!$E$52,Inputs!$E$52*MIN($A139/Inputs!$E$53,1))</f>
        <v>0.1</v>
      </c>
      <c r="I139" s="35">
        <f>IF(Inputs!$E$64&lt;=0,Inputs!$E$63,Inputs!$E$62+(Inputs!$E$63-Inputs!$E$62)*MIN($A139/Inputs!$E$64,1))</f>
        <v>0.03</v>
      </c>
      <c r="J139" s="37">
        <f>(E139-Inputs!$E$44)*Inputs!$E$45/Inputs!$E$60*Inputs!$E$61</f>
        <v>5999.9999999999991</v>
      </c>
      <c r="K139" s="29">
        <f t="shared" si="98"/>
        <v>0</v>
      </c>
      <c r="L139" s="29"/>
      <c r="M139" s="38">
        <f>MAX(0,MIN(Inputs!$B$36,R138,N139+O139+P139+Inputs!$B$6-Q138))</f>
        <v>0</v>
      </c>
      <c r="N139" s="38">
        <f>Inputs!$B$27*(1+Inputs!$B$28)^($A139/12)*IF(Inputs!$B$70=1,$G139,1)*(1-Inputs!$C$70*$H139*(1-Inputs!$E$54*Inputs!$B$70))*(1+$I139)*IF(Inputs!$B$29=0,1,(MAX(Q138,0)/Inputs!$B$6)^Inputs!$B$29)</f>
        <v>26640.497042129951</v>
      </c>
      <c r="O139" s="38">
        <f>Inputs!$B$32*Q138/Inputs!$B$6</f>
        <v>0</v>
      </c>
      <c r="P139" s="38">
        <f>Inputs!$B$33</f>
        <v>2500</v>
      </c>
      <c r="Q139" s="38">
        <f t="shared" si="99"/>
        <v>0</v>
      </c>
      <c r="R139" s="38">
        <f t="shared" si="100"/>
        <v>0</v>
      </c>
      <c r="S139" s="38">
        <f>Inputs!$B$19*(1-Inputs!$C$70*$H139)+Inputs!$B$21+Inputs!$B$70*$J139</f>
        <v>595000</v>
      </c>
      <c r="T139" s="38">
        <f t="shared" si="101"/>
        <v>-595000</v>
      </c>
      <c r="U139" s="38">
        <f t="shared" si="102"/>
        <v>1</v>
      </c>
      <c r="V139" s="38">
        <f>MAX(0,MIN(Inputs!$C$36,AA138,W139+X139+Y139+Inputs!$C$6-Z138))</f>
        <v>0</v>
      </c>
      <c r="W139" s="38">
        <f>Inputs!$C$27*(1+Inputs!$C$28)^($A139/12)*IF(Inputs!$B$70=1,$G139,1)*(1-Inputs!$C$70*$H139*(1-Inputs!$E$54*Inputs!$B$70))*(1+$I139)*IF(Inputs!$C$29=0,1,(MAX(Z138,0)/Inputs!$C$6)^Inputs!$C$29)</f>
        <v>0</v>
      </c>
      <c r="X139" s="38">
        <f>Inputs!$C$32*Z138/Inputs!$C$6</f>
        <v>0</v>
      </c>
      <c r="Y139" s="38">
        <f>Inputs!$C$33</f>
        <v>2000</v>
      </c>
      <c r="Z139" s="38">
        <f t="shared" si="103"/>
        <v>0</v>
      </c>
      <c r="AA139" s="38">
        <f t="shared" si="104"/>
        <v>0</v>
      </c>
      <c r="AB139" s="38">
        <f>Inputs!$C$19*(1-Inputs!$C$70*$H139)+Inputs!$C$21+Inputs!$B$70*$J139</f>
        <v>495000</v>
      </c>
      <c r="AC139" s="38">
        <f t="shared" si="105"/>
        <v>-495000</v>
      </c>
      <c r="AD139" s="38">
        <f t="shared" si="106"/>
        <v>1</v>
      </c>
      <c r="AE139" s="38">
        <f>MAX(0,MIN(Inputs!$D$36,AJ138,AF139+AG139+AH139+Inputs!$D$6-AI138))</f>
        <v>0</v>
      </c>
      <c r="AF139" s="38">
        <f>Inputs!$D$27*(1+Inputs!$D$28)^($A139/12)*IF(Inputs!$B$70=1,$G139,1)*(1-Inputs!$C$70*$H139*(1-Inputs!$E$54*Inputs!$B$70))*(1+$I139)*IF(Inputs!$D$29=0,1,(MAX(AI138,0)/Inputs!$D$6)^Inputs!$D$29)</f>
        <v>2978.1091934518427</v>
      </c>
      <c r="AG139" s="38">
        <f>Inputs!$D$32*AI138/Inputs!$D$6</f>
        <v>1103.9825888178862</v>
      </c>
      <c r="AH139" s="38">
        <f>Inputs!$D$33</f>
        <v>1500</v>
      </c>
      <c r="AI139" s="38">
        <f t="shared" si="107"/>
        <v>225728.54587481116</v>
      </c>
      <c r="AJ139" s="38">
        <f t="shared" si="108"/>
        <v>0</v>
      </c>
      <c r="AK139" s="38">
        <f>Inputs!$D$19*(1-Inputs!$C$70*$H139)+Inputs!$D$21+Inputs!$B$70*$J139</f>
        <v>404800</v>
      </c>
      <c r="AL139" s="38">
        <f t="shared" si="109"/>
        <v>-179071.45412518884</v>
      </c>
      <c r="AM139" s="38">
        <f t="shared" si="110"/>
        <v>1</v>
      </c>
      <c r="AN139" s="38">
        <f>MAX(0,MIN(Inputs!$B$36,AS138,AO139+AP139+AQ139+Inputs!$B$6-AR138))</f>
        <v>0</v>
      </c>
      <c r="AO139" s="38">
        <f>Inputs!$B$27*(1+Inputs!$B$28)^($A139/12)*IF(Inputs!$B$71=1,$G139,1)*(1-Inputs!$C$71*$H139*(1-Inputs!$E$54*Inputs!$B$71))*(1+$I139)*IF(Inputs!$B$29=0,1,(MAX(AR138,0)/Inputs!$B$6)^Inputs!$B$29)</f>
        <v>22439.630228653481</v>
      </c>
      <c r="AP139" s="38">
        <f>Inputs!$B$32*AR138/Inputs!$B$6</f>
        <v>0</v>
      </c>
      <c r="AQ139" s="38">
        <f>Inputs!$B$33</f>
        <v>2500</v>
      </c>
      <c r="AR139" s="38">
        <f t="shared" si="111"/>
        <v>0</v>
      </c>
      <c r="AS139" s="38">
        <f t="shared" si="112"/>
        <v>0</v>
      </c>
      <c r="AT139" s="38">
        <f>Inputs!$B$19*(1-Inputs!$C$71*$H139)+Inputs!$B$21+Inputs!$B$71*$J139</f>
        <v>601000</v>
      </c>
      <c r="AU139" s="38">
        <f t="shared" si="113"/>
        <v>-601000</v>
      </c>
      <c r="AV139" s="38">
        <f t="shared" si="114"/>
        <v>1</v>
      </c>
      <c r="AW139" s="38">
        <f>MAX(0,MIN(Inputs!$C$36,BB138,AX139+AY139+AZ139+Inputs!$C$6-BA138))</f>
        <v>0</v>
      </c>
      <c r="AX139" s="38">
        <f>Inputs!$C$27*(1+Inputs!$C$28)^($A139/12)*IF(Inputs!$B$71=1,$G139,1)*(1-Inputs!$C$71*$H139*(1-Inputs!$E$54*Inputs!$B$71))*(1+$I139)*IF(Inputs!$C$29=0,1,(MAX(BA138,0)/Inputs!$C$6)^Inputs!$C$29)</f>
        <v>0</v>
      </c>
      <c r="AY139" s="38">
        <f>Inputs!$C$32*BA138/Inputs!$C$6</f>
        <v>0</v>
      </c>
      <c r="AZ139" s="38">
        <f>Inputs!$C$33</f>
        <v>2000</v>
      </c>
      <c r="BA139" s="38">
        <f t="shared" si="115"/>
        <v>0</v>
      </c>
      <c r="BB139" s="38">
        <f t="shared" si="116"/>
        <v>0</v>
      </c>
      <c r="BC139" s="38">
        <f>Inputs!$C$19*(1-Inputs!$C$71*$H139)+Inputs!$C$21+Inputs!$B$71*$J139</f>
        <v>501000</v>
      </c>
      <c r="BD139" s="38">
        <f t="shared" si="117"/>
        <v>-501000</v>
      </c>
      <c r="BE139" s="38">
        <f t="shared" si="118"/>
        <v>1</v>
      </c>
      <c r="BF139" s="38">
        <f>MAX(0,MIN(Inputs!$D$36,BK138,BG139+BH139+BI139+Inputs!$D$6-BJ138))</f>
        <v>0</v>
      </c>
      <c r="BG139" s="38">
        <f>Inputs!$D$27*(1+Inputs!$D$28)^($A139/12)*IF(Inputs!$B$71=1,$G139,1)*(1-Inputs!$C$71*$H139*(1-Inputs!$E$54*Inputs!$B$71))*(1+$I139)*IF(Inputs!$D$29=0,1,(MAX(BJ138,0)/Inputs!$D$6)^Inputs!$D$29)</f>
        <v>2894.6127456816853</v>
      </c>
      <c r="BH139" s="38">
        <f>Inputs!$D$32*BJ138/Inputs!$D$6</f>
        <v>1469.992720840406</v>
      </c>
      <c r="BI139" s="38">
        <f>Inputs!$D$33</f>
        <v>1500</v>
      </c>
      <c r="BJ139" s="38">
        <f t="shared" si="119"/>
        <v>302133.8693762297</v>
      </c>
      <c r="BK139" s="38">
        <f t="shared" si="120"/>
        <v>0</v>
      </c>
      <c r="BL139" s="38">
        <f>Inputs!$D$19*(1-Inputs!$C$71*$H139)+Inputs!$D$21+Inputs!$B$71*$J139</f>
        <v>410800</v>
      </c>
      <c r="BM139" s="38">
        <f t="shared" si="121"/>
        <v>-108666.1306237703</v>
      </c>
      <c r="BN139" s="38">
        <f t="shared" si="122"/>
        <v>1</v>
      </c>
      <c r="BO139" s="38">
        <f>MAX(0,MIN(Inputs!$B$36,BT138,BP139+BQ139+BR139+Inputs!$B$6-BS138))</f>
        <v>0</v>
      </c>
      <c r="BP139" s="38">
        <f>Inputs!$B$27*(1+Inputs!$B$28)^($A139/12)*IF(Inputs!$B$72=1,$G139,1)*(1-Inputs!$C$72*$H139*(1-Inputs!$E$54*Inputs!$B$72))*(1+$I139)*IF(Inputs!$B$29=0,1,(MAX(BS138,0)/Inputs!$B$6)^Inputs!$B$29)</f>
        <v>23976.447337916954</v>
      </c>
      <c r="BQ139" s="38">
        <f>Inputs!$B$32*BS138/Inputs!$B$6</f>
        <v>0</v>
      </c>
      <c r="BR139" s="38">
        <f>Inputs!$B$33</f>
        <v>2500</v>
      </c>
      <c r="BS139" s="38">
        <f t="shared" si="123"/>
        <v>0</v>
      </c>
      <c r="BT139" s="38">
        <f t="shared" si="124"/>
        <v>0</v>
      </c>
      <c r="BU139" s="38">
        <f>Inputs!$B$19*(1-Inputs!$C$72*$H139)+Inputs!$B$21+Inputs!$B$72*$J139</f>
        <v>577500</v>
      </c>
      <c r="BV139" s="38">
        <f t="shared" si="125"/>
        <v>-577500</v>
      </c>
      <c r="BW139" s="38">
        <f t="shared" si="126"/>
        <v>1</v>
      </c>
      <c r="BX139" s="38">
        <f>MAX(0,MIN(Inputs!$C$36,CC138,BY139+BZ139+CA139+Inputs!$C$6-CB138))</f>
        <v>0</v>
      </c>
      <c r="BY139" s="38">
        <f>Inputs!$C$27*(1+Inputs!$C$28)^($A139/12)*IF(Inputs!$B$72=1,$G139,1)*(1-Inputs!$C$72*$H139*(1-Inputs!$E$54*Inputs!$B$72))*(1+$I139)*IF(Inputs!$C$29=0,1,(MAX(CB138,0)/Inputs!$C$6)^Inputs!$C$29)</f>
        <v>0</v>
      </c>
      <c r="BZ139" s="38">
        <f>Inputs!$C$32*CB138/Inputs!$C$6</f>
        <v>0</v>
      </c>
      <c r="CA139" s="38">
        <f>Inputs!$C$33</f>
        <v>2000</v>
      </c>
      <c r="CB139" s="38">
        <f t="shared" si="127"/>
        <v>0</v>
      </c>
      <c r="CC139" s="38">
        <f t="shared" si="128"/>
        <v>0</v>
      </c>
      <c r="CD139" s="38">
        <f>Inputs!$C$19*(1-Inputs!$C$72*$H139)+Inputs!$C$21+Inputs!$B$72*$J139</f>
        <v>480000</v>
      </c>
      <c r="CE139" s="38">
        <f t="shared" si="129"/>
        <v>-480000</v>
      </c>
      <c r="CF139" s="38">
        <f t="shared" si="130"/>
        <v>1</v>
      </c>
      <c r="CG139" s="38">
        <f>MAX(0,MIN(Inputs!$D$36,CL138,CH139+CI139+CJ139+Inputs!$D$6-CK138))</f>
        <v>0</v>
      </c>
      <c r="CH139" s="38">
        <f>Inputs!$D$27*(1+Inputs!$D$28)^($A139/12)*IF(Inputs!$B$72=1,$G139,1)*(1-Inputs!$C$72*$H139*(1-Inputs!$E$54*Inputs!$B$72))*(1+$I139)*IF(Inputs!$D$29=0,1,(MAX(CK138,0)/Inputs!$D$6)^Inputs!$D$29)</f>
        <v>2917.24682098213</v>
      </c>
      <c r="CI139" s="38">
        <f>Inputs!$D$32*CK138/Inputs!$D$6</f>
        <v>1307.802975582679</v>
      </c>
      <c r="CJ139" s="38">
        <f>Inputs!$D$33</f>
        <v>1500</v>
      </c>
      <c r="CK139" s="38">
        <f t="shared" si="131"/>
        <v>268290.81175409176</v>
      </c>
      <c r="CL139" s="38">
        <f t="shared" si="132"/>
        <v>0</v>
      </c>
      <c r="CM139" s="38">
        <f>Inputs!$D$19*(1-Inputs!$C$72*$H139)+Inputs!$D$21+Inputs!$B$72*$J139</f>
        <v>392150</v>
      </c>
      <c r="CN139" s="38">
        <f t="shared" si="133"/>
        <v>-123859.18824590824</v>
      </c>
      <c r="CO139" s="38">
        <f t="shared" si="134"/>
        <v>1</v>
      </c>
      <c r="CP139" s="38">
        <f>MAX(0,MIN(Inputs!$B$36,CU138,CQ139+CR139+CS139+Inputs!$B$6-CT138))</f>
        <v>0</v>
      </c>
      <c r="CQ139" s="38">
        <f>Inputs!$B$27*(1+Inputs!$B$28)^($A139/12)*IF(Inputs!$B$73=1,$G139,1)*(1-Inputs!$C$73*$H139*(1-Inputs!$E$54*Inputs!$B$73))*(1+$I139)*IF(Inputs!$B$29=0,1,(MAX(CT138,0)/Inputs!$B$6)^Inputs!$B$29)</f>
        <v>21317.648717220807</v>
      </c>
      <c r="CR139" s="38">
        <f>Inputs!$B$32*CT138/Inputs!$B$6</f>
        <v>0</v>
      </c>
      <c r="CS139" s="38">
        <f>Inputs!$B$33</f>
        <v>2500</v>
      </c>
      <c r="CT139" s="38">
        <f t="shared" si="135"/>
        <v>0</v>
      </c>
      <c r="CU139" s="38">
        <f t="shared" si="136"/>
        <v>0</v>
      </c>
      <c r="CV139" s="38">
        <f>Inputs!$B$19*(1-Inputs!$C$73*$H139)+Inputs!$B$21+Inputs!$B$73*$J139</f>
        <v>583500</v>
      </c>
      <c r="CW139" s="38">
        <f t="shared" si="137"/>
        <v>-583500</v>
      </c>
      <c r="CX139" s="38">
        <f t="shared" si="138"/>
        <v>1</v>
      </c>
      <c r="CY139" s="38">
        <f>MAX(0,MIN(Inputs!$C$36,DD138,CZ139+DA139+DB139+Inputs!$C$6-DC138))</f>
        <v>0</v>
      </c>
      <c r="CZ139" s="38">
        <f>Inputs!$C$27*(1+Inputs!$C$28)^($A139/12)*IF(Inputs!$B$73=1,$G139,1)*(1-Inputs!$C$73*$H139*(1-Inputs!$E$54*Inputs!$B$73))*(1+$I139)*IF(Inputs!$C$29=0,1,(MAX(DC138,0)/Inputs!$C$6)^Inputs!$C$29)</f>
        <v>0</v>
      </c>
      <c r="DA139" s="38">
        <f>Inputs!$C$32*DC138/Inputs!$C$6</f>
        <v>0</v>
      </c>
      <c r="DB139" s="38">
        <f>Inputs!$C$33</f>
        <v>2000</v>
      </c>
      <c r="DC139" s="38">
        <f t="shared" si="139"/>
        <v>0</v>
      </c>
      <c r="DD139" s="38">
        <f t="shared" si="140"/>
        <v>0</v>
      </c>
      <c r="DE139" s="38">
        <f>Inputs!$C$19*(1-Inputs!$C$73*$H139)+Inputs!$C$21+Inputs!$B$73*$J139</f>
        <v>486000</v>
      </c>
      <c r="DF139" s="38">
        <f t="shared" si="141"/>
        <v>-486000</v>
      </c>
      <c r="DG139" s="38">
        <f t="shared" si="142"/>
        <v>1</v>
      </c>
      <c r="DH139" s="38">
        <f>MAX(0,MIN(Inputs!$D$36,DM138,DI139+DJ139+DK139+Inputs!$D$6-DL138))</f>
        <v>0</v>
      </c>
      <c r="DI139" s="38">
        <f>Inputs!$D$27*(1+Inputs!$D$28)^($A139/12)*IF(Inputs!$B$73=1,$G139,1)*(1-Inputs!$C$73*$H139*(1-Inputs!$E$54*Inputs!$B$73))*(1+$I139)*IF(Inputs!$D$29=0,1,(MAX(DL138,0)/Inputs!$D$6)^Inputs!$D$29)</f>
        <v>2838.1394811634618</v>
      </c>
      <c r="DJ139" s="38">
        <f>Inputs!$D$32*DL138/Inputs!$D$6</f>
        <v>1565.8656737841056</v>
      </c>
      <c r="DK139" s="38">
        <f>Inputs!$D$33</f>
        <v>1500</v>
      </c>
      <c r="DL139" s="38">
        <f t="shared" si="143"/>
        <v>322182.13601886504</v>
      </c>
      <c r="DM139" s="38">
        <f t="shared" si="144"/>
        <v>0</v>
      </c>
      <c r="DN139" s="38">
        <f>Inputs!$D$19*(1-Inputs!$C$73*$H139)+Inputs!$D$21+Inputs!$B$73*$J139</f>
        <v>398150</v>
      </c>
      <c r="DO139" s="38">
        <f t="shared" si="145"/>
        <v>-75967.863981134957</v>
      </c>
      <c r="DP139" s="38">
        <f t="shared" si="146"/>
        <v>1</v>
      </c>
    </row>
    <row r="140" spans="1:120" x14ac:dyDescent="0.35">
      <c r="A140" s="29">
        <v>135</v>
      </c>
      <c r="B140" s="34">
        <f>EDATE(Inputs!$B$67,$A140)</f>
        <v>50375</v>
      </c>
      <c r="C140" s="35">
        <f>IF(Inputs!$E$47&lt;=0,Inputs!$E$46,Inputs!$E$44+(Inputs!$E$46-Inputs!$E$44)*MIN($A140/Inputs!$E$47,1))</f>
        <v>0.7</v>
      </c>
      <c r="D140" s="35">
        <f>MIN(Inputs!$E$57,Inputs!$E$55*(1+Inputs!$E$56)^($A140/12))*Inputs!$E$58*(1+Inputs!$E$59)^($A140/12)/Inputs!$E$45</f>
        <v>1.5</v>
      </c>
      <c r="E140" s="35">
        <f>MAX(Inputs!$E$44,MIN(C140,D140))</f>
        <v>0.7</v>
      </c>
      <c r="F140" s="35">
        <f>IF(Inputs!$E$50&lt;=0,Inputs!$E$49,Inputs!$E$48+(Inputs!$E$49-Inputs!$E$48)*MIN($A140/Inputs!$E$50,1))</f>
        <v>0.12</v>
      </c>
      <c r="G140" s="36">
        <f>(Inputs!$E$41*(1-E140*Inputs!$E$51)+Inputs!$E$42*(1-F140*Inputs!$E$51))/(Inputs!$E$41*(1-Inputs!$E$44*Inputs!$E$51)+Inputs!$E$42*(1-Inputs!$E$48*Inputs!$E$51))</f>
        <v>0.8423127463863338</v>
      </c>
      <c r="H140" s="35">
        <f>IF(Inputs!$E$53&lt;=0,Inputs!$E$52,Inputs!$E$52*MIN($A140/Inputs!$E$53,1))</f>
        <v>0.1</v>
      </c>
      <c r="I140" s="35">
        <f>IF(Inputs!$E$64&lt;=0,Inputs!$E$63,Inputs!$E$62+(Inputs!$E$63-Inputs!$E$62)*MIN($A140/Inputs!$E$64,1))</f>
        <v>0.03</v>
      </c>
      <c r="J140" s="37">
        <f>(E140-Inputs!$E$44)*Inputs!$E$45/Inputs!$E$60*Inputs!$E$61</f>
        <v>5999.9999999999991</v>
      </c>
      <c r="K140" s="29">
        <f t="shared" si="98"/>
        <v>0</v>
      </c>
      <c r="L140" s="29"/>
      <c r="M140" s="38">
        <f>MAX(0,MIN(Inputs!$B$36,R139,N140+O140+P140+Inputs!$B$6-Q139))</f>
        <v>0</v>
      </c>
      <c r="N140" s="38">
        <f>Inputs!$B$27*(1+Inputs!$B$28)^($A140/12)*IF(Inputs!$B$70=1,$G140,1)*(1-Inputs!$C$70*$H140*(1-Inputs!$E$54*Inputs!$B$70))*(1+$I140)*IF(Inputs!$B$29=0,1,(MAX(Q139,0)/Inputs!$B$6)^Inputs!$B$29)</f>
        <v>26749.033724737503</v>
      </c>
      <c r="O140" s="38">
        <f>Inputs!$B$32*Q139/Inputs!$B$6</f>
        <v>0</v>
      </c>
      <c r="P140" s="38">
        <f>Inputs!$B$33</f>
        <v>2500</v>
      </c>
      <c r="Q140" s="38">
        <f t="shared" si="99"/>
        <v>0</v>
      </c>
      <c r="R140" s="38">
        <f t="shared" si="100"/>
        <v>0</v>
      </c>
      <c r="S140" s="38">
        <f>Inputs!$B$19*(1-Inputs!$C$70*$H140)+Inputs!$B$21+Inputs!$B$70*$J140</f>
        <v>595000</v>
      </c>
      <c r="T140" s="38">
        <f t="shared" si="101"/>
        <v>-595000</v>
      </c>
      <c r="U140" s="38">
        <f t="shared" si="102"/>
        <v>1</v>
      </c>
      <c r="V140" s="38">
        <f>MAX(0,MIN(Inputs!$C$36,AA139,W140+X140+Y140+Inputs!$C$6-Z139))</f>
        <v>0</v>
      </c>
      <c r="W140" s="38">
        <f>Inputs!$C$27*(1+Inputs!$C$28)^($A140/12)*IF(Inputs!$B$70=1,$G140,1)*(1-Inputs!$C$70*$H140*(1-Inputs!$E$54*Inputs!$B$70))*(1+$I140)*IF(Inputs!$C$29=0,1,(MAX(Z139,0)/Inputs!$C$6)^Inputs!$C$29)</f>
        <v>0</v>
      </c>
      <c r="X140" s="38">
        <f>Inputs!$C$32*Z139/Inputs!$C$6</f>
        <v>0</v>
      </c>
      <c r="Y140" s="38">
        <f>Inputs!$C$33</f>
        <v>2000</v>
      </c>
      <c r="Z140" s="38">
        <f t="shared" si="103"/>
        <v>0</v>
      </c>
      <c r="AA140" s="38">
        <f t="shared" si="104"/>
        <v>0</v>
      </c>
      <c r="AB140" s="38">
        <f>Inputs!$C$19*(1-Inputs!$C$70*$H140)+Inputs!$C$21+Inputs!$B$70*$J140</f>
        <v>495000</v>
      </c>
      <c r="AC140" s="38">
        <f t="shared" si="105"/>
        <v>-495000</v>
      </c>
      <c r="AD140" s="38">
        <f t="shared" si="106"/>
        <v>1</v>
      </c>
      <c r="AE140" s="38">
        <f>MAX(0,MIN(Inputs!$D$36,AJ139,AF140+AG140+AH140+Inputs!$D$6-AI139))</f>
        <v>0</v>
      </c>
      <c r="AF140" s="38">
        <f>Inputs!$D$27*(1+Inputs!$D$28)^($A140/12)*IF(Inputs!$B$70=1,$G140,1)*(1-Inputs!$C$70*$H140*(1-Inputs!$E$54*Inputs!$B$70))*(1+$I140)*IF(Inputs!$D$29=0,1,(MAX(AI139,0)/Inputs!$D$6)^Inputs!$D$29)</f>
        <v>2929.4068319126641</v>
      </c>
      <c r="AG140" s="38">
        <f>Inputs!$D$32*AI139/Inputs!$D$6</f>
        <v>1077.3407871297804</v>
      </c>
      <c r="AH140" s="38">
        <f>Inputs!$D$33</f>
        <v>1500</v>
      </c>
      <c r="AI140" s="38">
        <f t="shared" si="107"/>
        <v>220221.79825576872</v>
      </c>
      <c r="AJ140" s="38">
        <f t="shared" si="108"/>
        <v>0</v>
      </c>
      <c r="AK140" s="38">
        <f>Inputs!$D$19*(1-Inputs!$C$70*$H140)+Inputs!$D$21+Inputs!$B$70*$J140</f>
        <v>404800</v>
      </c>
      <c r="AL140" s="38">
        <f t="shared" si="109"/>
        <v>-184578.20174423128</v>
      </c>
      <c r="AM140" s="38">
        <f t="shared" si="110"/>
        <v>1</v>
      </c>
      <c r="AN140" s="38">
        <f>MAX(0,MIN(Inputs!$B$36,AS139,AO140+AP140+AQ140+Inputs!$B$6-AR139))</f>
        <v>0</v>
      </c>
      <c r="AO140" s="38">
        <f>Inputs!$B$27*(1+Inputs!$B$28)^($A140/12)*IF(Inputs!$B$71=1,$G140,1)*(1-Inputs!$C$71*$H140*(1-Inputs!$E$54*Inputs!$B$71))*(1+$I140)*IF(Inputs!$B$29=0,1,(MAX(AR139,0)/Inputs!$B$6)^Inputs!$B$29)</f>
        <v>22531.052059864309</v>
      </c>
      <c r="AP140" s="38">
        <f>Inputs!$B$32*AR139/Inputs!$B$6</f>
        <v>0</v>
      </c>
      <c r="AQ140" s="38">
        <f>Inputs!$B$33</f>
        <v>2500</v>
      </c>
      <c r="AR140" s="38">
        <f t="shared" si="111"/>
        <v>0</v>
      </c>
      <c r="AS140" s="38">
        <f t="shared" si="112"/>
        <v>0</v>
      </c>
      <c r="AT140" s="38">
        <f>Inputs!$B$19*(1-Inputs!$C$71*$H140)+Inputs!$B$21+Inputs!$B$71*$J140</f>
        <v>601000</v>
      </c>
      <c r="AU140" s="38">
        <f t="shared" si="113"/>
        <v>-601000</v>
      </c>
      <c r="AV140" s="38">
        <f t="shared" si="114"/>
        <v>1</v>
      </c>
      <c r="AW140" s="38">
        <f>MAX(0,MIN(Inputs!$C$36,BB139,AX140+AY140+AZ140+Inputs!$C$6-BA139))</f>
        <v>0</v>
      </c>
      <c r="AX140" s="38">
        <f>Inputs!$C$27*(1+Inputs!$C$28)^($A140/12)*IF(Inputs!$B$71=1,$G140,1)*(1-Inputs!$C$71*$H140*(1-Inputs!$E$54*Inputs!$B$71))*(1+$I140)*IF(Inputs!$C$29=0,1,(MAX(BA139,0)/Inputs!$C$6)^Inputs!$C$29)</f>
        <v>0</v>
      </c>
      <c r="AY140" s="38">
        <f>Inputs!$C$32*BA139/Inputs!$C$6</f>
        <v>0</v>
      </c>
      <c r="AZ140" s="38">
        <f>Inputs!$C$33</f>
        <v>2000</v>
      </c>
      <c r="BA140" s="38">
        <f t="shared" si="115"/>
        <v>0</v>
      </c>
      <c r="BB140" s="38">
        <f t="shared" si="116"/>
        <v>0</v>
      </c>
      <c r="BC140" s="38">
        <f>Inputs!$C$19*(1-Inputs!$C$71*$H140)+Inputs!$C$21+Inputs!$B$71*$J140</f>
        <v>501000</v>
      </c>
      <c r="BD140" s="38">
        <f t="shared" si="117"/>
        <v>-501000</v>
      </c>
      <c r="BE140" s="38">
        <f t="shared" si="118"/>
        <v>1</v>
      </c>
      <c r="BF140" s="38">
        <f>MAX(0,MIN(Inputs!$D$36,BK139,BG140+BH140+BI140+Inputs!$D$6-BJ139))</f>
        <v>0</v>
      </c>
      <c r="BG140" s="38">
        <f>Inputs!$D$27*(1+Inputs!$D$28)^($A140/12)*IF(Inputs!$B$71=1,$G140,1)*(1-Inputs!$C$71*$H140*(1-Inputs!$E$54*Inputs!$B$71))*(1+$I140)*IF(Inputs!$D$29=0,1,(MAX(BJ139,0)/Inputs!$D$6)^Inputs!$D$29)</f>
        <v>2854.6937697366493</v>
      </c>
      <c r="BH140" s="38">
        <f>Inputs!$D$32*BJ139/Inputs!$D$6</f>
        <v>1442.0025583865511</v>
      </c>
      <c r="BI140" s="38">
        <f>Inputs!$D$33</f>
        <v>1500</v>
      </c>
      <c r="BJ140" s="38">
        <f t="shared" si="119"/>
        <v>296337.17304810655</v>
      </c>
      <c r="BK140" s="38">
        <f t="shared" si="120"/>
        <v>0</v>
      </c>
      <c r="BL140" s="38">
        <f>Inputs!$D$19*(1-Inputs!$C$71*$H140)+Inputs!$D$21+Inputs!$B$71*$J140</f>
        <v>410800</v>
      </c>
      <c r="BM140" s="38">
        <f t="shared" si="121"/>
        <v>-114462.82695189345</v>
      </c>
      <c r="BN140" s="38">
        <f t="shared" si="122"/>
        <v>1</v>
      </c>
      <c r="BO140" s="38">
        <f>MAX(0,MIN(Inputs!$B$36,BT139,BP140+BQ140+BR140+Inputs!$B$6-BS139))</f>
        <v>0</v>
      </c>
      <c r="BP140" s="38">
        <f>Inputs!$B$27*(1+Inputs!$B$28)^($A140/12)*IF(Inputs!$B$72=1,$G140,1)*(1-Inputs!$C$72*$H140*(1-Inputs!$E$54*Inputs!$B$72))*(1+$I140)*IF(Inputs!$B$29=0,1,(MAX(BS139,0)/Inputs!$B$6)^Inputs!$B$29)</f>
        <v>24074.130352263754</v>
      </c>
      <c r="BQ140" s="38">
        <f>Inputs!$B$32*BS139/Inputs!$B$6</f>
        <v>0</v>
      </c>
      <c r="BR140" s="38">
        <f>Inputs!$B$33</f>
        <v>2500</v>
      </c>
      <c r="BS140" s="38">
        <f t="shared" si="123"/>
        <v>0</v>
      </c>
      <c r="BT140" s="38">
        <f t="shared" si="124"/>
        <v>0</v>
      </c>
      <c r="BU140" s="38">
        <f>Inputs!$B$19*(1-Inputs!$C$72*$H140)+Inputs!$B$21+Inputs!$B$72*$J140</f>
        <v>577500</v>
      </c>
      <c r="BV140" s="38">
        <f t="shared" si="125"/>
        <v>-577500</v>
      </c>
      <c r="BW140" s="38">
        <f t="shared" si="126"/>
        <v>1</v>
      </c>
      <c r="BX140" s="38">
        <f>MAX(0,MIN(Inputs!$C$36,CC139,BY140+BZ140+CA140+Inputs!$C$6-CB139))</f>
        <v>0</v>
      </c>
      <c r="BY140" s="38">
        <f>Inputs!$C$27*(1+Inputs!$C$28)^($A140/12)*IF(Inputs!$B$72=1,$G140,1)*(1-Inputs!$C$72*$H140*(1-Inputs!$E$54*Inputs!$B$72))*(1+$I140)*IF(Inputs!$C$29=0,1,(MAX(CB139,0)/Inputs!$C$6)^Inputs!$C$29)</f>
        <v>0</v>
      </c>
      <c r="BZ140" s="38">
        <f>Inputs!$C$32*CB139/Inputs!$C$6</f>
        <v>0</v>
      </c>
      <c r="CA140" s="38">
        <f>Inputs!$C$33</f>
        <v>2000</v>
      </c>
      <c r="CB140" s="38">
        <f t="shared" si="127"/>
        <v>0</v>
      </c>
      <c r="CC140" s="38">
        <f t="shared" si="128"/>
        <v>0</v>
      </c>
      <c r="CD140" s="38">
        <f>Inputs!$C$19*(1-Inputs!$C$72*$H140)+Inputs!$C$21+Inputs!$B$72*$J140</f>
        <v>480000</v>
      </c>
      <c r="CE140" s="38">
        <f t="shared" si="129"/>
        <v>-480000</v>
      </c>
      <c r="CF140" s="38">
        <f t="shared" si="130"/>
        <v>1</v>
      </c>
      <c r="CG140" s="38">
        <f>MAX(0,MIN(Inputs!$D$36,CL139,CH140+CI140+CJ140+Inputs!$D$6-CK139))</f>
        <v>0</v>
      </c>
      <c r="CH140" s="38">
        <f>Inputs!$D$27*(1+Inputs!$D$28)^($A140/12)*IF(Inputs!$B$72=1,$G140,1)*(1-Inputs!$C$72*$H140*(1-Inputs!$E$54*Inputs!$B$72))*(1+$I140)*IF(Inputs!$D$29=0,1,(MAX(CK139,0)/Inputs!$D$6)^Inputs!$D$29)</f>
        <v>2874.2984276987654</v>
      </c>
      <c r="CI140" s="38">
        <f>Inputs!$D$32*CK139/Inputs!$D$6</f>
        <v>1280.4788742808923</v>
      </c>
      <c r="CJ140" s="38">
        <f>Inputs!$D$33</f>
        <v>1500</v>
      </c>
      <c r="CK140" s="38">
        <f t="shared" si="131"/>
        <v>262636.0344521121</v>
      </c>
      <c r="CL140" s="38">
        <f t="shared" si="132"/>
        <v>0</v>
      </c>
      <c r="CM140" s="38">
        <f>Inputs!$D$19*(1-Inputs!$C$72*$H140)+Inputs!$D$21+Inputs!$B$72*$J140</f>
        <v>392150</v>
      </c>
      <c r="CN140" s="38">
        <f t="shared" si="133"/>
        <v>-129513.9655478879</v>
      </c>
      <c r="CO140" s="38">
        <f t="shared" si="134"/>
        <v>1</v>
      </c>
      <c r="CP140" s="38">
        <f>MAX(0,MIN(Inputs!$B$36,CU139,CQ140+CR140+CS140+Inputs!$B$6-CT139))</f>
        <v>0</v>
      </c>
      <c r="CQ140" s="38">
        <f>Inputs!$B$27*(1+Inputs!$B$28)^($A140/12)*IF(Inputs!$B$73=1,$G140,1)*(1-Inputs!$C$73*$H140*(1-Inputs!$E$54*Inputs!$B$73))*(1+$I140)*IF(Inputs!$B$29=0,1,(MAX(CT139,0)/Inputs!$B$6)^Inputs!$B$29)</f>
        <v>21404.499456871094</v>
      </c>
      <c r="CR140" s="38">
        <f>Inputs!$B$32*CT139/Inputs!$B$6</f>
        <v>0</v>
      </c>
      <c r="CS140" s="38">
        <f>Inputs!$B$33</f>
        <v>2500</v>
      </c>
      <c r="CT140" s="38">
        <f t="shared" si="135"/>
        <v>0</v>
      </c>
      <c r="CU140" s="38">
        <f t="shared" si="136"/>
        <v>0</v>
      </c>
      <c r="CV140" s="38">
        <f>Inputs!$B$19*(1-Inputs!$C$73*$H140)+Inputs!$B$21+Inputs!$B$73*$J140</f>
        <v>583500</v>
      </c>
      <c r="CW140" s="38">
        <f t="shared" si="137"/>
        <v>-583500</v>
      </c>
      <c r="CX140" s="38">
        <f t="shared" si="138"/>
        <v>1</v>
      </c>
      <c r="CY140" s="38">
        <f>MAX(0,MIN(Inputs!$C$36,DD139,CZ140+DA140+DB140+Inputs!$C$6-DC139))</f>
        <v>0</v>
      </c>
      <c r="CZ140" s="38">
        <f>Inputs!$C$27*(1+Inputs!$C$28)^($A140/12)*IF(Inputs!$B$73=1,$G140,1)*(1-Inputs!$C$73*$H140*(1-Inputs!$E$54*Inputs!$B$73))*(1+$I140)*IF(Inputs!$C$29=0,1,(MAX(DC139,0)/Inputs!$C$6)^Inputs!$C$29)</f>
        <v>0</v>
      </c>
      <c r="DA140" s="38">
        <f>Inputs!$C$32*DC139/Inputs!$C$6</f>
        <v>0</v>
      </c>
      <c r="DB140" s="38">
        <f>Inputs!$C$33</f>
        <v>2000</v>
      </c>
      <c r="DC140" s="38">
        <f t="shared" si="139"/>
        <v>0</v>
      </c>
      <c r="DD140" s="38">
        <f t="shared" si="140"/>
        <v>0</v>
      </c>
      <c r="DE140" s="38">
        <f>Inputs!$C$19*(1-Inputs!$C$73*$H140)+Inputs!$C$21+Inputs!$B$73*$J140</f>
        <v>486000</v>
      </c>
      <c r="DF140" s="38">
        <f t="shared" si="141"/>
        <v>-486000</v>
      </c>
      <c r="DG140" s="38">
        <f t="shared" si="142"/>
        <v>1</v>
      </c>
      <c r="DH140" s="38">
        <f>MAX(0,MIN(Inputs!$D$36,DM139,DI140+DJ140+DK140+Inputs!$D$6-DL139))</f>
        <v>0</v>
      </c>
      <c r="DI140" s="38">
        <f>Inputs!$D$27*(1+Inputs!$D$28)^($A140/12)*IF(Inputs!$B$73=1,$G140,1)*(1-Inputs!$C$73*$H140*(1-Inputs!$E$54*Inputs!$B$73))*(1+$I140)*IF(Inputs!$D$29=0,1,(MAX(DL139,0)/Inputs!$D$6)^Inputs!$D$29)</f>
        <v>2800.4908265950871</v>
      </c>
      <c r="DJ140" s="38">
        <f>Inputs!$D$32*DL139/Inputs!$D$6</f>
        <v>1537.6874673627651</v>
      </c>
      <c r="DK140" s="38">
        <f>Inputs!$D$33</f>
        <v>1500</v>
      </c>
      <c r="DL140" s="38">
        <f t="shared" si="143"/>
        <v>316343.95772490714</v>
      </c>
      <c r="DM140" s="38">
        <f t="shared" si="144"/>
        <v>0</v>
      </c>
      <c r="DN140" s="38">
        <f>Inputs!$D$19*(1-Inputs!$C$73*$H140)+Inputs!$D$21+Inputs!$B$73*$J140</f>
        <v>398150</v>
      </c>
      <c r="DO140" s="38">
        <f t="shared" si="145"/>
        <v>-81806.042275092856</v>
      </c>
      <c r="DP140" s="38">
        <f t="shared" si="146"/>
        <v>1</v>
      </c>
    </row>
    <row r="141" spans="1:120" x14ac:dyDescent="0.35">
      <c r="A141" s="29">
        <v>136</v>
      </c>
      <c r="B141" s="34">
        <f>EDATE(Inputs!$B$67,$A141)</f>
        <v>50406</v>
      </c>
      <c r="C141" s="35">
        <f>IF(Inputs!$E$47&lt;=0,Inputs!$E$46,Inputs!$E$44+(Inputs!$E$46-Inputs!$E$44)*MIN($A141/Inputs!$E$47,1))</f>
        <v>0.7</v>
      </c>
      <c r="D141" s="35">
        <f>MIN(Inputs!$E$57,Inputs!$E$55*(1+Inputs!$E$56)^($A141/12))*Inputs!$E$58*(1+Inputs!$E$59)^($A141/12)/Inputs!$E$45</f>
        <v>1.5</v>
      </c>
      <c r="E141" s="35">
        <f>MAX(Inputs!$E$44,MIN(C141,D141))</f>
        <v>0.7</v>
      </c>
      <c r="F141" s="35">
        <f>IF(Inputs!$E$50&lt;=0,Inputs!$E$49,Inputs!$E$48+(Inputs!$E$49-Inputs!$E$48)*MIN($A141/Inputs!$E$50,1))</f>
        <v>0.12</v>
      </c>
      <c r="G141" s="36">
        <f>(Inputs!$E$41*(1-E141*Inputs!$E$51)+Inputs!$E$42*(1-F141*Inputs!$E$51))/(Inputs!$E$41*(1-Inputs!$E$44*Inputs!$E$51)+Inputs!$E$42*(1-Inputs!$E$48*Inputs!$E$51))</f>
        <v>0.8423127463863338</v>
      </c>
      <c r="H141" s="35">
        <f>IF(Inputs!$E$53&lt;=0,Inputs!$E$52,Inputs!$E$52*MIN($A141/Inputs!$E$53,1))</f>
        <v>0.1</v>
      </c>
      <c r="I141" s="35">
        <f>IF(Inputs!$E$64&lt;=0,Inputs!$E$63,Inputs!$E$62+(Inputs!$E$63-Inputs!$E$62)*MIN($A141/Inputs!$E$64,1))</f>
        <v>0.03</v>
      </c>
      <c r="J141" s="37">
        <f>(E141-Inputs!$E$44)*Inputs!$E$45/Inputs!$E$60*Inputs!$E$61</f>
        <v>5999.9999999999991</v>
      </c>
      <c r="K141" s="29">
        <f t="shared" si="98"/>
        <v>0</v>
      </c>
      <c r="L141" s="29"/>
      <c r="M141" s="38">
        <f>MAX(0,MIN(Inputs!$B$36,R140,N141+O141+P141+Inputs!$B$6-Q140))</f>
        <v>0</v>
      </c>
      <c r="N141" s="38">
        <f>Inputs!$B$27*(1+Inputs!$B$28)^($A141/12)*IF(Inputs!$B$70=1,$G141,1)*(1-Inputs!$C$70*$H141*(1-Inputs!$E$54*Inputs!$B$70))*(1+$I141)*IF(Inputs!$B$29=0,1,(MAX(Q140,0)/Inputs!$B$6)^Inputs!$B$29)</f>
        <v>26858.012599225069</v>
      </c>
      <c r="O141" s="38">
        <f>Inputs!$B$32*Q140/Inputs!$B$6</f>
        <v>0</v>
      </c>
      <c r="P141" s="38">
        <f>Inputs!$B$33</f>
        <v>2500</v>
      </c>
      <c r="Q141" s="38">
        <f t="shared" si="99"/>
        <v>0</v>
      </c>
      <c r="R141" s="38">
        <f t="shared" si="100"/>
        <v>0</v>
      </c>
      <c r="S141" s="38">
        <f>Inputs!$B$19*(1-Inputs!$C$70*$H141)+Inputs!$B$21+Inputs!$B$70*$J141</f>
        <v>595000</v>
      </c>
      <c r="T141" s="38">
        <f t="shared" si="101"/>
        <v>-595000</v>
      </c>
      <c r="U141" s="38">
        <f t="shared" si="102"/>
        <v>1</v>
      </c>
      <c r="V141" s="38">
        <f>MAX(0,MIN(Inputs!$C$36,AA140,W141+X141+Y141+Inputs!$C$6-Z140))</f>
        <v>0</v>
      </c>
      <c r="W141" s="38">
        <f>Inputs!$C$27*(1+Inputs!$C$28)^($A141/12)*IF(Inputs!$B$70=1,$G141,1)*(1-Inputs!$C$70*$H141*(1-Inputs!$E$54*Inputs!$B$70))*(1+$I141)*IF(Inputs!$C$29=0,1,(MAX(Z140,0)/Inputs!$C$6)^Inputs!$C$29)</f>
        <v>0</v>
      </c>
      <c r="X141" s="38">
        <f>Inputs!$C$32*Z140/Inputs!$C$6</f>
        <v>0</v>
      </c>
      <c r="Y141" s="38">
        <f>Inputs!$C$33</f>
        <v>2000</v>
      </c>
      <c r="Z141" s="38">
        <f t="shared" si="103"/>
        <v>0</v>
      </c>
      <c r="AA141" s="38">
        <f t="shared" si="104"/>
        <v>0</v>
      </c>
      <c r="AB141" s="38">
        <f>Inputs!$C$19*(1-Inputs!$C$70*$H141)+Inputs!$C$21+Inputs!$B$70*$J141</f>
        <v>495000</v>
      </c>
      <c r="AC141" s="38">
        <f t="shared" si="105"/>
        <v>-495000</v>
      </c>
      <c r="AD141" s="38">
        <f t="shared" si="106"/>
        <v>1</v>
      </c>
      <c r="AE141" s="38">
        <f>MAX(0,MIN(Inputs!$D$36,AJ140,AF141+AG141+AH141+Inputs!$D$6-AI140))</f>
        <v>0</v>
      </c>
      <c r="AF141" s="38">
        <f>Inputs!$D$27*(1+Inputs!$D$28)^($A141/12)*IF(Inputs!$B$70=1,$G141,1)*(1-Inputs!$C$70*$H141*(1-Inputs!$E$54*Inputs!$B$70))*(1+$I141)*IF(Inputs!$D$29=0,1,(MAX(AI140,0)/Inputs!$D$6)^Inputs!$D$29)</f>
        <v>2881.112616245216</v>
      </c>
      <c r="AG141" s="38">
        <f>Inputs!$D$32*AI140/Inputs!$D$6</f>
        <v>1051.0585825843507</v>
      </c>
      <c r="AH141" s="38">
        <f>Inputs!$D$33</f>
        <v>1500</v>
      </c>
      <c r="AI141" s="38">
        <f t="shared" si="107"/>
        <v>214789.62705693915</v>
      </c>
      <c r="AJ141" s="38">
        <f t="shared" si="108"/>
        <v>0</v>
      </c>
      <c r="AK141" s="38">
        <f>Inputs!$D$19*(1-Inputs!$C$70*$H141)+Inputs!$D$21+Inputs!$B$70*$J141</f>
        <v>404800</v>
      </c>
      <c r="AL141" s="38">
        <f t="shared" si="109"/>
        <v>-190010.37294306085</v>
      </c>
      <c r="AM141" s="38">
        <f t="shared" si="110"/>
        <v>1</v>
      </c>
      <c r="AN141" s="38">
        <f>MAX(0,MIN(Inputs!$B$36,AS140,AO141+AP141+AQ141+Inputs!$B$6-AR140))</f>
        <v>0</v>
      </c>
      <c r="AO141" s="38">
        <f>Inputs!$B$27*(1+Inputs!$B$28)^($A141/12)*IF(Inputs!$B$71=1,$G141,1)*(1-Inputs!$C$71*$H141*(1-Inputs!$E$54*Inputs!$B$71))*(1+$I141)*IF(Inputs!$B$29=0,1,(MAX(AR140,0)/Inputs!$B$6)^Inputs!$B$29)</f>
        <v>22622.846354932022</v>
      </c>
      <c r="AP141" s="38">
        <f>Inputs!$B$32*AR140/Inputs!$B$6</f>
        <v>0</v>
      </c>
      <c r="AQ141" s="38">
        <f>Inputs!$B$33</f>
        <v>2500</v>
      </c>
      <c r="AR141" s="38">
        <f t="shared" si="111"/>
        <v>0</v>
      </c>
      <c r="AS141" s="38">
        <f t="shared" si="112"/>
        <v>0</v>
      </c>
      <c r="AT141" s="38">
        <f>Inputs!$B$19*(1-Inputs!$C$71*$H141)+Inputs!$B$21+Inputs!$B$71*$J141</f>
        <v>601000</v>
      </c>
      <c r="AU141" s="38">
        <f t="shared" si="113"/>
        <v>-601000</v>
      </c>
      <c r="AV141" s="38">
        <f t="shared" si="114"/>
        <v>1</v>
      </c>
      <c r="AW141" s="38">
        <f>MAX(0,MIN(Inputs!$C$36,BB140,AX141+AY141+AZ141+Inputs!$C$6-BA140))</f>
        <v>0</v>
      </c>
      <c r="AX141" s="38">
        <f>Inputs!$C$27*(1+Inputs!$C$28)^($A141/12)*IF(Inputs!$B$71=1,$G141,1)*(1-Inputs!$C$71*$H141*(1-Inputs!$E$54*Inputs!$B$71))*(1+$I141)*IF(Inputs!$C$29=0,1,(MAX(BA140,0)/Inputs!$C$6)^Inputs!$C$29)</f>
        <v>0</v>
      </c>
      <c r="AY141" s="38">
        <f>Inputs!$C$32*BA140/Inputs!$C$6</f>
        <v>0</v>
      </c>
      <c r="AZ141" s="38">
        <f>Inputs!$C$33</f>
        <v>2000</v>
      </c>
      <c r="BA141" s="38">
        <f t="shared" si="115"/>
        <v>0</v>
      </c>
      <c r="BB141" s="38">
        <f t="shared" si="116"/>
        <v>0</v>
      </c>
      <c r="BC141" s="38">
        <f>Inputs!$C$19*(1-Inputs!$C$71*$H141)+Inputs!$C$21+Inputs!$B$71*$J141</f>
        <v>501000</v>
      </c>
      <c r="BD141" s="38">
        <f t="shared" si="117"/>
        <v>-501000</v>
      </c>
      <c r="BE141" s="38">
        <f t="shared" si="118"/>
        <v>1</v>
      </c>
      <c r="BF141" s="38">
        <f>MAX(0,MIN(Inputs!$D$36,BK140,BG141+BH141+BI141+Inputs!$D$6-BJ140))</f>
        <v>0</v>
      </c>
      <c r="BG141" s="38">
        <f>Inputs!$D$27*(1+Inputs!$D$28)^($A141/12)*IF(Inputs!$B$71=1,$G141,1)*(1-Inputs!$C$71*$H141*(1-Inputs!$E$54*Inputs!$B$71))*(1+$I141)*IF(Inputs!$D$29=0,1,(MAX(BJ140,0)/Inputs!$D$6)^Inputs!$D$29)</f>
        <v>2815.1174667642031</v>
      </c>
      <c r="BH141" s="38">
        <f>Inputs!$D$32*BJ140/Inputs!$D$6</f>
        <v>1414.3365077295994</v>
      </c>
      <c r="BI141" s="38">
        <f>Inputs!$D$33</f>
        <v>1500</v>
      </c>
      <c r="BJ141" s="38">
        <f t="shared" si="119"/>
        <v>290607.71907361277</v>
      </c>
      <c r="BK141" s="38">
        <f t="shared" si="120"/>
        <v>0</v>
      </c>
      <c r="BL141" s="38">
        <f>Inputs!$D$19*(1-Inputs!$C$71*$H141)+Inputs!$D$21+Inputs!$B$71*$J141</f>
        <v>410800</v>
      </c>
      <c r="BM141" s="38">
        <f t="shared" si="121"/>
        <v>-120192.28092638723</v>
      </c>
      <c r="BN141" s="38">
        <f t="shared" si="122"/>
        <v>1</v>
      </c>
      <c r="BO141" s="38">
        <f>MAX(0,MIN(Inputs!$B$36,BT140,BP141+BQ141+BR141+Inputs!$B$6-BS140))</f>
        <v>0</v>
      </c>
      <c r="BP141" s="38">
        <f>Inputs!$B$27*(1+Inputs!$B$28)^($A141/12)*IF(Inputs!$B$72=1,$G141,1)*(1-Inputs!$C$72*$H141*(1-Inputs!$E$54*Inputs!$B$72))*(1+$I141)*IF(Inputs!$B$29=0,1,(MAX(BS140,0)/Inputs!$B$6)^Inputs!$B$29)</f>
        <v>24172.211339302565</v>
      </c>
      <c r="BQ141" s="38">
        <f>Inputs!$B$32*BS140/Inputs!$B$6</f>
        <v>0</v>
      </c>
      <c r="BR141" s="38">
        <f>Inputs!$B$33</f>
        <v>2500</v>
      </c>
      <c r="BS141" s="38">
        <f t="shared" si="123"/>
        <v>0</v>
      </c>
      <c r="BT141" s="38">
        <f t="shared" si="124"/>
        <v>0</v>
      </c>
      <c r="BU141" s="38">
        <f>Inputs!$B$19*(1-Inputs!$C$72*$H141)+Inputs!$B$21+Inputs!$B$72*$J141</f>
        <v>577500</v>
      </c>
      <c r="BV141" s="38">
        <f t="shared" si="125"/>
        <v>-577500</v>
      </c>
      <c r="BW141" s="38">
        <f t="shared" si="126"/>
        <v>1</v>
      </c>
      <c r="BX141" s="38">
        <f>MAX(0,MIN(Inputs!$C$36,CC140,BY141+BZ141+CA141+Inputs!$C$6-CB140))</f>
        <v>0</v>
      </c>
      <c r="BY141" s="38">
        <f>Inputs!$C$27*(1+Inputs!$C$28)^($A141/12)*IF(Inputs!$B$72=1,$G141,1)*(1-Inputs!$C$72*$H141*(1-Inputs!$E$54*Inputs!$B$72))*(1+$I141)*IF(Inputs!$C$29=0,1,(MAX(CB140,0)/Inputs!$C$6)^Inputs!$C$29)</f>
        <v>0</v>
      </c>
      <c r="BZ141" s="38">
        <f>Inputs!$C$32*CB140/Inputs!$C$6</f>
        <v>0</v>
      </c>
      <c r="CA141" s="38">
        <f>Inputs!$C$33</f>
        <v>2000</v>
      </c>
      <c r="CB141" s="38">
        <f t="shared" si="127"/>
        <v>0</v>
      </c>
      <c r="CC141" s="38">
        <f t="shared" si="128"/>
        <v>0</v>
      </c>
      <c r="CD141" s="38">
        <f>Inputs!$C$19*(1-Inputs!$C$72*$H141)+Inputs!$C$21+Inputs!$B$72*$J141</f>
        <v>480000</v>
      </c>
      <c r="CE141" s="38">
        <f t="shared" si="129"/>
        <v>-480000</v>
      </c>
      <c r="CF141" s="38">
        <f t="shared" si="130"/>
        <v>1</v>
      </c>
      <c r="CG141" s="38">
        <f>MAX(0,MIN(Inputs!$D$36,CL140,CH141+CI141+CJ141+Inputs!$D$6-CK140))</f>
        <v>0</v>
      </c>
      <c r="CH141" s="38">
        <f>Inputs!$D$27*(1+Inputs!$D$28)^($A141/12)*IF(Inputs!$B$72=1,$G141,1)*(1-Inputs!$C$72*$H141*(1-Inputs!$E$54*Inputs!$B$72))*(1+$I141)*IF(Inputs!$D$29=0,1,(MAX(CK140,0)/Inputs!$D$6)^Inputs!$D$29)</f>
        <v>2831.7163443571599</v>
      </c>
      <c r="CI141" s="38">
        <f>Inputs!$D$32*CK140/Inputs!$D$6</f>
        <v>1253.4901644305351</v>
      </c>
      <c r="CJ141" s="38">
        <f>Inputs!$D$33</f>
        <v>1500</v>
      </c>
      <c r="CK141" s="38">
        <f t="shared" si="131"/>
        <v>257050.82794332443</v>
      </c>
      <c r="CL141" s="38">
        <f t="shared" si="132"/>
        <v>0</v>
      </c>
      <c r="CM141" s="38">
        <f>Inputs!$D$19*(1-Inputs!$C$72*$H141)+Inputs!$D$21+Inputs!$B$72*$J141</f>
        <v>392150</v>
      </c>
      <c r="CN141" s="38">
        <f t="shared" si="133"/>
        <v>-135099.17205667557</v>
      </c>
      <c r="CO141" s="38">
        <f t="shared" si="134"/>
        <v>1</v>
      </c>
      <c r="CP141" s="38">
        <f>MAX(0,MIN(Inputs!$B$36,CU140,CQ141+CR141+CS141+Inputs!$B$6-CT140))</f>
        <v>0</v>
      </c>
      <c r="CQ141" s="38">
        <f>Inputs!$B$27*(1+Inputs!$B$28)^($A141/12)*IF(Inputs!$B$73=1,$G141,1)*(1-Inputs!$C$73*$H141*(1-Inputs!$E$54*Inputs!$B$73))*(1+$I141)*IF(Inputs!$B$29=0,1,(MAX(CT140,0)/Inputs!$B$6)^Inputs!$B$29)</f>
        <v>21491.70403718542</v>
      </c>
      <c r="CR141" s="38">
        <f>Inputs!$B$32*CT140/Inputs!$B$6</f>
        <v>0</v>
      </c>
      <c r="CS141" s="38">
        <f>Inputs!$B$33</f>
        <v>2500</v>
      </c>
      <c r="CT141" s="38">
        <f t="shared" si="135"/>
        <v>0</v>
      </c>
      <c r="CU141" s="38">
        <f t="shared" si="136"/>
        <v>0</v>
      </c>
      <c r="CV141" s="38">
        <f>Inputs!$B$19*(1-Inputs!$C$73*$H141)+Inputs!$B$21+Inputs!$B$73*$J141</f>
        <v>583500</v>
      </c>
      <c r="CW141" s="38">
        <f t="shared" si="137"/>
        <v>-583500</v>
      </c>
      <c r="CX141" s="38">
        <f t="shared" si="138"/>
        <v>1</v>
      </c>
      <c r="CY141" s="38">
        <f>MAX(0,MIN(Inputs!$C$36,DD140,CZ141+DA141+DB141+Inputs!$C$6-DC140))</f>
        <v>0</v>
      </c>
      <c r="CZ141" s="38">
        <f>Inputs!$C$27*(1+Inputs!$C$28)^($A141/12)*IF(Inputs!$B$73=1,$G141,1)*(1-Inputs!$C$73*$H141*(1-Inputs!$E$54*Inputs!$B$73))*(1+$I141)*IF(Inputs!$C$29=0,1,(MAX(DC140,0)/Inputs!$C$6)^Inputs!$C$29)</f>
        <v>0</v>
      </c>
      <c r="DA141" s="38">
        <f>Inputs!$C$32*DC140/Inputs!$C$6</f>
        <v>0</v>
      </c>
      <c r="DB141" s="38">
        <f>Inputs!$C$33</f>
        <v>2000</v>
      </c>
      <c r="DC141" s="38">
        <f t="shared" si="139"/>
        <v>0</v>
      </c>
      <c r="DD141" s="38">
        <f t="shared" si="140"/>
        <v>0</v>
      </c>
      <c r="DE141" s="38">
        <f>Inputs!$C$19*(1-Inputs!$C$73*$H141)+Inputs!$C$21+Inputs!$B$73*$J141</f>
        <v>486000</v>
      </c>
      <c r="DF141" s="38">
        <f t="shared" si="141"/>
        <v>-486000</v>
      </c>
      <c r="DG141" s="38">
        <f t="shared" si="142"/>
        <v>1</v>
      </c>
      <c r="DH141" s="38">
        <f>MAX(0,MIN(Inputs!$D$36,DM140,DI141+DJ141+DK141+Inputs!$D$6-DL140))</f>
        <v>0</v>
      </c>
      <c r="DI141" s="38">
        <f>Inputs!$D$27*(1+Inputs!$D$28)^($A141/12)*IF(Inputs!$B$73=1,$G141,1)*(1-Inputs!$C$73*$H141*(1-Inputs!$E$54*Inputs!$B$73))*(1+$I141)*IF(Inputs!$D$29=0,1,(MAX(DL140,0)/Inputs!$D$6)^Inputs!$D$29)</f>
        <v>2763.165080066824</v>
      </c>
      <c r="DJ141" s="38">
        <f>Inputs!$D$32*DL140/Inputs!$D$6</f>
        <v>1509.8234345961478</v>
      </c>
      <c r="DK141" s="38">
        <f>Inputs!$D$33</f>
        <v>1500</v>
      </c>
      <c r="DL141" s="38">
        <f t="shared" si="143"/>
        <v>310570.96921024419</v>
      </c>
      <c r="DM141" s="38">
        <f t="shared" si="144"/>
        <v>0</v>
      </c>
      <c r="DN141" s="38">
        <f>Inputs!$D$19*(1-Inputs!$C$73*$H141)+Inputs!$D$21+Inputs!$B$73*$J141</f>
        <v>398150</v>
      </c>
      <c r="DO141" s="38">
        <f t="shared" si="145"/>
        <v>-87579.030789755809</v>
      </c>
      <c r="DP141" s="38">
        <f t="shared" si="146"/>
        <v>1</v>
      </c>
    </row>
    <row r="142" spans="1:120" x14ac:dyDescent="0.35">
      <c r="A142" s="29">
        <v>137</v>
      </c>
      <c r="B142" s="34">
        <f>EDATE(Inputs!$B$67,$A142)</f>
        <v>50437</v>
      </c>
      <c r="C142" s="35">
        <f>IF(Inputs!$E$47&lt;=0,Inputs!$E$46,Inputs!$E$44+(Inputs!$E$46-Inputs!$E$44)*MIN($A142/Inputs!$E$47,1))</f>
        <v>0.7</v>
      </c>
      <c r="D142" s="35">
        <f>MIN(Inputs!$E$57,Inputs!$E$55*(1+Inputs!$E$56)^($A142/12))*Inputs!$E$58*(1+Inputs!$E$59)^($A142/12)/Inputs!$E$45</f>
        <v>1.5</v>
      </c>
      <c r="E142" s="35">
        <f>MAX(Inputs!$E$44,MIN(C142,D142))</f>
        <v>0.7</v>
      </c>
      <c r="F142" s="35">
        <f>IF(Inputs!$E$50&lt;=0,Inputs!$E$49,Inputs!$E$48+(Inputs!$E$49-Inputs!$E$48)*MIN($A142/Inputs!$E$50,1))</f>
        <v>0.12</v>
      </c>
      <c r="G142" s="36">
        <f>(Inputs!$E$41*(1-E142*Inputs!$E$51)+Inputs!$E$42*(1-F142*Inputs!$E$51))/(Inputs!$E$41*(1-Inputs!$E$44*Inputs!$E$51)+Inputs!$E$42*(1-Inputs!$E$48*Inputs!$E$51))</f>
        <v>0.8423127463863338</v>
      </c>
      <c r="H142" s="35">
        <f>IF(Inputs!$E$53&lt;=0,Inputs!$E$52,Inputs!$E$52*MIN($A142/Inputs!$E$53,1))</f>
        <v>0.1</v>
      </c>
      <c r="I142" s="35">
        <f>IF(Inputs!$E$64&lt;=0,Inputs!$E$63,Inputs!$E$62+(Inputs!$E$63-Inputs!$E$62)*MIN($A142/Inputs!$E$64,1))</f>
        <v>0.03</v>
      </c>
      <c r="J142" s="37">
        <f>(E142-Inputs!$E$44)*Inputs!$E$45/Inputs!$E$60*Inputs!$E$61</f>
        <v>5999.9999999999991</v>
      </c>
      <c r="K142" s="29">
        <f t="shared" si="98"/>
        <v>0</v>
      </c>
      <c r="L142" s="29"/>
      <c r="M142" s="38">
        <f>MAX(0,MIN(Inputs!$B$36,R141,N142+O142+P142+Inputs!$B$6-Q141))</f>
        <v>0</v>
      </c>
      <c r="N142" s="38">
        <f>Inputs!$B$27*(1+Inputs!$B$28)^($A142/12)*IF(Inputs!$B$70=1,$G142,1)*(1-Inputs!$C$70*$H142*(1-Inputs!$E$54*Inputs!$B$70))*(1+$I142)*IF(Inputs!$B$29=0,1,(MAX(Q141,0)/Inputs!$B$6)^Inputs!$B$29)</f>
        <v>26967.435467137097</v>
      </c>
      <c r="O142" s="38">
        <f>Inputs!$B$32*Q141/Inputs!$B$6</f>
        <v>0</v>
      </c>
      <c r="P142" s="38">
        <f>Inputs!$B$33</f>
        <v>2500</v>
      </c>
      <c r="Q142" s="38">
        <f t="shared" si="99"/>
        <v>0</v>
      </c>
      <c r="R142" s="38">
        <f t="shared" si="100"/>
        <v>0</v>
      </c>
      <c r="S142" s="38">
        <f>Inputs!$B$19*(1-Inputs!$C$70*$H142)+Inputs!$B$21+Inputs!$B$70*$J142</f>
        <v>595000</v>
      </c>
      <c r="T142" s="38">
        <f t="shared" si="101"/>
        <v>-595000</v>
      </c>
      <c r="U142" s="38">
        <f t="shared" si="102"/>
        <v>1</v>
      </c>
      <c r="V142" s="38">
        <f>MAX(0,MIN(Inputs!$C$36,AA141,W142+X142+Y142+Inputs!$C$6-Z141))</f>
        <v>0</v>
      </c>
      <c r="W142" s="38">
        <f>Inputs!$C$27*(1+Inputs!$C$28)^($A142/12)*IF(Inputs!$B$70=1,$G142,1)*(1-Inputs!$C$70*$H142*(1-Inputs!$E$54*Inputs!$B$70))*(1+$I142)*IF(Inputs!$C$29=0,1,(MAX(Z141,0)/Inputs!$C$6)^Inputs!$C$29)</f>
        <v>0</v>
      </c>
      <c r="X142" s="38">
        <f>Inputs!$C$32*Z141/Inputs!$C$6</f>
        <v>0</v>
      </c>
      <c r="Y142" s="38">
        <f>Inputs!$C$33</f>
        <v>2000</v>
      </c>
      <c r="Z142" s="38">
        <f t="shared" si="103"/>
        <v>0</v>
      </c>
      <c r="AA142" s="38">
        <f t="shared" si="104"/>
        <v>0</v>
      </c>
      <c r="AB142" s="38">
        <f>Inputs!$C$19*(1-Inputs!$C$70*$H142)+Inputs!$C$21+Inputs!$B$70*$J142</f>
        <v>495000</v>
      </c>
      <c r="AC142" s="38">
        <f t="shared" si="105"/>
        <v>-495000</v>
      </c>
      <c r="AD142" s="38">
        <f t="shared" si="106"/>
        <v>1</v>
      </c>
      <c r="AE142" s="38">
        <f>MAX(0,MIN(Inputs!$D$36,AJ141,AF142+AG142+AH142+Inputs!$D$6-AI141))</f>
        <v>0</v>
      </c>
      <c r="AF142" s="38">
        <f>Inputs!$D$27*(1+Inputs!$D$28)^($A142/12)*IF(Inputs!$B$70=1,$G142,1)*(1-Inputs!$C$70*$H142*(1-Inputs!$E$54*Inputs!$B$70))*(1+$I142)*IF(Inputs!$D$29=0,1,(MAX(AI141,0)/Inputs!$D$6)^Inputs!$D$29)</f>
        <v>2833.2204486783198</v>
      </c>
      <c r="AG142" s="38">
        <f>Inputs!$D$32*AI141/Inputs!$D$6</f>
        <v>1025.1323109535731</v>
      </c>
      <c r="AH142" s="38">
        <f>Inputs!$D$33</f>
        <v>1500</v>
      </c>
      <c r="AI142" s="38">
        <f t="shared" si="107"/>
        <v>209431.27429730725</v>
      </c>
      <c r="AJ142" s="38">
        <f t="shared" si="108"/>
        <v>0</v>
      </c>
      <c r="AK142" s="38">
        <f>Inputs!$D$19*(1-Inputs!$C$70*$H142)+Inputs!$D$21+Inputs!$B$70*$J142</f>
        <v>404800</v>
      </c>
      <c r="AL142" s="38">
        <f t="shared" si="109"/>
        <v>-195368.72570269275</v>
      </c>
      <c r="AM142" s="38">
        <f t="shared" si="110"/>
        <v>1</v>
      </c>
      <c r="AN142" s="38">
        <f>MAX(0,MIN(Inputs!$B$36,AS141,AO142+AP142+AQ142+Inputs!$B$6-AR141))</f>
        <v>0</v>
      </c>
      <c r="AO142" s="38">
        <f>Inputs!$B$27*(1+Inputs!$B$28)^($A142/12)*IF(Inputs!$B$71=1,$G142,1)*(1-Inputs!$C$71*$H142*(1-Inputs!$E$54*Inputs!$B$71))*(1+$I142)*IF(Inputs!$B$29=0,1,(MAX(AR141,0)/Inputs!$B$6)^Inputs!$B$29)</f>
        <v>22715.014631320471</v>
      </c>
      <c r="AP142" s="38">
        <f>Inputs!$B$32*AR141/Inputs!$B$6</f>
        <v>0</v>
      </c>
      <c r="AQ142" s="38">
        <f>Inputs!$B$33</f>
        <v>2500</v>
      </c>
      <c r="AR142" s="38">
        <f t="shared" si="111"/>
        <v>0</v>
      </c>
      <c r="AS142" s="38">
        <f t="shared" si="112"/>
        <v>0</v>
      </c>
      <c r="AT142" s="38">
        <f>Inputs!$B$19*(1-Inputs!$C$71*$H142)+Inputs!$B$21+Inputs!$B$71*$J142</f>
        <v>601000</v>
      </c>
      <c r="AU142" s="38">
        <f t="shared" si="113"/>
        <v>-601000</v>
      </c>
      <c r="AV142" s="38">
        <f t="shared" si="114"/>
        <v>1</v>
      </c>
      <c r="AW142" s="38">
        <f>MAX(0,MIN(Inputs!$C$36,BB141,AX142+AY142+AZ142+Inputs!$C$6-BA141))</f>
        <v>0</v>
      </c>
      <c r="AX142" s="38">
        <f>Inputs!$C$27*(1+Inputs!$C$28)^($A142/12)*IF(Inputs!$B$71=1,$G142,1)*(1-Inputs!$C$71*$H142*(1-Inputs!$E$54*Inputs!$B$71))*(1+$I142)*IF(Inputs!$C$29=0,1,(MAX(BA141,0)/Inputs!$C$6)^Inputs!$C$29)</f>
        <v>0</v>
      </c>
      <c r="AY142" s="38">
        <f>Inputs!$C$32*BA141/Inputs!$C$6</f>
        <v>0</v>
      </c>
      <c r="AZ142" s="38">
        <f>Inputs!$C$33</f>
        <v>2000</v>
      </c>
      <c r="BA142" s="38">
        <f t="shared" si="115"/>
        <v>0</v>
      </c>
      <c r="BB142" s="38">
        <f t="shared" si="116"/>
        <v>0</v>
      </c>
      <c r="BC142" s="38">
        <f>Inputs!$C$19*(1-Inputs!$C$71*$H142)+Inputs!$C$21+Inputs!$B$71*$J142</f>
        <v>501000</v>
      </c>
      <c r="BD142" s="38">
        <f t="shared" si="117"/>
        <v>-501000</v>
      </c>
      <c r="BE142" s="38">
        <f t="shared" si="118"/>
        <v>1</v>
      </c>
      <c r="BF142" s="38">
        <f>MAX(0,MIN(Inputs!$D$36,BK141,BG142+BH142+BI142+Inputs!$D$6-BJ141))</f>
        <v>0</v>
      </c>
      <c r="BG142" s="38">
        <f>Inputs!$D$27*(1+Inputs!$D$28)^($A142/12)*IF(Inputs!$B$71=1,$G142,1)*(1-Inputs!$C$71*$H142*(1-Inputs!$E$54*Inputs!$B$71))*(1+$I142)*IF(Inputs!$D$29=0,1,(MAX(BJ141,0)/Inputs!$D$6)^Inputs!$D$29)</f>
        <v>2775.8798304406282</v>
      </c>
      <c r="BH142" s="38">
        <f>Inputs!$D$32*BJ141/Inputs!$D$6</f>
        <v>1386.9913864876971</v>
      </c>
      <c r="BI142" s="38">
        <f>Inputs!$D$33</f>
        <v>1500</v>
      </c>
      <c r="BJ142" s="38">
        <f t="shared" si="119"/>
        <v>284944.84785668447</v>
      </c>
      <c r="BK142" s="38">
        <f t="shared" si="120"/>
        <v>0</v>
      </c>
      <c r="BL142" s="38">
        <f>Inputs!$D$19*(1-Inputs!$C$71*$H142)+Inputs!$D$21+Inputs!$B$71*$J142</f>
        <v>410800</v>
      </c>
      <c r="BM142" s="38">
        <f t="shared" si="121"/>
        <v>-125855.15214331553</v>
      </c>
      <c r="BN142" s="38">
        <f t="shared" si="122"/>
        <v>1</v>
      </c>
      <c r="BO142" s="38">
        <f>MAX(0,MIN(Inputs!$B$36,BT141,BP142+BQ142+BR142+Inputs!$B$6-BS141))</f>
        <v>0</v>
      </c>
      <c r="BP142" s="38">
        <f>Inputs!$B$27*(1+Inputs!$B$28)^($A142/12)*IF(Inputs!$B$72=1,$G142,1)*(1-Inputs!$C$72*$H142*(1-Inputs!$E$54*Inputs!$B$72))*(1+$I142)*IF(Inputs!$B$29=0,1,(MAX(BS141,0)/Inputs!$B$6)^Inputs!$B$29)</f>
        <v>24270.691920423389</v>
      </c>
      <c r="BQ142" s="38">
        <f>Inputs!$B$32*BS141/Inputs!$B$6</f>
        <v>0</v>
      </c>
      <c r="BR142" s="38">
        <f>Inputs!$B$33</f>
        <v>2500</v>
      </c>
      <c r="BS142" s="38">
        <f t="shared" si="123"/>
        <v>0</v>
      </c>
      <c r="BT142" s="38">
        <f t="shared" si="124"/>
        <v>0</v>
      </c>
      <c r="BU142" s="38">
        <f>Inputs!$B$19*(1-Inputs!$C$72*$H142)+Inputs!$B$21+Inputs!$B$72*$J142</f>
        <v>577500</v>
      </c>
      <c r="BV142" s="38">
        <f t="shared" si="125"/>
        <v>-577500</v>
      </c>
      <c r="BW142" s="38">
        <f t="shared" si="126"/>
        <v>1</v>
      </c>
      <c r="BX142" s="38">
        <f>MAX(0,MIN(Inputs!$C$36,CC141,BY142+BZ142+CA142+Inputs!$C$6-CB141))</f>
        <v>0</v>
      </c>
      <c r="BY142" s="38">
        <f>Inputs!$C$27*(1+Inputs!$C$28)^($A142/12)*IF(Inputs!$B$72=1,$G142,1)*(1-Inputs!$C$72*$H142*(1-Inputs!$E$54*Inputs!$B$72))*(1+$I142)*IF(Inputs!$C$29=0,1,(MAX(CB141,0)/Inputs!$C$6)^Inputs!$C$29)</f>
        <v>0</v>
      </c>
      <c r="BZ142" s="38">
        <f>Inputs!$C$32*CB141/Inputs!$C$6</f>
        <v>0</v>
      </c>
      <c r="CA142" s="38">
        <f>Inputs!$C$33</f>
        <v>2000</v>
      </c>
      <c r="CB142" s="38">
        <f t="shared" si="127"/>
        <v>0</v>
      </c>
      <c r="CC142" s="38">
        <f t="shared" si="128"/>
        <v>0</v>
      </c>
      <c r="CD142" s="38">
        <f>Inputs!$C$19*(1-Inputs!$C$72*$H142)+Inputs!$C$21+Inputs!$B$72*$J142</f>
        <v>480000</v>
      </c>
      <c r="CE142" s="38">
        <f t="shared" si="129"/>
        <v>-480000</v>
      </c>
      <c r="CF142" s="38">
        <f t="shared" si="130"/>
        <v>1</v>
      </c>
      <c r="CG142" s="38">
        <f>MAX(0,MIN(Inputs!$D$36,CL141,CH142+CI142+CJ142+Inputs!$D$6-CK141))</f>
        <v>0</v>
      </c>
      <c r="CH142" s="38">
        <f>Inputs!$D$27*(1+Inputs!$D$28)^($A142/12)*IF(Inputs!$B$72=1,$G142,1)*(1-Inputs!$C$72*$H142*(1-Inputs!$E$54*Inputs!$B$72))*(1+$I142)*IF(Inputs!$D$29=0,1,(MAX(CK141,0)/Inputs!$D$6)^Inputs!$D$29)</f>
        <v>2789.4959078060629</v>
      </c>
      <c r="CI142" s="38">
        <f>Inputs!$D$32*CK141/Inputs!$D$6</f>
        <v>1226.8334970022302</v>
      </c>
      <c r="CJ142" s="38">
        <f>Inputs!$D$33</f>
        <v>1500</v>
      </c>
      <c r="CK142" s="38">
        <f t="shared" si="131"/>
        <v>251534.49853851614</v>
      </c>
      <c r="CL142" s="38">
        <f t="shared" si="132"/>
        <v>0</v>
      </c>
      <c r="CM142" s="38">
        <f>Inputs!$D$19*(1-Inputs!$C$72*$H142)+Inputs!$D$21+Inputs!$B$72*$J142</f>
        <v>392150</v>
      </c>
      <c r="CN142" s="38">
        <f t="shared" si="133"/>
        <v>-140615.50146148386</v>
      </c>
      <c r="CO142" s="38">
        <f t="shared" si="134"/>
        <v>1</v>
      </c>
      <c r="CP142" s="38">
        <f>MAX(0,MIN(Inputs!$B$36,CU141,CQ142+CR142+CS142+Inputs!$B$6-CT141))</f>
        <v>0</v>
      </c>
      <c r="CQ142" s="38">
        <f>Inputs!$B$27*(1+Inputs!$B$28)^($A142/12)*IF(Inputs!$B$73=1,$G142,1)*(1-Inputs!$C$73*$H142*(1-Inputs!$E$54*Inputs!$B$73))*(1+$I142)*IF(Inputs!$B$29=0,1,(MAX(CT141,0)/Inputs!$B$6)^Inputs!$B$29)</f>
        <v>21579.263899754449</v>
      </c>
      <c r="CR142" s="38">
        <f>Inputs!$B$32*CT141/Inputs!$B$6</f>
        <v>0</v>
      </c>
      <c r="CS142" s="38">
        <f>Inputs!$B$33</f>
        <v>2500</v>
      </c>
      <c r="CT142" s="38">
        <f t="shared" si="135"/>
        <v>0</v>
      </c>
      <c r="CU142" s="38">
        <f t="shared" si="136"/>
        <v>0</v>
      </c>
      <c r="CV142" s="38">
        <f>Inputs!$B$19*(1-Inputs!$C$73*$H142)+Inputs!$B$21+Inputs!$B$73*$J142</f>
        <v>583500</v>
      </c>
      <c r="CW142" s="38">
        <f t="shared" si="137"/>
        <v>-583500</v>
      </c>
      <c r="CX142" s="38">
        <f t="shared" si="138"/>
        <v>1</v>
      </c>
      <c r="CY142" s="38">
        <f>MAX(0,MIN(Inputs!$C$36,DD141,CZ142+DA142+DB142+Inputs!$C$6-DC141))</f>
        <v>0</v>
      </c>
      <c r="CZ142" s="38">
        <f>Inputs!$C$27*(1+Inputs!$C$28)^($A142/12)*IF(Inputs!$B$73=1,$G142,1)*(1-Inputs!$C$73*$H142*(1-Inputs!$E$54*Inputs!$B$73))*(1+$I142)*IF(Inputs!$C$29=0,1,(MAX(DC141,0)/Inputs!$C$6)^Inputs!$C$29)</f>
        <v>0</v>
      </c>
      <c r="DA142" s="38">
        <f>Inputs!$C$32*DC141/Inputs!$C$6</f>
        <v>0</v>
      </c>
      <c r="DB142" s="38">
        <f>Inputs!$C$33</f>
        <v>2000</v>
      </c>
      <c r="DC142" s="38">
        <f t="shared" si="139"/>
        <v>0</v>
      </c>
      <c r="DD142" s="38">
        <f t="shared" si="140"/>
        <v>0</v>
      </c>
      <c r="DE142" s="38">
        <f>Inputs!$C$19*(1-Inputs!$C$73*$H142)+Inputs!$C$21+Inputs!$B$73*$J142</f>
        <v>486000</v>
      </c>
      <c r="DF142" s="38">
        <f t="shared" si="141"/>
        <v>-486000</v>
      </c>
      <c r="DG142" s="38">
        <f t="shared" si="142"/>
        <v>1</v>
      </c>
      <c r="DH142" s="38">
        <f>MAX(0,MIN(Inputs!$D$36,DM141,DI142+DJ142+DK142+Inputs!$D$6-DL141))</f>
        <v>0</v>
      </c>
      <c r="DI142" s="38">
        <f>Inputs!$D$27*(1+Inputs!$D$28)^($A142/12)*IF(Inputs!$B$73=1,$G142,1)*(1-Inputs!$C$73*$H142*(1-Inputs!$E$54*Inputs!$B$73))*(1+$I142)*IF(Inputs!$D$29=0,1,(MAX(DL141,0)/Inputs!$D$6)^Inputs!$D$29)</f>
        <v>2726.158626218365</v>
      </c>
      <c r="DJ142" s="38">
        <f>Inputs!$D$32*DL141/Inputs!$D$6</f>
        <v>1482.2705348670745</v>
      </c>
      <c r="DK142" s="38">
        <f>Inputs!$D$33</f>
        <v>1500</v>
      </c>
      <c r="DL142" s="38">
        <f t="shared" si="143"/>
        <v>304862.54004915874</v>
      </c>
      <c r="DM142" s="38">
        <f t="shared" si="144"/>
        <v>0</v>
      </c>
      <c r="DN142" s="38">
        <f>Inputs!$D$19*(1-Inputs!$C$73*$H142)+Inputs!$D$21+Inputs!$B$73*$J142</f>
        <v>398150</v>
      </c>
      <c r="DO142" s="38">
        <f t="shared" si="145"/>
        <v>-93287.459950841265</v>
      </c>
      <c r="DP142" s="38">
        <f t="shared" si="146"/>
        <v>1</v>
      </c>
    </row>
    <row r="143" spans="1:120" x14ac:dyDescent="0.35">
      <c r="A143" s="29">
        <v>138</v>
      </c>
      <c r="B143" s="34">
        <f>EDATE(Inputs!$B$67,$A143)</f>
        <v>50465</v>
      </c>
      <c r="C143" s="35">
        <f>IF(Inputs!$E$47&lt;=0,Inputs!$E$46,Inputs!$E$44+(Inputs!$E$46-Inputs!$E$44)*MIN($A143/Inputs!$E$47,1))</f>
        <v>0.7</v>
      </c>
      <c r="D143" s="35">
        <f>MIN(Inputs!$E$57,Inputs!$E$55*(1+Inputs!$E$56)^($A143/12))*Inputs!$E$58*(1+Inputs!$E$59)^($A143/12)/Inputs!$E$45</f>
        <v>1.5</v>
      </c>
      <c r="E143" s="35">
        <f>MAX(Inputs!$E$44,MIN(C143,D143))</f>
        <v>0.7</v>
      </c>
      <c r="F143" s="35">
        <f>IF(Inputs!$E$50&lt;=0,Inputs!$E$49,Inputs!$E$48+(Inputs!$E$49-Inputs!$E$48)*MIN($A143/Inputs!$E$50,1))</f>
        <v>0.12</v>
      </c>
      <c r="G143" s="36">
        <f>(Inputs!$E$41*(1-E143*Inputs!$E$51)+Inputs!$E$42*(1-F143*Inputs!$E$51))/(Inputs!$E$41*(1-Inputs!$E$44*Inputs!$E$51)+Inputs!$E$42*(1-Inputs!$E$48*Inputs!$E$51))</f>
        <v>0.8423127463863338</v>
      </c>
      <c r="H143" s="35">
        <f>IF(Inputs!$E$53&lt;=0,Inputs!$E$52,Inputs!$E$52*MIN($A143/Inputs!$E$53,1))</f>
        <v>0.1</v>
      </c>
      <c r="I143" s="35">
        <f>IF(Inputs!$E$64&lt;=0,Inputs!$E$63,Inputs!$E$62+(Inputs!$E$63-Inputs!$E$62)*MIN($A143/Inputs!$E$64,1))</f>
        <v>0.03</v>
      </c>
      <c r="J143" s="37">
        <f>(E143-Inputs!$E$44)*Inputs!$E$45/Inputs!$E$60*Inputs!$E$61</f>
        <v>5999.9999999999991</v>
      </c>
      <c r="K143" s="29">
        <f t="shared" si="98"/>
        <v>0</v>
      </c>
      <c r="L143" s="29"/>
      <c r="M143" s="38">
        <f>MAX(0,MIN(Inputs!$B$36,R142,N143+O143+P143+Inputs!$B$6-Q142))</f>
        <v>0</v>
      </c>
      <c r="N143" s="38">
        <f>Inputs!$B$27*(1+Inputs!$B$28)^($A143/12)*IF(Inputs!$B$70=1,$G143,1)*(1-Inputs!$C$70*$H143*(1-Inputs!$E$54*Inputs!$B$70))*(1+$I143)*IF(Inputs!$B$29=0,1,(MAX(Q142,0)/Inputs!$B$6)^Inputs!$B$29)</f>
        <v>27077.304137357758</v>
      </c>
      <c r="O143" s="38">
        <f>Inputs!$B$32*Q142/Inputs!$B$6</f>
        <v>0</v>
      </c>
      <c r="P143" s="38">
        <f>Inputs!$B$33</f>
        <v>2500</v>
      </c>
      <c r="Q143" s="38">
        <f t="shared" si="99"/>
        <v>0</v>
      </c>
      <c r="R143" s="38">
        <f t="shared" si="100"/>
        <v>0</v>
      </c>
      <c r="S143" s="38">
        <f>Inputs!$B$19*(1-Inputs!$C$70*$H143)+Inputs!$B$21+Inputs!$B$70*$J143</f>
        <v>595000</v>
      </c>
      <c r="T143" s="38">
        <f t="shared" si="101"/>
        <v>-595000</v>
      </c>
      <c r="U143" s="38">
        <f t="shared" si="102"/>
        <v>1</v>
      </c>
      <c r="V143" s="38">
        <f>MAX(0,MIN(Inputs!$C$36,AA142,W143+X143+Y143+Inputs!$C$6-Z142))</f>
        <v>0</v>
      </c>
      <c r="W143" s="38">
        <f>Inputs!$C$27*(1+Inputs!$C$28)^($A143/12)*IF(Inputs!$B$70=1,$G143,1)*(1-Inputs!$C$70*$H143*(1-Inputs!$E$54*Inputs!$B$70))*(1+$I143)*IF(Inputs!$C$29=0,1,(MAX(Z142,0)/Inputs!$C$6)^Inputs!$C$29)</f>
        <v>0</v>
      </c>
      <c r="X143" s="38">
        <f>Inputs!$C$32*Z142/Inputs!$C$6</f>
        <v>0</v>
      </c>
      <c r="Y143" s="38">
        <f>Inputs!$C$33</f>
        <v>2000</v>
      </c>
      <c r="Z143" s="38">
        <f t="shared" si="103"/>
        <v>0</v>
      </c>
      <c r="AA143" s="38">
        <f t="shared" si="104"/>
        <v>0</v>
      </c>
      <c r="AB143" s="38">
        <f>Inputs!$C$19*(1-Inputs!$C$70*$H143)+Inputs!$C$21+Inputs!$B$70*$J143</f>
        <v>495000</v>
      </c>
      <c r="AC143" s="38">
        <f t="shared" si="105"/>
        <v>-495000</v>
      </c>
      <c r="AD143" s="38">
        <f t="shared" si="106"/>
        <v>1</v>
      </c>
      <c r="AE143" s="38">
        <f>MAX(0,MIN(Inputs!$D$36,AJ142,AF143+AG143+AH143+Inputs!$D$6-AI142))</f>
        <v>0</v>
      </c>
      <c r="AF143" s="38">
        <f>Inputs!$D$27*(1+Inputs!$D$28)^($A143/12)*IF(Inputs!$B$70=1,$G143,1)*(1-Inputs!$C$70*$H143*(1-Inputs!$E$54*Inputs!$B$70))*(1+$I143)*IF(Inputs!$D$29=0,1,(MAX(AI142,0)/Inputs!$D$6)^Inputs!$D$29)</f>
        <v>2785.7242004876384</v>
      </c>
      <c r="AG143" s="38">
        <f>Inputs!$D$32*AI142/Inputs!$D$6</f>
        <v>999.55835460078458</v>
      </c>
      <c r="AH143" s="38">
        <f>Inputs!$D$33</f>
        <v>1500</v>
      </c>
      <c r="AI143" s="38">
        <f t="shared" si="107"/>
        <v>204145.99174221882</v>
      </c>
      <c r="AJ143" s="38">
        <f t="shared" si="108"/>
        <v>0</v>
      </c>
      <c r="AK143" s="38">
        <f>Inputs!$D$19*(1-Inputs!$C$70*$H143)+Inputs!$D$21+Inputs!$B$70*$J143</f>
        <v>404800</v>
      </c>
      <c r="AL143" s="38">
        <f t="shared" si="109"/>
        <v>-200654.00825778118</v>
      </c>
      <c r="AM143" s="38">
        <f t="shared" si="110"/>
        <v>1</v>
      </c>
      <c r="AN143" s="38">
        <f>MAX(0,MIN(Inputs!$B$36,AS142,AO143+AP143+AQ143+Inputs!$B$6-AR142))</f>
        <v>0</v>
      </c>
      <c r="AO143" s="38">
        <f>Inputs!$B$27*(1+Inputs!$B$28)^($A143/12)*IF(Inputs!$B$71=1,$G143,1)*(1-Inputs!$C$71*$H143*(1-Inputs!$E$54*Inputs!$B$71))*(1+$I143)*IF(Inputs!$B$29=0,1,(MAX(AR142,0)/Inputs!$B$6)^Inputs!$B$29)</f>
        <v>22807.558412675851</v>
      </c>
      <c r="AP143" s="38">
        <f>Inputs!$B$32*AR142/Inputs!$B$6</f>
        <v>0</v>
      </c>
      <c r="AQ143" s="38">
        <f>Inputs!$B$33</f>
        <v>2500</v>
      </c>
      <c r="AR143" s="38">
        <f t="shared" si="111"/>
        <v>0</v>
      </c>
      <c r="AS143" s="38">
        <f t="shared" si="112"/>
        <v>0</v>
      </c>
      <c r="AT143" s="38">
        <f>Inputs!$B$19*(1-Inputs!$C$71*$H143)+Inputs!$B$21+Inputs!$B$71*$J143</f>
        <v>601000</v>
      </c>
      <c r="AU143" s="38">
        <f t="shared" si="113"/>
        <v>-601000</v>
      </c>
      <c r="AV143" s="38">
        <f t="shared" si="114"/>
        <v>1</v>
      </c>
      <c r="AW143" s="38">
        <f>MAX(0,MIN(Inputs!$C$36,BB142,AX143+AY143+AZ143+Inputs!$C$6-BA142))</f>
        <v>0</v>
      </c>
      <c r="AX143" s="38">
        <f>Inputs!$C$27*(1+Inputs!$C$28)^($A143/12)*IF(Inputs!$B$71=1,$G143,1)*(1-Inputs!$C$71*$H143*(1-Inputs!$E$54*Inputs!$B$71))*(1+$I143)*IF(Inputs!$C$29=0,1,(MAX(BA142,0)/Inputs!$C$6)^Inputs!$C$29)</f>
        <v>0</v>
      </c>
      <c r="AY143" s="38">
        <f>Inputs!$C$32*BA142/Inputs!$C$6</f>
        <v>0</v>
      </c>
      <c r="AZ143" s="38">
        <f>Inputs!$C$33</f>
        <v>2000</v>
      </c>
      <c r="BA143" s="38">
        <f t="shared" si="115"/>
        <v>0</v>
      </c>
      <c r="BB143" s="38">
        <f t="shared" si="116"/>
        <v>0</v>
      </c>
      <c r="BC143" s="38">
        <f>Inputs!$C$19*(1-Inputs!$C$71*$H143)+Inputs!$C$21+Inputs!$B$71*$J143</f>
        <v>501000</v>
      </c>
      <c r="BD143" s="38">
        <f t="shared" si="117"/>
        <v>-501000</v>
      </c>
      <c r="BE143" s="38">
        <f t="shared" si="118"/>
        <v>1</v>
      </c>
      <c r="BF143" s="38">
        <f>MAX(0,MIN(Inputs!$D$36,BK142,BG143+BH143+BI143+Inputs!$D$6-BJ142))</f>
        <v>0</v>
      </c>
      <c r="BG143" s="38">
        <f>Inputs!$D$27*(1+Inputs!$D$28)^($A143/12)*IF(Inputs!$B$71=1,$G143,1)*(1-Inputs!$C$71*$H143*(1-Inputs!$E$54*Inputs!$B$71))*(1+$I143)*IF(Inputs!$D$29=0,1,(MAX(BJ142,0)/Inputs!$D$6)^Inputs!$D$29)</f>
        <v>2736.9768660647701</v>
      </c>
      <c r="BH143" s="38">
        <f>Inputs!$D$32*BJ142/Inputs!$D$6</f>
        <v>1359.9640465887214</v>
      </c>
      <c r="BI143" s="38">
        <f>Inputs!$D$33</f>
        <v>1500</v>
      </c>
      <c r="BJ143" s="38">
        <f t="shared" si="119"/>
        <v>279347.90694403095</v>
      </c>
      <c r="BK143" s="38">
        <f t="shared" si="120"/>
        <v>0</v>
      </c>
      <c r="BL143" s="38">
        <f>Inputs!$D$19*(1-Inputs!$C$71*$H143)+Inputs!$D$21+Inputs!$B$71*$J143</f>
        <v>410800</v>
      </c>
      <c r="BM143" s="38">
        <f t="shared" si="121"/>
        <v>-131452.09305596905</v>
      </c>
      <c r="BN143" s="38">
        <f t="shared" si="122"/>
        <v>1</v>
      </c>
      <c r="BO143" s="38">
        <f>MAX(0,MIN(Inputs!$B$36,BT142,BP143+BQ143+BR143+Inputs!$B$6-BS142))</f>
        <v>0</v>
      </c>
      <c r="BP143" s="38">
        <f>Inputs!$B$27*(1+Inputs!$B$28)^($A143/12)*IF(Inputs!$B$72=1,$G143,1)*(1-Inputs!$C$72*$H143*(1-Inputs!$E$54*Inputs!$B$72))*(1+$I143)*IF(Inputs!$B$29=0,1,(MAX(BS142,0)/Inputs!$B$6)^Inputs!$B$29)</f>
        <v>24369.573723621987</v>
      </c>
      <c r="BQ143" s="38">
        <f>Inputs!$B$32*BS142/Inputs!$B$6</f>
        <v>0</v>
      </c>
      <c r="BR143" s="38">
        <f>Inputs!$B$33</f>
        <v>2500</v>
      </c>
      <c r="BS143" s="38">
        <f t="shared" si="123"/>
        <v>0</v>
      </c>
      <c r="BT143" s="38">
        <f t="shared" si="124"/>
        <v>0</v>
      </c>
      <c r="BU143" s="38">
        <f>Inputs!$B$19*(1-Inputs!$C$72*$H143)+Inputs!$B$21+Inputs!$B$72*$J143</f>
        <v>577500</v>
      </c>
      <c r="BV143" s="38">
        <f t="shared" si="125"/>
        <v>-577500</v>
      </c>
      <c r="BW143" s="38">
        <f t="shared" si="126"/>
        <v>1</v>
      </c>
      <c r="BX143" s="38">
        <f>MAX(0,MIN(Inputs!$C$36,CC142,BY143+BZ143+CA143+Inputs!$C$6-CB142))</f>
        <v>0</v>
      </c>
      <c r="BY143" s="38">
        <f>Inputs!$C$27*(1+Inputs!$C$28)^($A143/12)*IF(Inputs!$B$72=1,$G143,1)*(1-Inputs!$C$72*$H143*(1-Inputs!$E$54*Inputs!$B$72))*(1+$I143)*IF(Inputs!$C$29=0,1,(MAX(CB142,0)/Inputs!$C$6)^Inputs!$C$29)</f>
        <v>0</v>
      </c>
      <c r="BZ143" s="38">
        <f>Inputs!$C$32*CB142/Inputs!$C$6</f>
        <v>0</v>
      </c>
      <c r="CA143" s="38">
        <f>Inputs!$C$33</f>
        <v>2000</v>
      </c>
      <c r="CB143" s="38">
        <f t="shared" si="127"/>
        <v>0</v>
      </c>
      <c r="CC143" s="38">
        <f t="shared" si="128"/>
        <v>0</v>
      </c>
      <c r="CD143" s="38">
        <f>Inputs!$C$19*(1-Inputs!$C$72*$H143)+Inputs!$C$21+Inputs!$B$72*$J143</f>
        <v>480000</v>
      </c>
      <c r="CE143" s="38">
        <f t="shared" si="129"/>
        <v>-480000</v>
      </c>
      <c r="CF143" s="38">
        <f t="shared" si="130"/>
        <v>1</v>
      </c>
      <c r="CG143" s="38">
        <f>MAX(0,MIN(Inputs!$D$36,CL142,CH143+CI143+CJ143+Inputs!$D$6-CK142))</f>
        <v>0</v>
      </c>
      <c r="CH143" s="38">
        <f>Inputs!$D$27*(1+Inputs!$D$28)^($A143/12)*IF(Inputs!$B$72=1,$G143,1)*(1-Inputs!$C$72*$H143*(1-Inputs!$E$54*Inputs!$B$72))*(1+$I143)*IF(Inputs!$D$29=0,1,(MAX(CK142,0)/Inputs!$D$6)^Inputs!$D$29)</f>
        <v>2747.6324566486619</v>
      </c>
      <c r="CI143" s="38">
        <f>Inputs!$D$32*CK142/Inputs!$D$6</f>
        <v>1200.5055612065544</v>
      </c>
      <c r="CJ143" s="38">
        <f>Inputs!$D$33</f>
        <v>1500</v>
      </c>
      <c r="CK143" s="38">
        <f t="shared" si="131"/>
        <v>246086.36052066094</v>
      </c>
      <c r="CL143" s="38">
        <f t="shared" si="132"/>
        <v>0</v>
      </c>
      <c r="CM143" s="38">
        <f>Inputs!$D$19*(1-Inputs!$C$72*$H143)+Inputs!$D$21+Inputs!$B$72*$J143</f>
        <v>392150</v>
      </c>
      <c r="CN143" s="38">
        <f t="shared" si="133"/>
        <v>-146063.63947933906</v>
      </c>
      <c r="CO143" s="38">
        <f t="shared" si="134"/>
        <v>1</v>
      </c>
      <c r="CP143" s="38">
        <f>MAX(0,MIN(Inputs!$B$36,CU142,CQ143+CR143+CS143+Inputs!$B$6-CT142))</f>
        <v>0</v>
      </c>
      <c r="CQ143" s="38">
        <f>Inputs!$B$27*(1+Inputs!$B$28)^($A143/12)*IF(Inputs!$B$73=1,$G143,1)*(1-Inputs!$C$73*$H143*(1-Inputs!$E$54*Inputs!$B$73))*(1+$I143)*IF(Inputs!$B$29=0,1,(MAX(CT142,0)/Inputs!$B$6)^Inputs!$B$29)</f>
        <v>21667.180492042058</v>
      </c>
      <c r="CR143" s="38">
        <f>Inputs!$B$32*CT142/Inputs!$B$6</f>
        <v>0</v>
      </c>
      <c r="CS143" s="38">
        <f>Inputs!$B$33</f>
        <v>2500</v>
      </c>
      <c r="CT143" s="38">
        <f t="shared" si="135"/>
        <v>0</v>
      </c>
      <c r="CU143" s="38">
        <f t="shared" si="136"/>
        <v>0</v>
      </c>
      <c r="CV143" s="38">
        <f>Inputs!$B$19*(1-Inputs!$C$73*$H143)+Inputs!$B$21+Inputs!$B$73*$J143</f>
        <v>583500</v>
      </c>
      <c r="CW143" s="38">
        <f t="shared" si="137"/>
        <v>-583500</v>
      </c>
      <c r="CX143" s="38">
        <f t="shared" si="138"/>
        <v>1</v>
      </c>
      <c r="CY143" s="38">
        <f>MAX(0,MIN(Inputs!$C$36,DD142,CZ143+DA143+DB143+Inputs!$C$6-DC142))</f>
        <v>0</v>
      </c>
      <c r="CZ143" s="38">
        <f>Inputs!$C$27*(1+Inputs!$C$28)^($A143/12)*IF(Inputs!$B$73=1,$G143,1)*(1-Inputs!$C$73*$H143*(1-Inputs!$E$54*Inputs!$B$73))*(1+$I143)*IF(Inputs!$C$29=0,1,(MAX(DC142,0)/Inputs!$C$6)^Inputs!$C$29)</f>
        <v>0</v>
      </c>
      <c r="DA143" s="38">
        <f>Inputs!$C$32*DC142/Inputs!$C$6</f>
        <v>0</v>
      </c>
      <c r="DB143" s="38">
        <f>Inputs!$C$33</f>
        <v>2000</v>
      </c>
      <c r="DC143" s="38">
        <f t="shared" si="139"/>
        <v>0</v>
      </c>
      <c r="DD143" s="38">
        <f t="shared" si="140"/>
        <v>0</v>
      </c>
      <c r="DE143" s="38">
        <f>Inputs!$C$19*(1-Inputs!$C$73*$H143)+Inputs!$C$21+Inputs!$B$73*$J143</f>
        <v>486000</v>
      </c>
      <c r="DF143" s="38">
        <f t="shared" si="141"/>
        <v>-486000</v>
      </c>
      <c r="DG143" s="38">
        <f t="shared" si="142"/>
        <v>1</v>
      </c>
      <c r="DH143" s="38">
        <f>MAX(0,MIN(Inputs!$D$36,DM142,DI143+DJ143+DK143+Inputs!$D$6-DL142))</f>
        <v>0</v>
      </c>
      <c r="DI143" s="38">
        <f>Inputs!$D$27*(1+Inputs!$D$28)^($A143/12)*IF(Inputs!$B$73=1,$G143,1)*(1-Inputs!$C$73*$H143*(1-Inputs!$E$54*Inputs!$B$73))*(1+$I143)*IF(Inputs!$D$29=0,1,(MAX(DL142,0)/Inputs!$D$6)^Inputs!$D$29)</f>
        <v>2689.4678641892724</v>
      </c>
      <c r="DJ143" s="38">
        <f>Inputs!$D$32*DL142/Inputs!$D$6</f>
        <v>1455.0257593255303</v>
      </c>
      <c r="DK143" s="38">
        <f>Inputs!$D$33</f>
        <v>1500</v>
      </c>
      <c r="DL143" s="38">
        <f t="shared" si="143"/>
        <v>299218.0464256439</v>
      </c>
      <c r="DM143" s="38">
        <f t="shared" si="144"/>
        <v>0</v>
      </c>
      <c r="DN143" s="38">
        <f>Inputs!$D$19*(1-Inputs!$C$73*$H143)+Inputs!$D$21+Inputs!$B$73*$J143</f>
        <v>398150</v>
      </c>
      <c r="DO143" s="38">
        <f t="shared" si="145"/>
        <v>-98931.953574356099</v>
      </c>
      <c r="DP143" s="38">
        <f t="shared" si="146"/>
        <v>1</v>
      </c>
    </row>
    <row r="144" spans="1:120" x14ac:dyDescent="0.35">
      <c r="A144" s="29">
        <v>139</v>
      </c>
      <c r="B144" s="34">
        <f>EDATE(Inputs!$B$67,$A144)</f>
        <v>50496</v>
      </c>
      <c r="C144" s="35">
        <f>IF(Inputs!$E$47&lt;=0,Inputs!$E$46,Inputs!$E$44+(Inputs!$E$46-Inputs!$E$44)*MIN($A144/Inputs!$E$47,1))</f>
        <v>0.7</v>
      </c>
      <c r="D144" s="35">
        <f>MIN(Inputs!$E$57,Inputs!$E$55*(1+Inputs!$E$56)^($A144/12))*Inputs!$E$58*(1+Inputs!$E$59)^($A144/12)/Inputs!$E$45</f>
        <v>1.5</v>
      </c>
      <c r="E144" s="35">
        <f>MAX(Inputs!$E$44,MIN(C144,D144))</f>
        <v>0.7</v>
      </c>
      <c r="F144" s="35">
        <f>IF(Inputs!$E$50&lt;=0,Inputs!$E$49,Inputs!$E$48+(Inputs!$E$49-Inputs!$E$48)*MIN($A144/Inputs!$E$50,1))</f>
        <v>0.12</v>
      </c>
      <c r="G144" s="36">
        <f>(Inputs!$E$41*(1-E144*Inputs!$E$51)+Inputs!$E$42*(1-F144*Inputs!$E$51))/(Inputs!$E$41*(1-Inputs!$E$44*Inputs!$E$51)+Inputs!$E$42*(1-Inputs!$E$48*Inputs!$E$51))</f>
        <v>0.8423127463863338</v>
      </c>
      <c r="H144" s="35">
        <f>IF(Inputs!$E$53&lt;=0,Inputs!$E$52,Inputs!$E$52*MIN($A144/Inputs!$E$53,1))</f>
        <v>0.1</v>
      </c>
      <c r="I144" s="35">
        <f>IF(Inputs!$E$64&lt;=0,Inputs!$E$63,Inputs!$E$62+(Inputs!$E$63-Inputs!$E$62)*MIN($A144/Inputs!$E$64,1))</f>
        <v>0.03</v>
      </c>
      <c r="J144" s="37">
        <f>(E144-Inputs!$E$44)*Inputs!$E$45/Inputs!$E$60*Inputs!$E$61</f>
        <v>5999.9999999999991</v>
      </c>
      <c r="K144" s="29">
        <f t="shared" si="98"/>
        <v>0</v>
      </c>
      <c r="L144" s="29"/>
      <c r="M144" s="38">
        <f>MAX(0,MIN(Inputs!$B$36,R143,N144+O144+P144+Inputs!$B$6-Q143))</f>
        <v>0</v>
      </c>
      <c r="N144" s="38">
        <f>Inputs!$B$27*(1+Inputs!$B$28)^($A144/12)*IF(Inputs!$B$70=1,$G144,1)*(1-Inputs!$C$70*$H144*(1-Inputs!$E$54*Inputs!$B$70))*(1+$I144)*IF(Inputs!$B$29=0,1,(MAX(Q143,0)/Inputs!$B$6)^Inputs!$B$29)</f>
        <v>27187.620426140849</v>
      </c>
      <c r="O144" s="38">
        <f>Inputs!$B$32*Q143/Inputs!$B$6</f>
        <v>0</v>
      </c>
      <c r="P144" s="38">
        <f>Inputs!$B$33</f>
        <v>2500</v>
      </c>
      <c r="Q144" s="38">
        <f t="shared" si="99"/>
        <v>0</v>
      </c>
      <c r="R144" s="38">
        <f t="shared" si="100"/>
        <v>0</v>
      </c>
      <c r="S144" s="38">
        <f>Inputs!$B$19*(1-Inputs!$C$70*$H144)+Inputs!$B$21+Inputs!$B$70*$J144</f>
        <v>595000</v>
      </c>
      <c r="T144" s="38">
        <f t="shared" si="101"/>
        <v>-595000</v>
      </c>
      <c r="U144" s="38">
        <f t="shared" si="102"/>
        <v>1</v>
      </c>
      <c r="V144" s="38">
        <f>MAX(0,MIN(Inputs!$C$36,AA143,W144+X144+Y144+Inputs!$C$6-Z143))</f>
        <v>0</v>
      </c>
      <c r="W144" s="38">
        <f>Inputs!$C$27*(1+Inputs!$C$28)^($A144/12)*IF(Inputs!$B$70=1,$G144,1)*(1-Inputs!$C$70*$H144*(1-Inputs!$E$54*Inputs!$B$70))*(1+$I144)*IF(Inputs!$C$29=0,1,(MAX(Z143,0)/Inputs!$C$6)^Inputs!$C$29)</f>
        <v>0</v>
      </c>
      <c r="X144" s="38">
        <f>Inputs!$C$32*Z143/Inputs!$C$6</f>
        <v>0</v>
      </c>
      <c r="Y144" s="38">
        <f>Inputs!$C$33</f>
        <v>2000</v>
      </c>
      <c r="Z144" s="38">
        <f t="shared" si="103"/>
        <v>0</v>
      </c>
      <c r="AA144" s="38">
        <f t="shared" si="104"/>
        <v>0</v>
      </c>
      <c r="AB144" s="38">
        <f>Inputs!$C$19*(1-Inputs!$C$70*$H144)+Inputs!$C$21+Inputs!$B$70*$J144</f>
        <v>495000</v>
      </c>
      <c r="AC144" s="38">
        <f t="shared" si="105"/>
        <v>-495000</v>
      </c>
      <c r="AD144" s="38">
        <f t="shared" si="106"/>
        <v>1</v>
      </c>
      <c r="AE144" s="38">
        <f>MAX(0,MIN(Inputs!$D$36,AJ143,AF144+AG144+AH144+Inputs!$D$6-AI143))</f>
        <v>0</v>
      </c>
      <c r="AF144" s="38">
        <f>Inputs!$D$27*(1+Inputs!$D$28)^($A144/12)*IF(Inputs!$B$70=1,$G144,1)*(1-Inputs!$C$70*$H144*(1-Inputs!$E$54*Inputs!$B$70))*(1+$I144)*IF(Inputs!$D$29=0,1,(MAX(AI143,0)/Inputs!$D$6)^Inputs!$D$29)</f>
        <v>2738.6177072182654</v>
      </c>
      <c r="AG144" s="38">
        <f>Inputs!$D$32*AI143/Inputs!$D$6</f>
        <v>974.33314240604432</v>
      </c>
      <c r="AH144" s="38">
        <f>Inputs!$D$33</f>
        <v>1500</v>
      </c>
      <c r="AI144" s="38">
        <f t="shared" si="107"/>
        <v>198933.04089259449</v>
      </c>
      <c r="AJ144" s="38">
        <f t="shared" si="108"/>
        <v>0</v>
      </c>
      <c r="AK144" s="38">
        <f>Inputs!$D$19*(1-Inputs!$C$70*$H144)+Inputs!$D$21+Inputs!$B$70*$J144</f>
        <v>404800</v>
      </c>
      <c r="AL144" s="38">
        <f t="shared" si="109"/>
        <v>-205866.95910740551</v>
      </c>
      <c r="AM144" s="38">
        <f t="shared" si="110"/>
        <v>1</v>
      </c>
      <c r="AN144" s="38">
        <f>MAX(0,MIN(Inputs!$B$36,AS143,AO144+AP144+AQ144+Inputs!$B$6-AR143))</f>
        <v>0</v>
      </c>
      <c r="AO144" s="38">
        <f>Inputs!$B$27*(1+Inputs!$B$28)^($A144/12)*IF(Inputs!$B$71=1,$G144,1)*(1-Inputs!$C$71*$H144*(1-Inputs!$E$54*Inputs!$B$71))*(1+$I144)*IF(Inputs!$B$29=0,1,(MAX(AR143,0)/Inputs!$B$6)^Inputs!$B$29)</f>
        <v>22900.479228851887</v>
      </c>
      <c r="AP144" s="38">
        <f>Inputs!$B$32*AR143/Inputs!$B$6</f>
        <v>0</v>
      </c>
      <c r="AQ144" s="38">
        <f>Inputs!$B$33</f>
        <v>2500</v>
      </c>
      <c r="AR144" s="38">
        <f t="shared" si="111"/>
        <v>0</v>
      </c>
      <c r="AS144" s="38">
        <f t="shared" si="112"/>
        <v>0</v>
      </c>
      <c r="AT144" s="38">
        <f>Inputs!$B$19*(1-Inputs!$C$71*$H144)+Inputs!$B$21+Inputs!$B$71*$J144</f>
        <v>601000</v>
      </c>
      <c r="AU144" s="38">
        <f t="shared" si="113"/>
        <v>-601000</v>
      </c>
      <c r="AV144" s="38">
        <f t="shared" si="114"/>
        <v>1</v>
      </c>
      <c r="AW144" s="38">
        <f>MAX(0,MIN(Inputs!$C$36,BB143,AX144+AY144+AZ144+Inputs!$C$6-BA143))</f>
        <v>0</v>
      </c>
      <c r="AX144" s="38">
        <f>Inputs!$C$27*(1+Inputs!$C$28)^($A144/12)*IF(Inputs!$B$71=1,$G144,1)*(1-Inputs!$C$71*$H144*(1-Inputs!$E$54*Inputs!$B$71))*(1+$I144)*IF(Inputs!$C$29=0,1,(MAX(BA143,0)/Inputs!$C$6)^Inputs!$C$29)</f>
        <v>0</v>
      </c>
      <c r="AY144" s="38">
        <f>Inputs!$C$32*BA143/Inputs!$C$6</f>
        <v>0</v>
      </c>
      <c r="AZ144" s="38">
        <f>Inputs!$C$33</f>
        <v>2000</v>
      </c>
      <c r="BA144" s="38">
        <f t="shared" si="115"/>
        <v>0</v>
      </c>
      <c r="BB144" s="38">
        <f t="shared" si="116"/>
        <v>0</v>
      </c>
      <c r="BC144" s="38">
        <f>Inputs!$C$19*(1-Inputs!$C$71*$H144)+Inputs!$C$21+Inputs!$B$71*$J144</f>
        <v>501000</v>
      </c>
      <c r="BD144" s="38">
        <f t="shared" si="117"/>
        <v>-501000</v>
      </c>
      <c r="BE144" s="38">
        <f t="shared" si="118"/>
        <v>1</v>
      </c>
      <c r="BF144" s="38">
        <f>MAX(0,MIN(Inputs!$D$36,BK143,BG144+BH144+BI144+Inputs!$D$6-BJ143))</f>
        <v>0</v>
      </c>
      <c r="BG144" s="38">
        <f>Inputs!$D$27*(1+Inputs!$D$28)^($A144/12)*IF(Inputs!$B$71=1,$G144,1)*(1-Inputs!$C$71*$H144*(1-Inputs!$E$54*Inputs!$B$71))*(1+$I144)*IF(Inputs!$D$29=0,1,(MAX(BJ143,0)/Inputs!$D$6)^Inputs!$D$29)</f>
        <v>2698.4045893864686</v>
      </c>
      <c r="BH144" s="38">
        <f>Inputs!$D$32*BJ143/Inputs!$D$6</f>
        <v>1333.2513740510569</v>
      </c>
      <c r="BI144" s="38">
        <f>Inputs!$D$33</f>
        <v>1500</v>
      </c>
      <c r="BJ144" s="38">
        <f t="shared" si="119"/>
        <v>273816.25098059344</v>
      </c>
      <c r="BK144" s="38">
        <f t="shared" si="120"/>
        <v>0</v>
      </c>
      <c r="BL144" s="38">
        <f>Inputs!$D$19*(1-Inputs!$C$71*$H144)+Inputs!$D$21+Inputs!$B$71*$J144</f>
        <v>410800</v>
      </c>
      <c r="BM144" s="38">
        <f t="shared" si="121"/>
        <v>-136983.74901940656</v>
      </c>
      <c r="BN144" s="38">
        <f t="shared" si="122"/>
        <v>1</v>
      </c>
      <c r="BO144" s="38">
        <f>MAX(0,MIN(Inputs!$B$36,BT143,BP144+BQ144+BR144+Inputs!$B$6-BS143))</f>
        <v>0</v>
      </c>
      <c r="BP144" s="38">
        <f>Inputs!$B$27*(1+Inputs!$B$28)^($A144/12)*IF(Inputs!$B$72=1,$G144,1)*(1-Inputs!$C$72*$H144*(1-Inputs!$E$54*Inputs!$B$72))*(1+$I144)*IF(Inputs!$B$29=0,1,(MAX(BS143,0)/Inputs!$B$6)^Inputs!$B$29)</f>
        <v>24468.858383526764</v>
      </c>
      <c r="BQ144" s="38">
        <f>Inputs!$B$32*BS143/Inputs!$B$6</f>
        <v>0</v>
      </c>
      <c r="BR144" s="38">
        <f>Inputs!$B$33</f>
        <v>2500</v>
      </c>
      <c r="BS144" s="38">
        <f t="shared" si="123"/>
        <v>0</v>
      </c>
      <c r="BT144" s="38">
        <f t="shared" si="124"/>
        <v>0</v>
      </c>
      <c r="BU144" s="38">
        <f>Inputs!$B$19*(1-Inputs!$C$72*$H144)+Inputs!$B$21+Inputs!$B$72*$J144</f>
        <v>577500</v>
      </c>
      <c r="BV144" s="38">
        <f t="shared" si="125"/>
        <v>-577500</v>
      </c>
      <c r="BW144" s="38">
        <f t="shared" si="126"/>
        <v>1</v>
      </c>
      <c r="BX144" s="38">
        <f>MAX(0,MIN(Inputs!$C$36,CC143,BY144+BZ144+CA144+Inputs!$C$6-CB143))</f>
        <v>0</v>
      </c>
      <c r="BY144" s="38">
        <f>Inputs!$C$27*(1+Inputs!$C$28)^($A144/12)*IF(Inputs!$B$72=1,$G144,1)*(1-Inputs!$C$72*$H144*(1-Inputs!$E$54*Inputs!$B$72))*(1+$I144)*IF(Inputs!$C$29=0,1,(MAX(CB143,0)/Inputs!$C$6)^Inputs!$C$29)</f>
        <v>0</v>
      </c>
      <c r="BZ144" s="38">
        <f>Inputs!$C$32*CB143/Inputs!$C$6</f>
        <v>0</v>
      </c>
      <c r="CA144" s="38">
        <f>Inputs!$C$33</f>
        <v>2000</v>
      </c>
      <c r="CB144" s="38">
        <f t="shared" si="127"/>
        <v>0</v>
      </c>
      <c r="CC144" s="38">
        <f t="shared" si="128"/>
        <v>0</v>
      </c>
      <c r="CD144" s="38">
        <f>Inputs!$C$19*(1-Inputs!$C$72*$H144)+Inputs!$C$21+Inputs!$B$72*$J144</f>
        <v>480000</v>
      </c>
      <c r="CE144" s="38">
        <f t="shared" si="129"/>
        <v>-480000</v>
      </c>
      <c r="CF144" s="38">
        <f t="shared" si="130"/>
        <v>1</v>
      </c>
      <c r="CG144" s="38">
        <f>MAX(0,MIN(Inputs!$D$36,CL143,CH144+CI144+CJ144+Inputs!$D$6-CK143))</f>
        <v>0</v>
      </c>
      <c r="CH144" s="38">
        <f>Inputs!$D$27*(1+Inputs!$D$28)^($A144/12)*IF(Inputs!$B$72=1,$G144,1)*(1-Inputs!$C$72*$H144*(1-Inputs!$E$54*Inputs!$B$72))*(1+$I144)*IF(Inputs!$D$29=0,1,(MAX(CK143,0)/Inputs!$D$6)^Inputs!$D$29)</f>
        <v>2706.1213292432553</v>
      </c>
      <c r="CI144" s="38">
        <f>Inputs!$D$32*CK143/Inputs!$D$6</f>
        <v>1174.5030843031545</v>
      </c>
      <c r="CJ144" s="38">
        <f>Inputs!$D$33</f>
        <v>1500</v>
      </c>
      <c r="CK144" s="38">
        <f t="shared" si="131"/>
        <v>240705.73610711453</v>
      </c>
      <c r="CL144" s="38">
        <f t="shared" si="132"/>
        <v>0</v>
      </c>
      <c r="CM144" s="38">
        <f>Inputs!$D$19*(1-Inputs!$C$72*$H144)+Inputs!$D$21+Inputs!$B$72*$J144</f>
        <v>392150</v>
      </c>
      <c r="CN144" s="38">
        <f t="shared" si="133"/>
        <v>-151444.26389288547</v>
      </c>
      <c r="CO144" s="38">
        <f t="shared" si="134"/>
        <v>1</v>
      </c>
      <c r="CP144" s="38">
        <f>MAX(0,MIN(Inputs!$B$36,CU143,CQ144+CR144+CS144+Inputs!$B$6-CT143))</f>
        <v>0</v>
      </c>
      <c r="CQ144" s="38">
        <f>Inputs!$B$27*(1+Inputs!$B$28)^($A144/12)*IF(Inputs!$B$73=1,$G144,1)*(1-Inputs!$C$73*$H144*(1-Inputs!$E$54*Inputs!$B$73))*(1+$I144)*IF(Inputs!$B$29=0,1,(MAX(CT143,0)/Inputs!$B$6)^Inputs!$B$29)</f>
        <v>21755.455267409292</v>
      </c>
      <c r="CR144" s="38">
        <f>Inputs!$B$32*CT143/Inputs!$B$6</f>
        <v>0</v>
      </c>
      <c r="CS144" s="38">
        <f>Inputs!$B$33</f>
        <v>2500</v>
      </c>
      <c r="CT144" s="38">
        <f t="shared" si="135"/>
        <v>0</v>
      </c>
      <c r="CU144" s="38">
        <f t="shared" si="136"/>
        <v>0</v>
      </c>
      <c r="CV144" s="38">
        <f>Inputs!$B$19*(1-Inputs!$C$73*$H144)+Inputs!$B$21+Inputs!$B$73*$J144</f>
        <v>583500</v>
      </c>
      <c r="CW144" s="38">
        <f t="shared" si="137"/>
        <v>-583500</v>
      </c>
      <c r="CX144" s="38">
        <f t="shared" si="138"/>
        <v>1</v>
      </c>
      <c r="CY144" s="38">
        <f>MAX(0,MIN(Inputs!$C$36,DD143,CZ144+DA144+DB144+Inputs!$C$6-DC143))</f>
        <v>0</v>
      </c>
      <c r="CZ144" s="38">
        <f>Inputs!$C$27*(1+Inputs!$C$28)^($A144/12)*IF(Inputs!$B$73=1,$G144,1)*(1-Inputs!$C$73*$H144*(1-Inputs!$E$54*Inputs!$B$73))*(1+$I144)*IF(Inputs!$C$29=0,1,(MAX(DC143,0)/Inputs!$C$6)^Inputs!$C$29)</f>
        <v>0</v>
      </c>
      <c r="DA144" s="38">
        <f>Inputs!$C$32*DC143/Inputs!$C$6</f>
        <v>0</v>
      </c>
      <c r="DB144" s="38">
        <f>Inputs!$C$33</f>
        <v>2000</v>
      </c>
      <c r="DC144" s="38">
        <f t="shared" si="139"/>
        <v>0</v>
      </c>
      <c r="DD144" s="38">
        <f t="shared" si="140"/>
        <v>0</v>
      </c>
      <c r="DE144" s="38">
        <f>Inputs!$C$19*(1-Inputs!$C$73*$H144)+Inputs!$C$21+Inputs!$B$73*$J144</f>
        <v>486000</v>
      </c>
      <c r="DF144" s="38">
        <f t="shared" si="141"/>
        <v>-486000</v>
      </c>
      <c r="DG144" s="38">
        <f t="shared" si="142"/>
        <v>1</v>
      </c>
      <c r="DH144" s="38">
        <f>MAX(0,MIN(Inputs!$D$36,DM143,DI144+DJ144+DK144+Inputs!$D$6-DL143))</f>
        <v>0</v>
      </c>
      <c r="DI144" s="38">
        <f>Inputs!$D$27*(1+Inputs!$D$28)^($A144/12)*IF(Inputs!$B$73=1,$G144,1)*(1-Inputs!$C$73*$H144*(1-Inputs!$E$54*Inputs!$B$73))*(1+$I144)*IF(Inputs!$D$29=0,1,(MAX(DL143,0)/Inputs!$D$6)^Inputs!$D$29)</f>
        <v>2653.0892067598775</v>
      </c>
      <c r="DJ144" s="38">
        <f>Inputs!$D$32*DL143/Inputs!$D$6</f>
        <v>1428.0861306678457</v>
      </c>
      <c r="DK144" s="38">
        <f>Inputs!$D$33</f>
        <v>1500</v>
      </c>
      <c r="DL144" s="38">
        <f t="shared" si="143"/>
        <v>293636.8710882162</v>
      </c>
      <c r="DM144" s="38">
        <f t="shared" si="144"/>
        <v>0</v>
      </c>
      <c r="DN144" s="38">
        <f>Inputs!$D$19*(1-Inputs!$C$73*$H144)+Inputs!$D$21+Inputs!$B$73*$J144</f>
        <v>398150</v>
      </c>
      <c r="DO144" s="38">
        <f t="shared" si="145"/>
        <v>-104513.1289117838</v>
      </c>
      <c r="DP144" s="38">
        <f t="shared" si="146"/>
        <v>1</v>
      </c>
    </row>
    <row r="145" spans="1:120" x14ac:dyDescent="0.35">
      <c r="A145" s="29">
        <v>140</v>
      </c>
      <c r="B145" s="34">
        <f>EDATE(Inputs!$B$67,$A145)</f>
        <v>50526</v>
      </c>
      <c r="C145" s="35">
        <f>IF(Inputs!$E$47&lt;=0,Inputs!$E$46,Inputs!$E$44+(Inputs!$E$46-Inputs!$E$44)*MIN($A145/Inputs!$E$47,1))</f>
        <v>0.7</v>
      </c>
      <c r="D145" s="35">
        <f>MIN(Inputs!$E$57,Inputs!$E$55*(1+Inputs!$E$56)^($A145/12))*Inputs!$E$58*(1+Inputs!$E$59)^($A145/12)/Inputs!$E$45</f>
        <v>1.5</v>
      </c>
      <c r="E145" s="35">
        <f>MAX(Inputs!$E$44,MIN(C145,D145))</f>
        <v>0.7</v>
      </c>
      <c r="F145" s="35">
        <f>IF(Inputs!$E$50&lt;=0,Inputs!$E$49,Inputs!$E$48+(Inputs!$E$49-Inputs!$E$48)*MIN($A145/Inputs!$E$50,1))</f>
        <v>0.12</v>
      </c>
      <c r="G145" s="36">
        <f>(Inputs!$E$41*(1-E145*Inputs!$E$51)+Inputs!$E$42*(1-F145*Inputs!$E$51))/(Inputs!$E$41*(1-Inputs!$E$44*Inputs!$E$51)+Inputs!$E$42*(1-Inputs!$E$48*Inputs!$E$51))</f>
        <v>0.8423127463863338</v>
      </c>
      <c r="H145" s="35">
        <f>IF(Inputs!$E$53&lt;=0,Inputs!$E$52,Inputs!$E$52*MIN($A145/Inputs!$E$53,1))</f>
        <v>0.1</v>
      </c>
      <c r="I145" s="35">
        <f>IF(Inputs!$E$64&lt;=0,Inputs!$E$63,Inputs!$E$62+(Inputs!$E$63-Inputs!$E$62)*MIN($A145/Inputs!$E$64,1))</f>
        <v>0.03</v>
      </c>
      <c r="J145" s="37">
        <f>(E145-Inputs!$E$44)*Inputs!$E$45/Inputs!$E$60*Inputs!$E$61</f>
        <v>5999.9999999999991</v>
      </c>
      <c r="K145" s="29">
        <f t="shared" si="98"/>
        <v>0</v>
      </c>
      <c r="L145" s="29"/>
      <c r="M145" s="38">
        <f>MAX(0,MIN(Inputs!$B$36,R144,N145+O145+P145+Inputs!$B$6-Q144))</f>
        <v>0</v>
      </c>
      <c r="N145" s="38">
        <f>Inputs!$B$27*(1+Inputs!$B$28)^($A145/12)*IF(Inputs!$B$70=1,$G145,1)*(1-Inputs!$C$70*$H145*(1-Inputs!$E$54*Inputs!$B$70))*(1+$I145)*IF(Inputs!$B$29=0,1,(MAX(Q144,0)/Inputs!$B$6)^Inputs!$B$29)</f>
        <v>27298.38615713979</v>
      </c>
      <c r="O145" s="38">
        <f>Inputs!$B$32*Q144/Inputs!$B$6</f>
        <v>0</v>
      </c>
      <c r="P145" s="38">
        <f>Inputs!$B$33</f>
        <v>2500</v>
      </c>
      <c r="Q145" s="38">
        <f t="shared" si="99"/>
        <v>0</v>
      </c>
      <c r="R145" s="38">
        <f t="shared" si="100"/>
        <v>0</v>
      </c>
      <c r="S145" s="38">
        <f>Inputs!$B$19*(1-Inputs!$C$70*$H145)+Inputs!$B$21+Inputs!$B$70*$J145</f>
        <v>595000</v>
      </c>
      <c r="T145" s="38">
        <f t="shared" si="101"/>
        <v>-595000</v>
      </c>
      <c r="U145" s="38">
        <f t="shared" si="102"/>
        <v>1</v>
      </c>
      <c r="V145" s="38">
        <f>MAX(0,MIN(Inputs!$C$36,AA144,W145+X145+Y145+Inputs!$C$6-Z144))</f>
        <v>0</v>
      </c>
      <c r="W145" s="38">
        <f>Inputs!$C$27*(1+Inputs!$C$28)^($A145/12)*IF(Inputs!$B$70=1,$G145,1)*(1-Inputs!$C$70*$H145*(1-Inputs!$E$54*Inputs!$B$70))*(1+$I145)*IF(Inputs!$C$29=0,1,(MAX(Z144,0)/Inputs!$C$6)^Inputs!$C$29)</f>
        <v>0</v>
      </c>
      <c r="X145" s="38">
        <f>Inputs!$C$32*Z144/Inputs!$C$6</f>
        <v>0</v>
      </c>
      <c r="Y145" s="38">
        <f>Inputs!$C$33</f>
        <v>2000</v>
      </c>
      <c r="Z145" s="38">
        <f t="shared" si="103"/>
        <v>0</v>
      </c>
      <c r="AA145" s="38">
        <f t="shared" si="104"/>
        <v>0</v>
      </c>
      <c r="AB145" s="38">
        <f>Inputs!$C$19*(1-Inputs!$C$70*$H145)+Inputs!$C$21+Inputs!$B$70*$J145</f>
        <v>495000</v>
      </c>
      <c r="AC145" s="38">
        <f t="shared" si="105"/>
        <v>-495000</v>
      </c>
      <c r="AD145" s="38">
        <f t="shared" si="106"/>
        <v>1</v>
      </c>
      <c r="AE145" s="38">
        <f>MAX(0,MIN(Inputs!$D$36,AJ144,AF145+AG145+AH145+Inputs!$D$6-AI144))</f>
        <v>0</v>
      </c>
      <c r="AF145" s="38">
        <f>Inputs!$D$27*(1+Inputs!$D$28)^($A145/12)*IF(Inputs!$B$70=1,$G145,1)*(1-Inputs!$C$70*$H145*(1-Inputs!$E$54*Inputs!$B$70))*(1+$I145)*IF(Inputs!$D$29=0,1,(MAX(AI144,0)/Inputs!$D$6)^Inputs!$D$29)</f>
        <v>2691.8947635676095</v>
      </c>
      <c r="AG145" s="38">
        <f>Inputs!$D$32*AI144/Inputs!$D$6</f>
        <v>949.45314971465552</v>
      </c>
      <c r="AH145" s="38">
        <f>Inputs!$D$33</f>
        <v>1500</v>
      </c>
      <c r="AI145" s="38">
        <f t="shared" si="107"/>
        <v>193791.69297931224</v>
      </c>
      <c r="AJ145" s="38">
        <f t="shared" si="108"/>
        <v>0</v>
      </c>
      <c r="AK145" s="38">
        <f>Inputs!$D$19*(1-Inputs!$C$70*$H145)+Inputs!$D$21+Inputs!$B$70*$J145</f>
        <v>404800</v>
      </c>
      <c r="AL145" s="38">
        <f t="shared" si="109"/>
        <v>-211008.30702068776</v>
      </c>
      <c r="AM145" s="38">
        <f t="shared" si="110"/>
        <v>1</v>
      </c>
      <c r="AN145" s="38">
        <f>MAX(0,MIN(Inputs!$B$36,AS144,AO145+AP145+AQ145+Inputs!$B$6-AR144))</f>
        <v>0</v>
      </c>
      <c r="AO145" s="38">
        <f>Inputs!$B$27*(1+Inputs!$B$28)^($A145/12)*IF(Inputs!$B$71=1,$G145,1)*(1-Inputs!$C$71*$H145*(1-Inputs!$E$54*Inputs!$B$71))*(1+$I145)*IF(Inputs!$B$29=0,1,(MAX(AR144,0)/Inputs!$B$6)^Inputs!$B$29)</f>
        <v>22993.778615935094</v>
      </c>
      <c r="AP145" s="38">
        <f>Inputs!$B$32*AR144/Inputs!$B$6</f>
        <v>0</v>
      </c>
      <c r="AQ145" s="38">
        <f>Inputs!$B$33</f>
        <v>2500</v>
      </c>
      <c r="AR145" s="38">
        <f t="shared" si="111"/>
        <v>0</v>
      </c>
      <c r="AS145" s="38">
        <f t="shared" si="112"/>
        <v>0</v>
      </c>
      <c r="AT145" s="38">
        <f>Inputs!$B$19*(1-Inputs!$C$71*$H145)+Inputs!$B$21+Inputs!$B$71*$J145</f>
        <v>601000</v>
      </c>
      <c r="AU145" s="38">
        <f t="shared" si="113"/>
        <v>-601000</v>
      </c>
      <c r="AV145" s="38">
        <f t="shared" si="114"/>
        <v>1</v>
      </c>
      <c r="AW145" s="38">
        <f>MAX(0,MIN(Inputs!$C$36,BB144,AX145+AY145+AZ145+Inputs!$C$6-BA144))</f>
        <v>0</v>
      </c>
      <c r="AX145" s="38">
        <f>Inputs!$C$27*(1+Inputs!$C$28)^($A145/12)*IF(Inputs!$B$71=1,$G145,1)*(1-Inputs!$C$71*$H145*(1-Inputs!$E$54*Inputs!$B$71))*(1+$I145)*IF(Inputs!$C$29=0,1,(MAX(BA144,0)/Inputs!$C$6)^Inputs!$C$29)</f>
        <v>0</v>
      </c>
      <c r="AY145" s="38">
        <f>Inputs!$C$32*BA144/Inputs!$C$6</f>
        <v>0</v>
      </c>
      <c r="AZ145" s="38">
        <f>Inputs!$C$33</f>
        <v>2000</v>
      </c>
      <c r="BA145" s="38">
        <f t="shared" si="115"/>
        <v>0</v>
      </c>
      <c r="BB145" s="38">
        <f t="shared" si="116"/>
        <v>0</v>
      </c>
      <c r="BC145" s="38">
        <f>Inputs!$C$19*(1-Inputs!$C$71*$H145)+Inputs!$C$21+Inputs!$B$71*$J145</f>
        <v>501000</v>
      </c>
      <c r="BD145" s="38">
        <f t="shared" si="117"/>
        <v>-501000</v>
      </c>
      <c r="BE145" s="38">
        <f t="shared" si="118"/>
        <v>1</v>
      </c>
      <c r="BF145" s="38">
        <f>MAX(0,MIN(Inputs!$D$36,BK144,BG145+BH145+BI145+Inputs!$D$6-BJ144))</f>
        <v>0</v>
      </c>
      <c r="BG145" s="38">
        <f>Inputs!$D$27*(1+Inputs!$D$28)^($A145/12)*IF(Inputs!$B$71=1,$G145,1)*(1-Inputs!$C$71*$H145*(1-Inputs!$E$54*Inputs!$B$71))*(1+$I145)*IF(Inputs!$D$29=0,1,(MAX(BJ144,0)/Inputs!$D$6)^Inputs!$D$29)</f>
        <v>2660.1590253854747</v>
      </c>
      <c r="BH145" s="38">
        <f>Inputs!$D$32*BJ144/Inputs!$D$6</f>
        <v>1306.850288771014</v>
      </c>
      <c r="BI145" s="38">
        <f>Inputs!$D$33</f>
        <v>1500</v>
      </c>
      <c r="BJ145" s="38">
        <f t="shared" si="119"/>
        <v>268349.24166643695</v>
      </c>
      <c r="BK145" s="38">
        <f t="shared" si="120"/>
        <v>0</v>
      </c>
      <c r="BL145" s="38">
        <f>Inputs!$D$19*(1-Inputs!$C$71*$H145)+Inputs!$D$21+Inputs!$B$71*$J145</f>
        <v>410800</v>
      </c>
      <c r="BM145" s="38">
        <f t="shared" si="121"/>
        <v>-142450.75833356305</v>
      </c>
      <c r="BN145" s="38">
        <f t="shared" si="122"/>
        <v>1</v>
      </c>
      <c r="BO145" s="38">
        <f>MAX(0,MIN(Inputs!$B$36,BT144,BP145+BQ145+BR145+Inputs!$B$6-BS144))</f>
        <v>0</v>
      </c>
      <c r="BP145" s="38">
        <f>Inputs!$B$27*(1+Inputs!$B$28)^($A145/12)*IF(Inputs!$B$72=1,$G145,1)*(1-Inputs!$C$72*$H145*(1-Inputs!$E$54*Inputs!$B$72))*(1+$I145)*IF(Inputs!$B$29=0,1,(MAX(BS144,0)/Inputs!$B$6)^Inputs!$B$29)</f>
        <v>24568.547541425811</v>
      </c>
      <c r="BQ145" s="38">
        <f>Inputs!$B$32*BS144/Inputs!$B$6</f>
        <v>0</v>
      </c>
      <c r="BR145" s="38">
        <f>Inputs!$B$33</f>
        <v>2500</v>
      </c>
      <c r="BS145" s="38">
        <f t="shared" si="123"/>
        <v>0</v>
      </c>
      <c r="BT145" s="38">
        <f t="shared" si="124"/>
        <v>0</v>
      </c>
      <c r="BU145" s="38">
        <f>Inputs!$B$19*(1-Inputs!$C$72*$H145)+Inputs!$B$21+Inputs!$B$72*$J145</f>
        <v>577500</v>
      </c>
      <c r="BV145" s="38">
        <f t="shared" si="125"/>
        <v>-577500</v>
      </c>
      <c r="BW145" s="38">
        <f t="shared" si="126"/>
        <v>1</v>
      </c>
      <c r="BX145" s="38">
        <f>MAX(0,MIN(Inputs!$C$36,CC144,BY145+BZ145+CA145+Inputs!$C$6-CB144))</f>
        <v>0</v>
      </c>
      <c r="BY145" s="38">
        <f>Inputs!$C$27*(1+Inputs!$C$28)^($A145/12)*IF(Inputs!$B$72=1,$G145,1)*(1-Inputs!$C$72*$H145*(1-Inputs!$E$54*Inputs!$B$72))*(1+$I145)*IF(Inputs!$C$29=0,1,(MAX(CB144,0)/Inputs!$C$6)^Inputs!$C$29)</f>
        <v>0</v>
      </c>
      <c r="BZ145" s="38">
        <f>Inputs!$C$32*CB144/Inputs!$C$6</f>
        <v>0</v>
      </c>
      <c r="CA145" s="38">
        <f>Inputs!$C$33</f>
        <v>2000</v>
      </c>
      <c r="CB145" s="38">
        <f t="shared" si="127"/>
        <v>0</v>
      </c>
      <c r="CC145" s="38">
        <f t="shared" si="128"/>
        <v>0</v>
      </c>
      <c r="CD145" s="38">
        <f>Inputs!$C$19*(1-Inputs!$C$72*$H145)+Inputs!$C$21+Inputs!$B$72*$J145</f>
        <v>480000</v>
      </c>
      <c r="CE145" s="38">
        <f t="shared" si="129"/>
        <v>-480000</v>
      </c>
      <c r="CF145" s="38">
        <f t="shared" si="130"/>
        <v>1</v>
      </c>
      <c r="CG145" s="38">
        <f>MAX(0,MIN(Inputs!$D$36,CL144,CH145+CI145+CJ145+Inputs!$D$6-CK144))</f>
        <v>0</v>
      </c>
      <c r="CH145" s="38">
        <f>Inputs!$D$27*(1+Inputs!$D$28)^($A145/12)*IF(Inputs!$B$72=1,$G145,1)*(1-Inputs!$C$72*$H145*(1-Inputs!$E$54*Inputs!$B$72))*(1+$I145)*IF(Inputs!$D$29=0,1,(MAX(CK144,0)/Inputs!$D$6)^Inputs!$D$29)</f>
        <v>2664.9578615964911</v>
      </c>
      <c r="CI145" s="38">
        <f>Inputs!$D$32*CK144/Inputs!$D$6</f>
        <v>1148.8228314203193</v>
      </c>
      <c r="CJ145" s="38">
        <f>Inputs!$D$33</f>
        <v>1500</v>
      </c>
      <c r="CK145" s="38">
        <f t="shared" si="131"/>
        <v>235391.95541409773</v>
      </c>
      <c r="CL145" s="38">
        <f t="shared" si="132"/>
        <v>0</v>
      </c>
      <c r="CM145" s="38">
        <f>Inputs!$D$19*(1-Inputs!$C$72*$H145)+Inputs!$D$21+Inputs!$B$72*$J145</f>
        <v>392150</v>
      </c>
      <c r="CN145" s="38">
        <f t="shared" si="133"/>
        <v>-156758.04458590227</v>
      </c>
      <c r="CO145" s="38">
        <f t="shared" si="134"/>
        <v>1</v>
      </c>
      <c r="CP145" s="38">
        <f>MAX(0,MIN(Inputs!$B$36,CU144,CQ145+CR145+CS145+Inputs!$B$6-CT144))</f>
        <v>0</v>
      </c>
      <c r="CQ145" s="38">
        <f>Inputs!$B$27*(1+Inputs!$B$28)^($A145/12)*IF(Inputs!$B$73=1,$G145,1)*(1-Inputs!$C$73*$H145*(1-Inputs!$E$54*Inputs!$B$73))*(1+$I145)*IF(Inputs!$B$29=0,1,(MAX(CT144,0)/Inputs!$B$6)^Inputs!$B$29)</f>
        <v>21844.089685138337</v>
      </c>
      <c r="CR145" s="38">
        <f>Inputs!$B$32*CT144/Inputs!$B$6</f>
        <v>0</v>
      </c>
      <c r="CS145" s="38">
        <f>Inputs!$B$33</f>
        <v>2500</v>
      </c>
      <c r="CT145" s="38">
        <f t="shared" si="135"/>
        <v>0</v>
      </c>
      <c r="CU145" s="38">
        <f t="shared" si="136"/>
        <v>0</v>
      </c>
      <c r="CV145" s="38">
        <f>Inputs!$B$19*(1-Inputs!$C$73*$H145)+Inputs!$B$21+Inputs!$B$73*$J145</f>
        <v>583500</v>
      </c>
      <c r="CW145" s="38">
        <f t="shared" si="137"/>
        <v>-583500</v>
      </c>
      <c r="CX145" s="38">
        <f t="shared" si="138"/>
        <v>1</v>
      </c>
      <c r="CY145" s="38">
        <f>MAX(0,MIN(Inputs!$C$36,DD144,CZ145+DA145+DB145+Inputs!$C$6-DC144))</f>
        <v>0</v>
      </c>
      <c r="CZ145" s="38">
        <f>Inputs!$C$27*(1+Inputs!$C$28)^($A145/12)*IF(Inputs!$B$73=1,$G145,1)*(1-Inputs!$C$73*$H145*(1-Inputs!$E$54*Inputs!$B$73))*(1+$I145)*IF(Inputs!$C$29=0,1,(MAX(DC144,0)/Inputs!$C$6)^Inputs!$C$29)</f>
        <v>0</v>
      </c>
      <c r="DA145" s="38">
        <f>Inputs!$C$32*DC144/Inputs!$C$6</f>
        <v>0</v>
      </c>
      <c r="DB145" s="38">
        <f>Inputs!$C$33</f>
        <v>2000</v>
      </c>
      <c r="DC145" s="38">
        <f t="shared" si="139"/>
        <v>0</v>
      </c>
      <c r="DD145" s="38">
        <f t="shared" si="140"/>
        <v>0</v>
      </c>
      <c r="DE145" s="38">
        <f>Inputs!$C$19*(1-Inputs!$C$73*$H145)+Inputs!$C$21+Inputs!$B$73*$J145</f>
        <v>486000</v>
      </c>
      <c r="DF145" s="38">
        <f t="shared" si="141"/>
        <v>-486000</v>
      </c>
      <c r="DG145" s="38">
        <f t="shared" si="142"/>
        <v>1</v>
      </c>
      <c r="DH145" s="38">
        <f>MAX(0,MIN(Inputs!$D$36,DM144,DI145+DJ145+DK145+Inputs!$D$6-DL144))</f>
        <v>0</v>
      </c>
      <c r="DI145" s="38">
        <f>Inputs!$D$27*(1+Inputs!$D$28)^($A145/12)*IF(Inputs!$B$73=1,$G145,1)*(1-Inputs!$C$73*$H145*(1-Inputs!$E$54*Inputs!$B$73))*(1+$I145)*IF(Inputs!$D$29=0,1,(MAX(DL144,0)/Inputs!$D$6)^Inputs!$D$29)</f>
        <v>2617.0190794615451</v>
      </c>
      <c r="DJ145" s="38">
        <f>Inputs!$D$32*DL144/Inputs!$D$6</f>
        <v>1401.4487029210318</v>
      </c>
      <c r="DK145" s="38">
        <f>Inputs!$D$33</f>
        <v>1500</v>
      </c>
      <c r="DL145" s="38">
        <f t="shared" si="143"/>
        <v>288118.40330583364</v>
      </c>
      <c r="DM145" s="38">
        <f t="shared" si="144"/>
        <v>0</v>
      </c>
      <c r="DN145" s="38">
        <f>Inputs!$D$19*(1-Inputs!$C$73*$H145)+Inputs!$D$21+Inputs!$B$73*$J145</f>
        <v>398150</v>
      </c>
      <c r="DO145" s="38">
        <f t="shared" si="145"/>
        <v>-110031.59669416636</v>
      </c>
      <c r="DP145" s="38">
        <f t="shared" si="146"/>
        <v>1</v>
      </c>
    </row>
    <row r="146" spans="1:120" x14ac:dyDescent="0.35">
      <c r="A146" s="29">
        <v>141</v>
      </c>
      <c r="B146" s="34">
        <f>EDATE(Inputs!$B$67,$A146)</f>
        <v>50557</v>
      </c>
      <c r="C146" s="35">
        <f>IF(Inputs!$E$47&lt;=0,Inputs!$E$46,Inputs!$E$44+(Inputs!$E$46-Inputs!$E$44)*MIN($A146/Inputs!$E$47,1))</f>
        <v>0.7</v>
      </c>
      <c r="D146" s="35">
        <f>MIN(Inputs!$E$57,Inputs!$E$55*(1+Inputs!$E$56)^($A146/12))*Inputs!$E$58*(1+Inputs!$E$59)^($A146/12)/Inputs!$E$45</f>
        <v>1.5</v>
      </c>
      <c r="E146" s="35">
        <f>MAX(Inputs!$E$44,MIN(C146,D146))</f>
        <v>0.7</v>
      </c>
      <c r="F146" s="35">
        <f>IF(Inputs!$E$50&lt;=0,Inputs!$E$49,Inputs!$E$48+(Inputs!$E$49-Inputs!$E$48)*MIN($A146/Inputs!$E$50,1))</f>
        <v>0.12</v>
      </c>
      <c r="G146" s="36">
        <f>(Inputs!$E$41*(1-E146*Inputs!$E$51)+Inputs!$E$42*(1-F146*Inputs!$E$51))/(Inputs!$E$41*(1-Inputs!$E$44*Inputs!$E$51)+Inputs!$E$42*(1-Inputs!$E$48*Inputs!$E$51))</f>
        <v>0.8423127463863338</v>
      </c>
      <c r="H146" s="35">
        <f>IF(Inputs!$E$53&lt;=0,Inputs!$E$52,Inputs!$E$52*MIN($A146/Inputs!$E$53,1))</f>
        <v>0.1</v>
      </c>
      <c r="I146" s="35">
        <f>IF(Inputs!$E$64&lt;=0,Inputs!$E$63,Inputs!$E$62+(Inputs!$E$63-Inputs!$E$62)*MIN($A146/Inputs!$E$64,1))</f>
        <v>0.03</v>
      </c>
      <c r="J146" s="37">
        <f>(E146-Inputs!$E$44)*Inputs!$E$45/Inputs!$E$60*Inputs!$E$61</f>
        <v>5999.9999999999991</v>
      </c>
      <c r="K146" s="29">
        <f t="shared" si="98"/>
        <v>0</v>
      </c>
      <c r="L146" s="29"/>
      <c r="M146" s="38">
        <f>MAX(0,MIN(Inputs!$B$36,R145,N146+O146+P146+Inputs!$B$6-Q145))</f>
        <v>0</v>
      </c>
      <c r="N146" s="38">
        <f>Inputs!$B$27*(1+Inputs!$B$28)^($A146/12)*IF(Inputs!$B$70=1,$G146,1)*(1-Inputs!$C$70*$H146*(1-Inputs!$E$54*Inputs!$B$70))*(1+$I146)*IF(Inputs!$B$29=0,1,(MAX(Q145,0)/Inputs!$B$6)^Inputs!$B$29)</f>
        <v>27409.603161437812</v>
      </c>
      <c r="O146" s="38">
        <f>Inputs!$B$32*Q145/Inputs!$B$6</f>
        <v>0</v>
      </c>
      <c r="P146" s="38">
        <f>Inputs!$B$33</f>
        <v>2500</v>
      </c>
      <c r="Q146" s="38">
        <f t="shared" si="99"/>
        <v>0</v>
      </c>
      <c r="R146" s="38">
        <f t="shared" si="100"/>
        <v>0</v>
      </c>
      <c r="S146" s="38">
        <f>Inputs!$B$19*(1-Inputs!$C$70*$H146)+Inputs!$B$21+Inputs!$B$70*$J146</f>
        <v>595000</v>
      </c>
      <c r="T146" s="38">
        <f t="shared" si="101"/>
        <v>-595000</v>
      </c>
      <c r="U146" s="38">
        <f t="shared" si="102"/>
        <v>1</v>
      </c>
      <c r="V146" s="38">
        <f>MAX(0,MIN(Inputs!$C$36,AA145,W146+X146+Y146+Inputs!$C$6-Z145))</f>
        <v>0</v>
      </c>
      <c r="W146" s="38">
        <f>Inputs!$C$27*(1+Inputs!$C$28)^($A146/12)*IF(Inputs!$B$70=1,$G146,1)*(1-Inputs!$C$70*$H146*(1-Inputs!$E$54*Inputs!$B$70))*(1+$I146)*IF(Inputs!$C$29=0,1,(MAX(Z145,0)/Inputs!$C$6)^Inputs!$C$29)</f>
        <v>0</v>
      </c>
      <c r="X146" s="38">
        <f>Inputs!$C$32*Z145/Inputs!$C$6</f>
        <v>0</v>
      </c>
      <c r="Y146" s="38">
        <f>Inputs!$C$33</f>
        <v>2000</v>
      </c>
      <c r="Z146" s="38">
        <f t="shared" si="103"/>
        <v>0</v>
      </c>
      <c r="AA146" s="38">
        <f t="shared" si="104"/>
        <v>0</v>
      </c>
      <c r="AB146" s="38">
        <f>Inputs!$C$19*(1-Inputs!$C$70*$H146)+Inputs!$C$21+Inputs!$B$70*$J146</f>
        <v>495000</v>
      </c>
      <c r="AC146" s="38">
        <f t="shared" si="105"/>
        <v>-495000</v>
      </c>
      <c r="AD146" s="38">
        <f t="shared" si="106"/>
        <v>1</v>
      </c>
      <c r="AE146" s="38">
        <f>MAX(0,MIN(Inputs!$D$36,AJ145,AF146+AG146+AH146+Inputs!$D$6-AI145))</f>
        <v>0</v>
      </c>
      <c r="AF146" s="38">
        <f>Inputs!$D$27*(1+Inputs!$D$28)^($A146/12)*IF(Inputs!$B$70=1,$G146,1)*(1-Inputs!$C$70*$H146*(1-Inputs!$E$54*Inputs!$B$70))*(1+$I146)*IF(Inputs!$D$29=0,1,(MAX(AI145,0)/Inputs!$D$6)^Inputs!$D$29)</f>
        <v>2645.5491178956572</v>
      </c>
      <c r="AG146" s="38">
        <f>Inputs!$D$32*AI145/Inputs!$D$6</f>
        <v>924.91489831035381</v>
      </c>
      <c r="AH146" s="38">
        <f>Inputs!$D$33</f>
        <v>1500</v>
      </c>
      <c r="AI146" s="38">
        <f t="shared" si="107"/>
        <v>188721.22896310623</v>
      </c>
      <c r="AJ146" s="38">
        <f t="shared" si="108"/>
        <v>0</v>
      </c>
      <c r="AK146" s="38">
        <f>Inputs!$D$19*(1-Inputs!$C$70*$H146)+Inputs!$D$21+Inputs!$B$70*$J146</f>
        <v>404800</v>
      </c>
      <c r="AL146" s="38">
        <f t="shared" si="109"/>
        <v>-216078.77103689377</v>
      </c>
      <c r="AM146" s="38">
        <f t="shared" si="110"/>
        <v>1</v>
      </c>
      <c r="AN146" s="38">
        <f>MAX(0,MIN(Inputs!$B$36,AS145,AO146+AP146+AQ146+Inputs!$B$6-AR145))</f>
        <v>0</v>
      </c>
      <c r="AO146" s="38">
        <f>Inputs!$B$27*(1+Inputs!$B$28)^($A146/12)*IF(Inputs!$B$71=1,$G146,1)*(1-Inputs!$C$71*$H146*(1-Inputs!$E$54*Inputs!$B$71))*(1+$I146)*IF(Inputs!$B$29=0,1,(MAX(AR145,0)/Inputs!$B$6)^Inputs!$B$29)</f>
        <v>23087.45811627022</v>
      </c>
      <c r="AP146" s="38">
        <f>Inputs!$B$32*AR145/Inputs!$B$6</f>
        <v>0</v>
      </c>
      <c r="AQ146" s="38">
        <f>Inputs!$B$33</f>
        <v>2500</v>
      </c>
      <c r="AR146" s="38">
        <f t="shared" si="111"/>
        <v>0</v>
      </c>
      <c r="AS146" s="38">
        <f t="shared" si="112"/>
        <v>0</v>
      </c>
      <c r="AT146" s="38">
        <f>Inputs!$B$19*(1-Inputs!$C$71*$H146)+Inputs!$B$21+Inputs!$B$71*$J146</f>
        <v>601000</v>
      </c>
      <c r="AU146" s="38">
        <f t="shared" si="113"/>
        <v>-601000</v>
      </c>
      <c r="AV146" s="38">
        <f t="shared" si="114"/>
        <v>1</v>
      </c>
      <c r="AW146" s="38">
        <f>MAX(0,MIN(Inputs!$C$36,BB145,AX146+AY146+AZ146+Inputs!$C$6-BA145))</f>
        <v>0</v>
      </c>
      <c r="AX146" s="38">
        <f>Inputs!$C$27*(1+Inputs!$C$28)^($A146/12)*IF(Inputs!$B$71=1,$G146,1)*(1-Inputs!$C$71*$H146*(1-Inputs!$E$54*Inputs!$B$71))*(1+$I146)*IF(Inputs!$C$29=0,1,(MAX(BA145,0)/Inputs!$C$6)^Inputs!$C$29)</f>
        <v>0</v>
      </c>
      <c r="AY146" s="38">
        <f>Inputs!$C$32*BA145/Inputs!$C$6</f>
        <v>0</v>
      </c>
      <c r="AZ146" s="38">
        <f>Inputs!$C$33</f>
        <v>2000</v>
      </c>
      <c r="BA146" s="38">
        <f t="shared" si="115"/>
        <v>0</v>
      </c>
      <c r="BB146" s="38">
        <f t="shared" si="116"/>
        <v>0</v>
      </c>
      <c r="BC146" s="38">
        <f>Inputs!$C$19*(1-Inputs!$C$71*$H146)+Inputs!$C$21+Inputs!$B$71*$J146</f>
        <v>501000</v>
      </c>
      <c r="BD146" s="38">
        <f t="shared" si="117"/>
        <v>-501000</v>
      </c>
      <c r="BE146" s="38">
        <f t="shared" si="118"/>
        <v>1</v>
      </c>
      <c r="BF146" s="38">
        <f>MAX(0,MIN(Inputs!$D$36,BK145,BG146+BH146+BI146+Inputs!$D$6-BJ145))</f>
        <v>0</v>
      </c>
      <c r="BG146" s="38">
        <f>Inputs!$D$27*(1+Inputs!$D$28)^($A146/12)*IF(Inputs!$B$71=1,$G146,1)*(1-Inputs!$C$71*$H146*(1-Inputs!$E$54*Inputs!$B$71))*(1+$I146)*IF(Inputs!$D$29=0,1,(MAX(BJ145,0)/Inputs!$D$6)^Inputs!$D$29)</f>
        <v>2622.2362069971591</v>
      </c>
      <c r="BH146" s="38">
        <f>Inputs!$D$32*BJ145/Inputs!$D$6</f>
        <v>1280.7577443170853</v>
      </c>
      <c r="BI146" s="38">
        <f>Inputs!$D$33</f>
        <v>1500</v>
      </c>
      <c r="BJ146" s="38">
        <f t="shared" si="119"/>
        <v>262946.24771512271</v>
      </c>
      <c r="BK146" s="38">
        <f t="shared" si="120"/>
        <v>0</v>
      </c>
      <c r="BL146" s="38">
        <f>Inputs!$D$19*(1-Inputs!$C$71*$H146)+Inputs!$D$21+Inputs!$B$71*$J146</f>
        <v>410800</v>
      </c>
      <c r="BM146" s="38">
        <f t="shared" si="121"/>
        <v>-147853.75228487729</v>
      </c>
      <c r="BN146" s="38">
        <f t="shared" si="122"/>
        <v>1</v>
      </c>
      <c r="BO146" s="38">
        <f>MAX(0,MIN(Inputs!$B$36,BT145,BP146+BQ146+BR146+Inputs!$B$6-BS145))</f>
        <v>0</v>
      </c>
      <c r="BP146" s="38">
        <f>Inputs!$B$27*(1+Inputs!$B$28)^($A146/12)*IF(Inputs!$B$72=1,$G146,1)*(1-Inputs!$C$72*$H146*(1-Inputs!$E$54*Inputs!$B$72))*(1+$I146)*IF(Inputs!$B$29=0,1,(MAX(BS145,0)/Inputs!$B$6)^Inputs!$B$29)</f>
        <v>24668.642845294034</v>
      </c>
      <c r="BQ146" s="38">
        <f>Inputs!$B$32*BS145/Inputs!$B$6</f>
        <v>0</v>
      </c>
      <c r="BR146" s="38">
        <f>Inputs!$B$33</f>
        <v>2500</v>
      </c>
      <c r="BS146" s="38">
        <f t="shared" si="123"/>
        <v>0</v>
      </c>
      <c r="BT146" s="38">
        <f t="shared" si="124"/>
        <v>0</v>
      </c>
      <c r="BU146" s="38">
        <f>Inputs!$B$19*(1-Inputs!$C$72*$H146)+Inputs!$B$21+Inputs!$B$72*$J146</f>
        <v>577500</v>
      </c>
      <c r="BV146" s="38">
        <f t="shared" si="125"/>
        <v>-577500</v>
      </c>
      <c r="BW146" s="38">
        <f t="shared" si="126"/>
        <v>1</v>
      </c>
      <c r="BX146" s="38">
        <f>MAX(0,MIN(Inputs!$C$36,CC145,BY146+BZ146+CA146+Inputs!$C$6-CB145))</f>
        <v>0</v>
      </c>
      <c r="BY146" s="38">
        <f>Inputs!$C$27*(1+Inputs!$C$28)^($A146/12)*IF(Inputs!$B$72=1,$G146,1)*(1-Inputs!$C$72*$H146*(1-Inputs!$E$54*Inputs!$B$72))*(1+$I146)*IF(Inputs!$C$29=0,1,(MAX(CB145,0)/Inputs!$C$6)^Inputs!$C$29)</f>
        <v>0</v>
      </c>
      <c r="BZ146" s="38">
        <f>Inputs!$C$32*CB145/Inputs!$C$6</f>
        <v>0</v>
      </c>
      <c r="CA146" s="38">
        <f>Inputs!$C$33</f>
        <v>2000</v>
      </c>
      <c r="CB146" s="38">
        <f t="shared" si="127"/>
        <v>0</v>
      </c>
      <c r="CC146" s="38">
        <f t="shared" si="128"/>
        <v>0</v>
      </c>
      <c r="CD146" s="38">
        <f>Inputs!$C$19*(1-Inputs!$C$72*$H146)+Inputs!$C$21+Inputs!$B$72*$J146</f>
        <v>480000</v>
      </c>
      <c r="CE146" s="38">
        <f t="shared" si="129"/>
        <v>-480000</v>
      </c>
      <c r="CF146" s="38">
        <f t="shared" si="130"/>
        <v>1</v>
      </c>
      <c r="CG146" s="38">
        <f>MAX(0,MIN(Inputs!$D$36,CL145,CH146+CI146+CJ146+Inputs!$D$6-CK145))</f>
        <v>0</v>
      </c>
      <c r="CH146" s="38">
        <f>Inputs!$D$27*(1+Inputs!$D$28)^($A146/12)*IF(Inputs!$B$72=1,$G146,1)*(1-Inputs!$C$72*$H146*(1-Inputs!$E$54*Inputs!$B$72))*(1+$I146)*IF(Inputs!$D$29=0,1,(MAX(CK145,0)/Inputs!$D$6)^Inputs!$D$29)</f>
        <v>2624.1373851403719</v>
      </c>
      <c r="CI146" s="38">
        <f>Inputs!$D$32*CK145/Inputs!$D$6</f>
        <v>1123.4616053854666</v>
      </c>
      <c r="CJ146" s="38">
        <f>Inputs!$D$33</f>
        <v>1500</v>
      </c>
      <c r="CK146" s="38">
        <f t="shared" si="131"/>
        <v>230144.35642357188</v>
      </c>
      <c r="CL146" s="38">
        <f t="shared" si="132"/>
        <v>0</v>
      </c>
      <c r="CM146" s="38">
        <f>Inputs!$D$19*(1-Inputs!$C$72*$H146)+Inputs!$D$21+Inputs!$B$72*$J146</f>
        <v>392150</v>
      </c>
      <c r="CN146" s="38">
        <f t="shared" si="133"/>
        <v>-162005.64357642812</v>
      </c>
      <c r="CO146" s="38">
        <f t="shared" si="134"/>
        <v>1</v>
      </c>
      <c r="CP146" s="38">
        <f>MAX(0,MIN(Inputs!$B$36,CU145,CQ146+CR146+CS146+Inputs!$B$6-CT145))</f>
        <v>0</v>
      </c>
      <c r="CQ146" s="38">
        <f>Inputs!$B$27*(1+Inputs!$B$28)^($A146/12)*IF(Inputs!$B$73=1,$G146,1)*(1-Inputs!$C$73*$H146*(1-Inputs!$E$54*Inputs!$B$73))*(1+$I146)*IF(Inputs!$B$29=0,1,(MAX(CT145,0)/Inputs!$B$6)^Inputs!$B$29)</f>
        <v>21933.085210456709</v>
      </c>
      <c r="CR146" s="38">
        <f>Inputs!$B$32*CT145/Inputs!$B$6</f>
        <v>0</v>
      </c>
      <c r="CS146" s="38">
        <f>Inputs!$B$33</f>
        <v>2500</v>
      </c>
      <c r="CT146" s="38">
        <f t="shared" si="135"/>
        <v>0</v>
      </c>
      <c r="CU146" s="38">
        <f t="shared" si="136"/>
        <v>0</v>
      </c>
      <c r="CV146" s="38">
        <f>Inputs!$B$19*(1-Inputs!$C$73*$H146)+Inputs!$B$21+Inputs!$B$73*$J146</f>
        <v>583500</v>
      </c>
      <c r="CW146" s="38">
        <f t="shared" si="137"/>
        <v>-583500</v>
      </c>
      <c r="CX146" s="38">
        <f t="shared" si="138"/>
        <v>1</v>
      </c>
      <c r="CY146" s="38">
        <f>MAX(0,MIN(Inputs!$C$36,DD145,CZ146+DA146+DB146+Inputs!$C$6-DC145))</f>
        <v>0</v>
      </c>
      <c r="CZ146" s="38">
        <f>Inputs!$C$27*(1+Inputs!$C$28)^($A146/12)*IF(Inputs!$B$73=1,$G146,1)*(1-Inputs!$C$73*$H146*(1-Inputs!$E$54*Inputs!$B$73))*(1+$I146)*IF(Inputs!$C$29=0,1,(MAX(DC145,0)/Inputs!$C$6)^Inputs!$C$29)</f>
        <v>0</v>
      </c>
      <c r="DA146" s="38">
        <f>Inputs!$C$32*DC145/Inputs!$C$6</f>
        <v>0</v>
      </c>
      <c r="DB146" s="38">
        <f>Inputs!$C$33</f>
        <v>2000</v>
      </c>
      <c r="DC146" s="38">
        <f t="shared" si="139"/>
        <v>0</v>
      </c>
      <c r="DD146" s="38">
        <f t="shared" si="140"/>
        <v>0</v>
      </c>
      <c r="DE146" s="38">
        <f>Inputs!$C$19*(1-Inputs!$C$73*$H146)+Inputs!$C$21+Inputs!$B$73*$J146</f>
        <v>486000</v>
      </c>
      <c r="DF146" s="38">
        <f t="shared" si="141"/>
        <v>-486000</v>
      </c>
      <c r="DG146" s="38">
        <f t="shared" si="142"/>
        <v>1</v>
      </c>
      <c r="DH146" s="38">
        <f>MAX(0,MIN(Inputs!$D$36,DM145,DI146+DJ146+DK146+Inputs!$D$6-DL145))</f>
        <v>0</v>
      </c>
      <c r="DI146" s="38">
        <f>Inputs!$D$27*(1+Inputs!$D$28)^($A146/12)*IF(Inputs!$B$73=1,$G146,1)*(1-Inputs!$C$73*$H146*(1-Inputs!$E$54*Inputs!$B$73))*(1+$I146)*IF(Inputs!$D$29=0,1,(MAX(DL145,0)/Inputs!$D$6)^Inputs!$D$29)</f>
        <v>2581.2539196541447</v>
      </c>
      <c r="DJ146" s="38">
        <f>Inputs!$D$32*DL145/Inputs!$D$6</f>
        <v>1375.1105612323877</v>
      </c>
      <c r="DK146" s="38">
        <f>Inputs!$D$33</f>
        <v>1500</v>
      </c>
      <c r="DL146" s="38">
        <f t="shared" si="143"/>
        <v>282662.03882494714</v>
      </c>
      <c r="DM146" s="38">
        <f t="shared" si="144"/>
        <v>0</v>
      </c>
      <c r="DN146" s="38">
        <f>Inputs!$D$19*(1-Inputs!$C$73*$H146)+Inputs!$D$21+Inputs!$B$73*$J146</f>
        <v>398150</v>
      </c>
      <c r="DO146" s="38">
        <f t="shared" si="145"/>
        <v>-115487.96117505286</v>
      </c>
      <c r="DP146" s="38">
        <f t="shared" si="146"/>
        <v>1</v>
      </c>
    </row>
    <row r="147" spans="1:120" x14ac:dyDescent="0.35">
      <c r="A147" s="29">
        <v>142</v>
      </c>
      <c r="B147" s="34">
        <f>EDATE(Inputs!$B$67,$A147)</f>
        <v>50587</v>
      </c>
      <c r="C147" s="35">
        <f>IF(Inputs!$E$47&lt;=0,Inputs!$E$46,Inputs!$E$44+(Inputs!$E$46-Inputs!$E$44)*MIN($A147/Inputs!$E$47,1))</f>
        <v>0.7</v>
      </c>
      <c r="D147" s="35">
        <f>MIN(Inputs!$E$57,Inputs!$E$55*(1+Inputs!$E$56)^($A147/12))*Inputs!$E$58*(1+Inputs!$E$59)^($A147/12)/Inputs!$E$45</f>
        <v>1.5</v>
      </c>
      <c r="E147" s="35">
        <f>MAX(Inputs!$E$44,MIN(C147,D147))</f>
        <v>0.7</v>
      </c>
      <c r="F147" s="35">
        <f>IF(Inputs!$E$50&lt;=0,Inputs!$E$49,Inputs!$E$48+(Inputs!$E$49-Inputs!$E$48)*MIN($A147/Inputs!$E$50,1))</f>
        <v>0.12</v>
      </c>
      <c r="G147" s="36">
        <f>(Inputs!$E$41*(1-E147*Inputs!$E$51)+Inputs!$E$42*(1-F147*Inputs!$E$51))/(Inputs!$E$41*(1-Inputs!$E$44*Inputs!$E$51)+Inputs!$E$42*(1-Inputs!$E$48*Inputs!$E$51))</f>
        <v>0.8423127463863338</v>
      </c>
      <c r="H147" s="35">
        <f>IF(Inputs!$E$53&lt;=0,Inputs!$E$52,Inputs!$E$52*MIN($A147/Inputs!$E$53,1))</f>
        <v>0.1</v>
      </c>
      <c r="I147" s="35">
        <f>IF(Inputs!$E$64&lt;=0,Inputs!$E$63,Inputs!$E$62+(Inputs!$E$63-Inputs!$E$62)*MIN($A147/Inputs!$E$64,1))</f>
        <v>0.03</v>
      </c>
      <c r="J147" s="37">
        <f>(E147-Inputs!$E$44)*Inputs!$E$45/Inputs!$E$60*Inputs!$E$61</f>
        <v>5999.9999999999991</v>
      </c>
      <c r="K147" s="29">
        <f t="shared" si="98"/>
        <v>0</v>
      </c>
      <c r="L147" s="29"/>
      <c r="M147" s="38">
        <f>MAX(0,MIN(Inputs!$B$36,R146,N147+O147+P147+Inputs!$B$6-Q146))</f>
        <v>0</v>
      </c>
      <c r="N147" s="38">
        <f>Inputs!$B$27*(1+Inputs!$B$28)^($A147/12)*IF(Inputs!$B$70=1,$G147,1)*(1-Inputs!$C$70*$H147*(1-Inputs!$E$54*Inputs!$B$70))*(1+$I147)*IF(Inputs!$B$29=0,1,(MAX(Q146,0)/Inputs!$B$6)^Inputs!$B$29)</f>
        <v>27521.273277578188</v>
      </c>
      <c r="O147" s="38">
        <f>Inputs!$B$32*Q146/Inputs!$B$6</f>
        <v>0</v>
      </c>
      <c r="P147" s="38">
        <f>Inputs!$B$33</f>
        <v>2500</v>
      </c>
      <c r="Q147" s="38">
        <f t="shared" si="99"/>
        <v>0</v>
      </c>
      <c r="R147" s="38">
        <f t="shared" si="100"/>
        <v>0</v>
      </c>
      <c r="S147" s="38">
        <f>Inputs!$B$19*(1-Inputs!$C$70*$H147)+Inputs!$B$21+Inputs!$B$70*$J147</f>
        <v>595000</v>
      </c>
      <c r="T147" s="38">
        <f t="shared" si="101"/>
        <v>-595000</v>
      </c>
      <c r="U147" s="38">
        <f t="shared" si="102"/>
        <v>1</v>
      </c>
      <c r="V147" s="38">
        <f>MAX(0,MIN(Inputs!$C$36,AA146,W147+X147+Y147+Inputs!$C$6-Z146))</f>
        <v>0</v>
      </c>
      <c r="W147" s="38">
        <f>Inputs!$C$27*(1+Inputs!$C$28)^($A147/12)*IF(Inputs!$B$70=1,$G147,1)*(1-Inputs!$C$70*$H147*(1-Inputs!$E$54*Inputs!$B$70))*(1+$I147)*IF(Inputs!$C$29=0,1,(MAX(Z146,0)/Inputs!$C$6)^Inputs!$C$29)</f>
        <v>0</v>
      </c>
      <c r="X147" s="38">
        <f>Inputs!$C$32*Z146/Inputs!$C$6</f>
        <v>0</v>
      </c>
      <c r="Y147" s="38">
        <f>Inputs!$C$33</f>
        <v>2000</v>
      </c>
      <c r="Z147" s="38">
        <f t="shared" si="103"/>
        <v>0</v>
      </c>
      <c r="AA147" s="38">
        <f t="shared" si="104"/>
        <v>0</v>
      </c>
      <c r="AB147" s="38">
        <f>Inputs!$C$19*(1-Inputs!$C$70*$H147)+Inputs!$C$21+Inputs!$B$70*$J147</f>
        <v>495000</v>
      </c>
      <c r="AC147" s="38">
        <f t="shared" si="105"/>
        <v>-495000</v>
      </c>
      <c r="AD147" s="38">
        <f t="shared" si="106"/>
        <v>1</v>
      </c>
      <c r="AE147" s="38">
        <f>MAX(0,MIN(Inputs!$D$36,AJ146,AF147+AG147+AH147+Inputs!$D$6-AI146))</f>
        <v>0</v>
      </c>
      <c r="AF147" s="38">
        <f>Inputs!$D$27*(1+Inputs!$D$28)^($A147/12)*IF(Inputs!$B$70=1,$G147,1)*(1-Inputs!$C$70*$H147*(1-Inputs!$E$54*Inputs!$B$70))*(1+$I147)*IF(Inputs!$D$29=0,1,(MAX(AI146,0)/Inputs!$D$6)^Inputs!$D$29)</f>
        <v>2599.5744663258515</v>
      </c>
      <c r="AG147" s="38">
        <f>Inputs!$D$32*AI146/Inputs!$D$6</f>
        <v>900.71495641482511</v>
      </c>
      <c r="AH147" s="38">
        <f>Inputs!$D$33</f>
        <v>1500</v>
      </c>
      <c r="AI147" s="38">
        <f t="shared" si="107"/>
        <v>183720.93954036557</v>
      </c>
      <c r="AJ147" s="38">
        <f t="shared" si="108"/>
        <v>0</v>
      </c>
      <c r="AK147" s="38">
        <f>Inputs!$D$19*(1-Inputs!$C$70*$H147)+Inputs!$D$21+Inputs!$B$70*$J147</f>
        <v>404800</v>
      </c>
      <c r="AL147" s="38">
        <f t="shared" si="109"/>
        <v>-221079.06045963443</v>
      </c>
      <c r="AM147" s="38">
        <f t="shared" si="110"/>
        <v>1</v>
      </c>
      <c r="AN147" s="38">
        <f>MAX(0,MIN(Inputs!$B$36,AS146,AO147+AP147+AQ147+Inputs!$B$6-AR146))</f>
        <v>0</v>
      </c>
      <c r="AO147" s="38">
        <f>Inputs!$B$27*(1+Inputs!$B$28)^($A147/12)*IF(Inputs!$B$71=1,$G147,1)*(1-Inputs!$C$71*$H147*(1-Inputs!$E$54*Inputs!$B$71))*(1+$I147)*IF(Inputs!$B$29=0,1,(MAX(AR146,0)/Inputs!$B$6)^Inputs!$B$29)</f>
        <v>23181.519278485699</v>
      </c>
      <c r="AP147" s="38">
        <f>Inputs!$B$32*AR146/Inputs!$B$6</f>
        <v>0</v>
      </c>
      <c r="AQ147" s="38">
        <f>Inputs!$B$33</f>
        <v>2500</v>
      </c>
      <c r="AR147" s="38">
        <f t="shared" si="111"/>
        <v>0</v>
      </c>
      <c r="AS147" s="38">
        <f t="shared" si="112"/>
        <v>0</v>
      </c>
      <c r="AT147" s="38">
        <f>Inputs!$B$19*(1-Inputs!$C$71*$H147)+Inputs!$B$21+Inputs!$B$71*$J147</f>
        <v>601000</v>
      </c>
      <c r="AU147" s="38">
        <f t="shared" si="113"/>
        <v>-601000</v>
      </c>
      <c r="AV147" s="38">
        <f t="shared" si="114"/>
        <v>1</v>
      </c>
      <c r="AW147" s="38">
        <f>MAX(0,MIN(Inputs!$C$36,BB146,AX147+AY147+AZ147+Inputs!$C$6-BA146))</f>
        <v>0</v>
      </c>
      <c r="AX147" s="38">
        <f>Inputs!$C$27*(1+Inputs!$C$28)^($A147/12)*IF(Inputs!$B$71=1,$G147,1)*(1-Inputs!$C$71*$H147*(1-Inputs!$E$54*Inputs!$B$71))*(1+$I147)*IF(Inputs!$C$29=0,1,(MAX(BA146,0)/Inputs!$C$6)^Inputs!$C$29)</f>
        <v>0</v>
      </c>
      <c r="AY147" s="38">
        <f>Inputs!$C$32*BA146/Inputs!$C$6</f>
        <v>0</v>
      </c>
      <c r="AZ147" s="38">
        <f>Inputs!$C$33</f>
        <v>2000</v>
      </c>
      <c r="BA147" s="38">
        <f t="shared" si="115"/>
        <v>0</v>
      </c>
      <c r="BB147" s="38">
        <f t="shared" si="116"/>
        <v>0</v>
      </c>
      <c r="BC147" s="38">
        <f>Inputs!$C$19*(1-Inputs!$C$71*$H147)+Inputs!$C$21+Inputs!$B$71*$J147</f>
        <v>501000</v>
      </c>
      <c r="BD147" s="38">
        <f t="shared" si="117"/>
        <v>-501000</v>
      </c>
      <c r="BE147" s="38">
        <f t="shared" si="118"/>
        <v>1</v>
      </c>
      <c r="BF147" s="38">
        <f>MAX(0,MIN(Inputs!$D$36,BK146,BG147+BH147+BI147+Inputs!$D$6-BJ146))</f>
        <v>0</v>
      </c>
      <c r="BG147" s="38">
        <f>Inputs!$D$27*(1+Inputs!$D$28)^($A147/12)*IF(Inputs!$B$71=1,$G147,1)*(1-Inputs!$C$71*$H147*(1-Inputs!$E$54*Inputs!$B$71))*(1+$I147)*IF(Inputs!$D$29=0,1,(MAX(BJ146,0)/Inputs!$D$6)^Inputs!$D$29)</f>
        <v>2584.6321737809635</v>
      </c>
      <c r="BH147" s="38">
        <f>Inputs!$D$32*BJ146/Inputs!$D$6</f>
        <v>1254.9707277312675</v>
      </c>
      <c r="BI147" s="38">
        <f>Inputs!$D$33</f>
        <v>1500</v>
      </c>
      <c r="BJ147" s="38">
        <f t="shared" si="119"/>
        <v>257606.64481361047</v>
      </c>
      <c r="BK147" s="38">
        <f t="shared" si="120"/>
        <v>0</v>
      </c>
      <c r="BL147" s="38">
        <f>Inputs!$D$19*(1-Inputs!$C$71*$H147)+Inputs!$D$21+Inputs!$B$71*$J147</f>
        <v>410800</v>
      </c>
      <c r="BM147" s="38">
        <f t="shared" si="121"/>
        <v>-153193.35518638953</v>
      </c>
      <c r="BN147" s="38">
        <f t="shared" si="122"/>
        <v>1</v>
      </c>
      <c r="BO147" s="38">
        <f>MAX(0,MIN(Inputs!$B$36,BT146,BP147+BQ147+BR147+Inputs!$B$6-BS146))</f>
        <v>0</v>
      </c>
      <c r="BP147" s="38">
        <f>Inputs!$B$27*(1+Inputs!$B$28)^($A147/12)*IF(Inputs!$B$72=1,$G147,1)*(1-Inputs!$C$72*$H147*(1-Inputs!$E$54*Inputs!$B$72))*(1+$I147)*IF(Inputs!$B$29=0,1,(MAX(BS146,0)/Inputs!$B$6)^Inputs!$B$29)</f>
        <v>24769.145949820369</v>
      </c>
      <c r="BQ147" s="38">
        <f>Inputs!$B$32*BS146/Inputs!$B$6</f>
        <v>0</v>
      </c>
      <c r="BR147" s="38">
        <f>Inputs!$B$33</f>
        <v>2500</v>
      </c>
      <c r="BS147" s="38">
        <f t="shared" si="123"/>
        <v>0</v>
      </c>
      <c r="BT147" s="38">
        <f t="shared" si="124"/>
        <v>0</v>
      </c>
      <c r="BU147" s="38">
        <f>Inputs!$B$19*(1-Inputs!$C$72*$H147)+Inputs!$B$21+Inputs!$B$72*$J147</f>
        <v>577500</v>
      </c>
      <c r="BV147" s="38">
        <f t="shared" si="125"/>
        <v>-577500</v>
      </c>
      <c r="BW147" s="38">
        <f t="shared" si="126"/>
        <v>1</v>
      </c>
      <c r="BX147" s="38">
        <f>MAX(0,MIN(Inputs!$C$36,CC146,BY147+BZ147+CA147+Inputs!$C$6-CB146))</f>
        <v>0</v>
      </c>
      <c r="BY147" s="38">
        <f>Inputs!$C$27*(1+Inputs!$C$28)^($A147/12)*IF(Inputs!$B$72=1,$G147,1)*(1-Inputs!$C$72*$H147*(1-Inputs!$E$54*Inputs!$B$72))*(1+$I147)*IF(Inputs!$C$29=0,1,(MAX(CB146,0)/Inputs!$C$6)^Inputs!$C$29)</f>
        <v>0</v>
      </c>
      <c r="BZ147" s="38">
        <f>Inputs!$C$32*CB146/Inputs!$C$6</f>
        <v>0</v>
      </c>
      <c r="CA147" s="38">
        <f>Inputs!$C$33</f>
        <v>2000</v>
      </c>
      <c r="CB147" s="38">
        <f t="shared" si="127"/>
        <v>0</v>
      </c>
      <c r="CC147" s="38">
        <f t="shared" si="128"/>
        <v>0</v>
      </c>
      <c r="CD147" s="38">
        <f>Inputs!$C$19*(1-Inputs!$C$72*$H147)+Inputs!$C$21+Inputs!$B$72*$J147</f>
        <v>480000</v>
      </c>
      <c r="CE147" s="38">
        <f t="shared" si="129"/>
        <v>-480000</v>
      </c>
      <c r="CF147" s="38">
        <f t="shared" si="130"/>
        <v>1</v>
      </c>
      <c r="CG147" s="38">
        <f>MAX(0,MIN(Inputs!$D$36,CL146,CH147+CI147+CJ147+Inputs!$D$6-CK146))</f>
        <v>0</v>
      </c>
      <c r="CH147" s="38">
        <f>Inputs!$D$27*(1+Inputs!$D$28)^($A147/12)*IF(Inputs!$B$72=1,$G147,1)*(1-Inputs!$C$72*$H147*(1-Inputs!$E$54*Inputs!$B$72))*(1+$I147)*IF(Inputs!$D$29=0,1,(MAX(CK146,0)/Inputs!$D$6)^Inputs!$D$29)</f>
        <v>2583.6552243832966</v>
      </c>
      <c r="CI147" s="38">
        <f>Inputs!$D$32*CK146/Inputs!$D$6</f>
        <v>1098.4162465670477</v>
      </c>
      <c r="CJ147" s="38">
        <f>Inputs!$D$33</f>
        <v>1500</v>
      </c>
      <c r="CK147" s="38">
        <f t="shared" si="131"/>
        <v>224962.28495262156</v>
      </c>
      <c r="CL147" s="38">
        <f t="shared" si="132"/>
        <v>0</v>
      </c>
      <c r="CM147" s="38">
        <f>Inputs!$D$19*(1-Inputs!$C$72*$H147)+Inputs!$D$21+Inputs!$B$72*$J147</f>
        <v>392150</v>
      </c>
      <c r="CN147" s="38">
        <f t="shared" si="133"/>
        <v>-167187.71504737844</v>
      </c>
      <c r="CO147" s="38">
        <f t="shared" si="134"/>
        <v>1</v>
      </c>
      <c r="CP147" s="38">
        <f>MAX(0,MIN(Inputs!$B$36,CU146,CQ147+CR147+CS147+Inputs!$B$6-CT146))</f>
        <v>0</v>
      </c>
      <c r="CQ147" s="38">
        <f>Inputs!$B$27*(1+Inputs!$B$28)^($A147/12)*IF(Inputs!$B$73=1,$G147,1)*(1-Inputs!$C$73*$H147*(1-Inputs!$E$54*Inputs!$B$73))*(1+$I147)*IF(Inputs!$B$29=0,1,(MAX(CT146,0)/Inputs!$B$6)^Inputs!$B$29)</f>
        <v>22022.443314561417</v>
      </c>
      <c r="CR147" s="38">
        <f>Inputs!$B$32*CT146/Inputs!$B$6</f>
        <v>0</v>
      </c>
      <c r="CS147" s="38">
        <f>Inputs!$B$33</f>
        <v>2500</v>
      </c>
      <c r="CT147" s="38">
        <f t="shared" si="135"/>
        <v>0</v>
      </c>
      <c r="CU147" s="38">
        <f t="shared" si="136"/>
        <v>0</v>
      </c>
      <c r="CV147" s="38">
        <f>Inputs!$B$19*(1-Inputs!$C$73*$H147)+Inputs!$B$21+Inputs!$B$73*$J147</f>
        <v>583500</v>
      </c>
      <c r="CW147" s="38">
        <f t="shared" si="137"/>
        <v>-583500</v>
      </c>
      <c r="CX147" s="38">
        <f t="shared" si="138"/>
        <v>1</v>
      </c>
      <c r="CY147" s="38">
        <f>MAX(0,MIN(Inputs!$C$36,DD146,CZ147+DA147+DB147+Inputs!$C$6-DC146))</f>
        <v>0</v>
      </c>
      <c r="CZ147" s="38">
        <f>Inputs!$C$27*(1+Inputs!$C$28)^($A147/12)*IF(Inputs!$B$73=1,$G147,1)*(1-Inputs!$C$73*$H147*(1-Inputs!$E$54*Inputs!$B$73))*(1+$I147)*IF(Inputs!$C$29=0,1,(MAX(DC146,0)/Inputs!$C$6)^Inputs!$C$29)</f>
        <v>0</v>
      </c>
      <c r="DA147" s="38">
        <f>Inputs!$C$32*DC146/Inputs!$C$6</f>
        <v>0</v>
      </c>
      <c r="DB147" s="38">
        <f>Inputs!$C$33</f>
        <v>2000</v>
      </c>
      <c r="DC147" s="38">
        <f t="shared" si="139"/>
        <v>0</v>
      </c>
      <c r="DD147" s="38">
        <f t="shared" si="140"/>
        <v>0</v>
      </c>
      <c r="DE147" s="38">
        <f>Inputs!$C$19*(1-Inputs!$C$73*$H147)+Inputs!$C$21+Inputs!$B$73*$J147</f>
        <v>486000</v>
      </c>
      <c r="DF147" s="38">
        <f t="shared" si="141"/>
        <v>-486000</v>
      </c>
      <c r="DG147" s="38">
        <f t="shared" si="142"/>
        <v>1</v>
      </c>
      <c r="DH147" s="38">
        <f>MAX(0,MIN(Inputs!$D$36,DM146,DI147+DJ147+DK147+Inputs!$D$6-DL146))</f>
        <v>0</v>
      </c>
      <c r="DI147" s="38">
        <f>Inputs!$D$27*(1+Inputs!$D$28)^($A147/12)*IF(Inputs!$B$73=1,$G147,1)*(1-Inputs!$C$73*$H147*(1-Inputs!$E$54*Inputs!$B$73))*(1+$I147)*IF(Inputs!$D$29=0,1,(MAX(DL146,0)/Inputs!$D$6)^Inputs!$D$29)</f>
        <v>2545.7901755683215</v>
      </c>
      <c r="DJ147" s="38">
        <f>Inputs!$D$32*DL146/Inputs!$D$6</f>
        <v>1349.0688216645206</v>
      </c>
      <c r="DK147" s="38">
        <f>Inputs!$D$33</f>
        <v>1500</v>
      </c>
      <c r="DL147" s="38">
        <f t="shared" si="143"/>
        <v>277267.17982771434</v>
      </c>
      <c r="DM147" s="38">
        <f t="shared" si="144"/>
        <v>0</v>
      </c>
      <c r="DN147" s="38">
        <f>Inputs!$D$19*(1-Inputs!$C$73*$H147)+Inputs!$D$21+Inputs!$B$73*$J147</f>
        <v>398150</v>
      </c>
      <c r="DO147" s="38">
        <f t="shared" si="145"/>
        <v>-120882.82017228566</v>
      </c>
      <c r="DP147" s="38">
        <f t="shared" si="146"/>
        <v>1</v>
      </c>
    </row>
    <row r="148" spans="1:120" x14ac:dyDescent="0.35">
      <c r="A148" s="29">
        <v>143</v>
      </c>
      <c r="B148" s="34">
        <f>EDATE(Inputs!$B$67,$A148)</f>
        <v>50618</v>
      </c>
      <c r="C148" s="35">
        <f>IF(Inputs!$E$47&lt;=0,Inputs!$E$46,Inputs!$E$44+(Inputs!$E$46-Inputs!$E$44)*MIN($A148/Inputs!$E$47,1))</f>
        <v>0.7</v>
      </c>
      <c r="D148" s="35">
        <f>MIN(Inputs!$E$57,Inputs!$E$55*(1+Inputs!$E$56)^($A148/12))*Inputs!$E$58*(1+Inputs!$E$59)^($A148/12)/Inputs!$E$45</f>
        <v>1.5</v>
      </c>
      <c r="E148" s="35">
        <f>MAX(Inputs!$E$44,MIN(C148,D148))</f>
        <v>0.7</v>
      </c>
      <c r="F148" s="35">
        <f>IF(Inputs!$E$50&lt;=0,Inputs!$E$49,Inputs!$E$48+(Inputs!$E$49-Inputs!$E$48)*MIN($A148/Inputs!$E$50,1))</f>
        <v>0.12</v>
      </c>
      <c r="G148" s="36">
        <f>(Inputs!$E$41*(1-E148*Inputs!$E$51)+Inputs!$E$42*(1-F148*Inputs!$E$51))/(Inputs!$E$41*(1-Inputs!$E$44*Inputs!$E$51)+Inputs!$E$42*(1-Inputs!$E$48*Inputs!$E$51))</f>
        <v>0.8423127463863338</v>
      </c>
      <c r="H148" s="35">
        <f>IF(Inputs!$E$53&lt;=0,Inputs!$E$52,Inputs!$E$52*MIN($A148/Inputs!$E$53,1))</f>
        <v>0.1</v>
      </c>
      <c r="I148" s="35">
        <f>IF(Inputs!$E$64&lt;=0,Inputs!$E$63,Inputs!$E$62+(Inputs!$E$63-Inputs!$E$62)*MIN($A148/Inputs!$E$64,1))</f>
        <v>0.03</v>
      </c>
      <c r="J148" s="37">
        <f>(E148-Inputs!$E$44)*Inputs!$E$45/Inputs!$E$60*Inputs!$E$61</f>
        <v>5999.9999999999991</v>
      </c>
      <c r="K148" s="29">
        <f t="shared" si="98"/>
        <v>0</v>
      </c>
      <c r="L148" s="29"/>
      <c r="M148" s="38">
        <f>MAX(0,MIN(Inputs!$B$36,R147,N148+O148+P148+Inputs!$B$6-Q147))</f>
        <v>0</v>
      </c>
      <c r="N148" s="38">
        <f>Inputs!$B$27*(1+Inputs!$B$28)^($A148/12)*IF(Inputs!$B$70=1,$G148,1)*(1-Inputs!$C$70*$H148*(1-Inputs!$E$54*Inputs!$B$70))*(1+$I148)*IF(Inputs!$B$29=0,1,(MAX(Q147,0)/Inputs!$B$6)^Inputs!$B$29)</f>
        <v>27633.398351594649</v>
      </c>
      <c r="O148" s="38">
        <f>Inputs!$B$32*Q147/Inputs!$B$6</f>
        <v>0</v>
      </c>
      <c r="P148" s="38">
        <f>Inputs!$B$33</f>
        <v>2500</v>
      </c>
      <c r="Q148" s="38">
        <f t="shared" si="99"/>
        <v>0</v>
      </c>
      <c r="R148" s="38">
        <f t="shared" si="100"/>
        <v>0</v>
      </c>
      <c r="S148" s="38">
        <f>Inputs!$B$19*(1-Inputs!$C$70*$H148)+Inputs!$B$21+Inputs!$B$70*$J148</f>
        <v>595000</v>
      </c>
      <c r="T148" s="38">
        <f t="shared" si="101"/>
        <v>-595000</v>
      </c>
      <c r="U148" s="38">
        <f t="shared" si="102"/>
        <v>1</v>
      </c>
      <c r="V148" s="38">
        <f>MAX(0,MIN(Inputs!$C$36,AA147,W148+X148+Y148+Inputs!$C$6-Z147))</f>
        <v>0</v>
      </c>
      <c r="W148" s="38">
        <f>Inputs!$C$27*(1+Inputs!$C$28)^($A148/12)*IF(Inputs!$B$70=1,$G148,1)*(1-Inputs!$C$70*$H148*(1-Inputs!$E$54*Inputs!$B$70))*(1+$I148)*IF(Inputs!$C$29=0,1,(MAX(Z147,0)/Inputs!$C$6)^Inputs!$C$29)</f>
        <v>0</v>
      </c>
      <c r="X148" s="38">
        <f>Inputs!$C$32*Z147/Inputs!$C$6</f>
        <v>0</v>
      </c>
      <c r="Y148" s="38">
        <f>Inputs!$C$33</f>
        <v>2000</v>
      </c>
      <c r="Z148" s="38">
        <f t="shared" si="103"/>
        <v>0</v>
      </c>
      <c r="AA148" s="38">
        <f t="shared" si="104"/>
        <v>0</v>
      </c>
      <c r="AB148" s="38">
        <f>Inputs!$C$19*(1-Inputs!$C$70*$H148)+Inputs!$C$21+Inputs!$B$70*$J148</f>
        <v>495000</v>
      </c>
      <c r="AC148" s="38">
        <f t="shared" si="105"/>
        <v>-495000</v>
      </c>
      <c r="AD148" s="38">
        <f t="shared" si="106"/>
        <v>1</v>
      </c>
      <c r="AE148" s="38">
        <f>MAX(0,MIN(Inputs!$D$36,AJ147,AF148+AG148+AH148+Inputs!$D$6-AI147))</f>
        <v>0</v>
      </c>
      <c r="AF148" s="38">
        <f>Inputs!$D$27*(1+Inputs!$D$28)^($A148/12)*IF(Inputs!$B$70=1,$G148,1)*(1-Inputs!$C$70*$H148*(1-Inputs!$E$54*Inputs!$B$70))*(1+$I148)*IF(Inputs!$D$29=0,1,(MAX(AI147,0)/Inputs!$D$6)^Inputs!$D$29)</f>
        <v>2553.9644463956015</v>
      </c>
      <c r="AG148" s="38">
        <f>Inputs!$D$32*AI147/Inputs!$D$6</f>
        <v>876.84993871538109</v>
      </c>
      <c r="AH148" s="38">
        <f>Inputs!$D$33</f>
        <v>1500</v>
      </c>
      <c r="AI148" s="38">
        <f t="shared" si="107"/>
        <v>178790.12515525459</v>
      </c>
      <c r="AJ148" s="38">
        <f t="shared" si="108"/>
        <v>0</v>
      </c>
      <c r="AK148" s="38">
        <f>Inputs!$D$19*(1-Inputs!$C$70*$H148)+Inputs!$D$21+Inputs!$B$70*$J148</f>
        <v>404800</v>
      </c>
      <c r="AL148" s="38">
        <f t="shared" si="109"/>
        <v>-226009.87484474541</v>
      </c>
      <c r="AM148" s="38">
        <f t="shared" si="110"/>
        <v>1</v>
      </c>
      <c r="AN148" s="38">
        <f>MAX(0,MIN(Inputs!$B$36,AS147,AO148+AP148+AQ148+Inputs!$B$6-AR147))</f>
        <v>0</v>
      </c>
      <c r="AO148" s="38">
        <f>Inputs!$B$27*(1+Inputs!$B$28)^($A148/12)*IF(Inputs!$B$71=1,$G148,1)*(1-Inputs!$C$71*$H148*(1-Inputs!$E$54*Inputs!$B$71))*(1+$I148)*IF(Inputs!$B$29=0,1,(MAX(AR147,0)/Inputs!$B$6)^Inputs!$B$29)</f>
        <v>23275.963657519278</v>
      </c>
      <c r="AP148" s="38">
        <f>Inputs!$B$32*AR147/Inputs!$B$6</f>
        <v>0</v>
      </c>
      <c r="AQ148" s="38">
        <f>Inputs!$B$33</f>
        <v>2500</v>
      </c>
      <c r="AR148" s="38">
        <f t="shared" si="111"/>
        <v>0</v>
      </c>
      <c r="AS148" s="38">
        <f t="shared" si="112"/>
        <v>0</v>
      </c>
      <c r="AT148" s="38">
        <f>Inputs!$B$19*(1-Inputs!$C$71*$H148)+Inputs!$B$21+Inputs!$B$71*$J148</f>
        <v>601000</v>
      </c>
      <c r="AU148" s="38">
        <f t="shared" si="113"/>
        <v>-601000</v>
      </c>
      <c r="AV148" s="38">
        <f t="shared" si="114"/>
        <v>1</v>
      </c>
      <c r="AW148" s="38">
        <f>MAX(0,MIN(Inputs!$C$36,BB147,AX148+AY148+AZ148+Inputs!$C$6-BA147))</f>
        <v>0</v>
      </c>
      <c r="AX148" s="38">
        <f>Inputs!$C$27*(1+Inputs!$C$28)^($A148/12)*IF(Inputs!$B$71=1,$G148,1)*(1-Inputs!$C$71*$H148*(1-Inputs!$E$54*Inputs!$B$71))*(1+$I148)*IF(Inputs!$C$29=0,1,(MAX(BA147,0)/Inputs!$C$6)^Inputs!$C$29)</f>
        <v>0</v>
      </c>
      <c r="AY148" s="38">
        <f>Inputs!$C$32*BA147/Inputs!$C$6</f>
        <v>0</v>
      </c>
      <c r="AZ148" s="38">
        <f>Inputs!$C$33</f>
        <v>2000</v>
      </c>
      <c r="BA148" s="38">
        <f t="shared" si="115"/>
        <v>0</v>
      </c>
      <c r="BB148" s="38">
        <f t="shared" si="116"/>
        <v>0</v>
      </c>
      <c r="BC148" s="38">
        <f>Inputs!$C$19*(1-Inputs!$C$71*$H148)+Inputs!$C$21+Inputs!$B$71*$J148</f>
        <v>501000</v>
      </c>
      <c r="BD148" s="38">
        <f t="shared" si="117"/>
        <v>-501000</v>
      </c>
      <c r="BE148" s="38">
        <f t="shared" si="118"/>
        <v>1</v>
      </c>
      <c r="BF148" s="38">
        <f>MAX(0,MIN(Inputs!$D$36,BK147,BG148+BH148+BI148+Inputs!$D$6-BJ147))</f>
        <v>0</v>
      </c>
      <c r="BG148" s="38">
        <f>Inputs!$D$27*(1+Inputs!$D$28)^($A148/12)*IF(Inputs!$B$71=1,$G148,1)*(1-Inputs!$C$71*$H148*(1-Inputs!$E$54*Inputs!$B$71))*(1+$I148)*IF(Inputs!$D$29=0,1,(MAX(BJ147,0)/Inputs!$D$6)^Inputs!$D$29)</f>
        <v>2547.3429705272329</v>
      </c>
      <c r="BH148" s="38">
        <f>Inputs!$D$32*BJ147/Inputs!$D$6</f>
        <v>1229.4862593376863</v>
      </c>
      <c r="BI148" s="38">
        <f>Inputs!$D$33</f>
        <v>1500</v>
      </c>
      <c r="BJ148" s="38">
        <f t="shared" si="119"/>
        <v>252329.81558374554</v>
      </c>
      <c r="BK148" s="38">
        <f t="shared" si="120"/>
        <v>0</v>
      </c>
      <c r="BL148" s="38">
        <f>Inputs!$D$19*(1-Inputs!$C$71*$H148)+Inputs!$D$21+Inputs!$B$71*$J148</f>
        <v>410800</v>
      </c>
      <c r="BM148" s="38">
        <f t="shared" si="121"/>
        <v>-158470.18441625446</v>
      </c>
      <c r="BN148" s="38">
        <f t="shared" si="122"/>
        <v>1</v>
      </c>
      <c r="BO148" s="38">
        <f>MAX(0,MIN(Inputs!$B$36,BT147,BP148+BQ148+BR148+Inputs!$B$6-BS147))</f>
        <v>0</v>
      </c>
      <c r="BP148" s="38">
        <f>Inputs!$B$27*(1+Inputs!$B$28)^($A148/12)*IF(Inputs!$B$72=1,$G148,1)*(1-Inputs!$C$72*$H148*(1-Inputs!$E$54*Inputs!$B$72))*(1+$I148)*IF(Inputs!$B$29=0,1,(MAX(BS147,0)/Inputs!$B$6)^Inputs!$B$29)</f>
        <v>24870.058516435183</v>
      </c>
      <c r="BQ148" s="38">
        <f>Inputs!$B$32*BS147/Inputs!$B$6</f>
        <v>0</v>
      </c>
      <c r="BR148" s="38">
        <f>Inputs!$B$33</f>
        <v>2500</v>
      </c>
      <c r="BS148" s="38">
        <f t="shared" si="123"/>
        <v>0</v>
      </c>
      <c r="BT148" s="38">
        <f t="shared" si="124"/>
        <v>0</v>
      </c>
      <c r="BU148" s="38">
        <f>Inputs!$B$19*(1-Inputs!$C$72*$H148)+Inputs!$B$21+Inputs!$B$72*$J148</f>
        <v>577500</v>
      </c>
      <c r="BV148" s="38">
        <f t="shared" si="125"/>
        <v>-577500</v>
      </c>
      <c r="BW148" s="38">
        <f t="shared" si="126"/>
        <v>1</v>
      </c>
      <c r="BX148" s="38">
        <f>MAX(0,MIN(Inputs!$C$36,CC147,BY148+BZ148+CA148+Inputs!$C$6-CB147))</f>
        <v>0</v>
      </c>
      <c r="BY148" s="38">
        <f>Inputs!$C$27*(1+Inputs!$C$28)^($A148/12)*IF(Inputs!$B$72=1,$G148,1)*(1-Inputs!$C$72*$H148*(1-Inputs!$E$54*Inputs!$B$72))*(1+$I148)*IF(Inputs!$C$29=0,1,(MAX(CB147,0)/Inputs!$C$6)^Inputs!$C$29)</f>
        <v>0</v>
      </c>
      <c r="BZ148" s="38">
        <f>Inputs!$C$32*CB147/Inputs!$C$6</f>
        <v>0</v>
      </c>
      <c r="CA148" s="38">
        <f>Inputs!$C$33</f>
        <v>2000</v>
      </c>
      <c r="CB148" s="38">
        <f t="shared" si="127"/>
        <v>0</v>
      </c>
      <c r="CC148" s="38">
        <f t="shared" si="128"/>
        <v>0</v>
      </c>
      <c r="CD148" s="38">
        <f>Inputs!$C$19*(1-Inputs!$C$72*$H148)+Inputs!$C$21+Inputs!$B$72*$J148</f>
        <v>480000</v>
      </c>
      <c r="CE148" s="38">
        <f t="shared" si="129"/>
        <v>-480000</v>
      </c>
      <c r="CF148" s="38">
        <f t="shared" si="130"/>
        <v>1</v>
      </c>
      <c r="CG148" s="38">
        <f>MAX(0,MIN(Inputs!$D$36,CL147,CH148+CI148+CJ148+Inputs!$D$6-CK147))</f>
        <v>0</v>
      </c>
      <c r="CH148" s="38">
        <f>Inputs!$D$27*(1+Inputs!$D$28)^($A148/12)*IF(Inputs!$B$72=1,$G148,1)*(1-Inputs!$C$72*$H148*(1-Inputs!$E$54*Inputs!$B$72))*(1+$I148)*IF(Inputs!$D$29=0,1,(MAX(CK147,0)/Inputs!$D$6)^Inputs!$D$29)</f>
        <v>2543.5066944245536</v>
      </c>
      <c r="CI148" s="38">
        <f>Inputs!$D$32*CK147/Inputs!$D$6</f>
        <v>1073.6836327284211</v>
      </c>
      <c r="CJ148" s="38">
        <f>Inputs!$D$33</f>
        <v>1500</v>
      </c>
      <c r="CK148" s="38">
        <f t="shared" si="131"/>
        <v>219845.0946254686</v>
      </c>
      <c r="CL148" s="38">
        <f t="shared" si="132"/>
        <v>0</v>
      </c>
      <c r="CM148" s="38">
        <f>Inputs!$D$19*(1-Inputs!$C$72*$H148)+Inputs!$D$21+Inputs!$B$72*$J148</f>
        <v>392150</v>
      </c>
      <c r="CN148" s="38">
        <f t="shared" si="133"/>
        <v>-172304.9053745314</v>
      </c>
      <c r="CO148" s="38">
        <f t="shared" si="134"/>
        <v>1</v>
      </c>
      <c r="CP148" s="38">
        <f>MAX(0,MIN(Inputs!$B$36,CU147,CQ148+CR148+CS148+Inputs!$B$6-CT147))</f>
        <v>0</v>
      </c>
      <c r="CQ148" s="38">
        <f>Inputs!$B$27*(1+Inputs!$B$28)^($A148/12)*IF(Inputs!$B$73=1,$G148,1)*(1-Inputs!$C$73*$H148*(1-Inputs!$E$54*Inputs!$B$73))*(1+$I148)*IF(Inputs!$B$29=0,1,(MAX(CT147,0)/Inputs!$B$6)^Inputs!$B$29)</f>
        <v>22112.165474643312</v>
      </c>
      <c r="CR148" s="38">
        <f>Inputs!$B$32*CT147/Inputs!$B$6</f>
        <v>0</v>
      </c>
      <c r="CS148" s="38">
        <f>Inputs!$B$33</f>
        <v>2500</v>
      </c>
      <c r="CT148" s="38">
        <f t="shared" si="135"/>
        <v>0</v>
      </c>
      <c r="CU148" s="38">
        <f t="shared" si="136"/>
        <v>0</v>
      </c>
      <c r="CV148" s="38">
        <f>Inputs!$B$19*(1-Inputs!$C$73*$H148)+Inputs!$B$21+Inputs!$B$73*$J148</f>
        <v>583500</v>
      </c>
      <c r="CW148" s="38">
        <f t="shared" si="137"/>
        <v>-583500</v>
      </c>
      <c r="CX148" s="38">
        <f t="shared" si="138"/>
        <v>1</v>
      </c>
      <c r="CY148" s="38">
        <f>MAX(0,MIN(Inputs!$C$36,DD147,CZ148+DA148+DB148+Inputs!$C$6-DC147))</f>
        <v>0</v>
      </c>
      <c r="CZ148" s="38">
        <f>Inputs!$C$27*(1+Inputs!$C$28)^($A148/12)*IF(Inputs!$B$73=1,$G148,1)*(1-Inputs!$C$73*$H148*(1-Inputs!$E$54*Inputs!$B$73))*(1+$I148)*IF(Inputs!$C$29=0,1,(MAX(DC147,0)/Inputs!$C$6)^Inputs!$C$29)</f>
        <v>0</v>
      </c>
      <c r="DA148" s="38">
        <f>Inputs!$C$32*DC147/Inputs!$C$6</f>
        <v>0</v>
      </c>
      <c r="DB148" s="38">
        <f>Inputs!$C$33</f>
        <v>2000</v>
      </c>
      <c r="DC148" s="38">
        <f t="shared" si="139"/>
        <v>0</v>
      </c>
      <c r="DD148" s="38">
        <f t="shared" si="140"/>
        <v>0</v>
      </c>
      <c r="DE148" s="38">
        <f>Inputs!$C$19*(1-Inputs!$C$73*$H148)+Inputs!$C$21+Inputs!$B$73*$J148</f>
        <v>486000</v>
      </c>
      <c r="DF148" s="38">
        <f t="shared" si="141"/>
        <v>-486000</v>
      </c>
      <c r="DG148" s="38">
        <f t="shared" si="142"/>
        <v>1</v>
      </c>
      <c r="DH148" s="38">
        <f>MAX(0,MIN(Inputs!$D$36,DM147,DI148+DJ148+DK148+Inputs!$D$6-DL147))</f>
        <v>0</v>
      </c>
      <c r="DI148" s="38">
        <f>Inputs!$D$27*(1+Inputs!$D$28)^($A148/12)*IF(Inputs!$B$73=1,$G148,1)*(1-Inputs!$C$73*$H148*(1-Inputs!$E$54*Inputs!$B$73))*(1+$I148)*IF(Inputs!$D$29=0,1,(MAX(DL147,0)/Inputs!$D$6)^Inputs!$D$29)</f>
        <v>2510.6243053100243</v>
      </c>
      <c r="DJ148" s="38">
        <f>Inputs!$D$32*DL147/Inputs!$D$6</f>
        <v>1323.3206309959094</v>
      </c>
      <c r="DK148" s="38">
        <f>Inputs!$D$33</f>
        <v>1500</v>
      </c>
      <c r="DL148" s="38">
        <f t="shared" si="143"/>
        <v>271933.23489140841</v>
      </c>
      <c r="DM148" s="38">
        <f t="shared" si="144"/>
        <v>0</v>
      </c>
      <c r="DN148" s="38">
        <f>Inputs!$D$19*(1-Inputs!$C$73*$H148)+Inputs!$D$21+Inputs!$B$73*$J148</f>
        <v>398150</v>
      </c>
      <c r="DO148" s="38">
        <f t="shared" si="145"/>
        <v>-126216.76510859159</v>
      </c>
      <c r="DP148" s="38">
        <f t="shared" si="146"/>
        <v>1</v>
      </c>
    </row>
    <row r="149" spans="1:120" x14ac:dyDescent="0.35">
      <c r="A149" s="29">
        <v>144</v>
      </c>
      <c r="B149" s="34">
        <f>EDATE(Inputs!$B$67,$A149)</f>
        <v>50649</v>
      </c>
      <c r="C149" s="35">
        <f>IF(Inputs!$E$47&lt;=0,Inputs!$E$46,Inputs!$E$44+(Inputs!$E$46-Inputs!$E$44)*MIN($A149/Inputs!$E$47,1))</f>
        <v>0.7</v>
      </c>
      <c r="D149" s="35">
        <f>MIN(Inputs!$E$57,Inputs!$E$55*(1+Inputs!$E$56)^($A149/12))*Inputs!$E$58*(1+Inputs!$E$59)^($A149/12)/Inputs!$E$45</f>
        <v>1.5</v>
      </c>
      <c r="E149" s="35">
        <f>MAX(Inputs!$E$44,MIN(C149,D149))</f>
        <v>0.7</v>
      </c>
      <c r="F149" s="35">
        <f>IF(Inputs!$E$50&lt;=0,Inputs!$E$49,Inputs!$E$48+(Inputs!$E$49-Inputs!$E$48)*MIN($A149/Inputs!$E$50,1))</f>
        <v>0.12</v>
      </c>
      <c r="G149" s="36">
        <f>(Inputs!$E$41*(1-E149*Inputs!$E$51)+Inputs!$E$42*(1-F149*Inputs!$E$51))/(Inputs!$E$41*(1-Inputs!$E$44*Inputs!$E$51)+Inputs!$E$42*(1-Inputs!$E$48*Inputs!$E$51))</f>
        <v>0.8423127463863338</v>
      </c>
      <c r="H149" s="35">
        <f>IF(Inputs!$E$53&lt;=0,Inputs!$E$52,Inputs!$E$52*MIN($A149/Inputs!$E$53,1))</f>
        <v>0.1</v>
      </c>
      <c r="I149" s="35">
        <f>IF(Inputs!$E$64&lt;=0,Inputs!$E$63,Inputs!$E$62+(Inputs!$E$63-Inputs!$E$62)*MIN($A149/Inputs!$E$64,1))</f>
        <v>0.03</v>
      </c>
      <c r="J149" s="37">
        <f>(E149-Inputs!$E$44)*Inputs!$E$45/Inputs!$E$60*Inputs!$E$61</f>
        <v>5999.9999999999991</v>
      </c>
      <c r="K149" s="29">
        <f t="shared" si="98"/>
        <v>0</v>
      </c>
      <c r="L149" s="29"/>
      <c r="M149" s="38">
        <f>MAX(0,MIN(Inputs!$B$36,R148,N149+O149+P149+Inputs!$B$6-Q148))</f>
        <v>0</v>
      </c>
      <c r="N149" s="38">
        <f>Inputs!$B$27*(1+Inputs!$B$28)^($A149/12)*IF(Inputs!$B$70=1,$G149,1)*(1-Inputs!$C$70*$H149*(1-Inputs!$E$54*Inputs!$B$70))*(1+$I149)*IF(Inputs!$B$29=0,1,(MAX(Q148,0)/Inputs!$B$6)^Inputs!$B$29)</f>
        <v>27745.980237041895</v>
      </c>
      <c r="O149" s="38">
        <f>Inputs!$B$32*Q148/Inputs!$B$6</f>
        <v>0</v>
      </c>
      <c r="P149" s="38">
        <f>Inputs!$B$33</f>
        <v>2500</v>
      </c>
      <c r="Q149" s="38">
        <f t="shared" si="99"/>
        <v>0</v>
      </c>
      <c r="R149" s="38">
        <f t="shared" si="100"/>
        <v>0</v>
      </c>
      <c r="S149" s="38">
        <f>Inputs!$B$19*(1-Inputs!$C$70*$H149)+Inputs!$B$21+Inputs!$B$70*$J149</f>
        <v>595000</v>
      </c>
      <c r="T149" s="38">
        <f t="shared" si="101"/>
        <v>-595000</v>
      </c>
      <c r="U149" s="38">
        <f t="shared" si="102"/>
        <v>1</v>
      </c>
      <c r="V149" s="38">
        <f>MAX(0,MIN(Inputs!$C$36,AA148,W149+X149+Y149+Inputs!$C$6-Z148))</f>
        <v>0</v>
      </c>
      <c r="W149" s="38">
        <f>Inputs!$C$27*(1+Inputs!$C$28)^($A149/12)*IF(Inputs!$B$70=1,$G149,1)*(1-Inputs!$C$70*$H149*(1-Inputs!$E$54*Inputs!$B$70))*(1+$I149)*IF(Inputs!$C$29=0,1,(MAX(Z148,0)/Inputs!$C$6)^Inputs!$C$29)</f>
        <v>0</v>
      </c>
      <c r="X149" s="38">
        <f>Inputs!$C$32*Z148/Inputs!$C$6</f>
        <v>0</v>
      </c>
      <c r="Y149" s="38">
        <f>Inputs!$C$33</f>
        <v>2000</v>
      </c>
      <c r="Z149" s="38">
        <f t="shared" si="103"/>
        <v>0</v>
      </c>
      <c r="AA149" s="38">
        <f t="shared" si="104"/>
        <v>0</v>
      </c>
      <c r="AB149" s="38">
        <f>Inputs!$C$19*(1-Inputs!$C$70*$H149)+Inputs!$C$21+Inputs!$B$70*$J149</f>
        <v>495000</v>
      </c>
      <c r="AC149" s="38">
        <f t="shared" si="105"/>
        <v>-495000</v>
      </c>
      <c r="AD149" s="38">
        <f t="shared" si="106"/>
        <v>1</v>
      </c>
      <c r="AE149" s="38">
        <f>MAX(0,MIN(Inputs!$D$36,AJ148,AF149+AG149+AH149+Inputs!$D$6-AI148))</f>
        <v>0</v>
      </c>
      <c r="AF149" s="38">
        <f>Inputs!$D$27*(1+Inputs!$D$28)^($A149/12)*IF(Inputs!$B$70=1,$G149,1)*(1-Inputs!$C$70*$H149*(1-Inputs!$E$54*Inputs!$B$70))*(1+$I149)*IF(Inputs!$D$29=0,1,(MAX(AI148,0)/Inputs!$D$6)^Inputs!$D$29)</f>
        <v>2508.7126302105125</v>
      </c>
      <c r="AG149" s="38">
        <f>Inputs!$D$32*AI148/Inputs!$D$6</f>
        <v>853.3165064228059</v>
      </c>
      <c r="AH149" s="38">
        <f>Inputs!$D$33</f>
        <v>1500</v>
      </c>
      <c r="AI149" s="38">
        <f t="shared" si="107"/>
        <v>173928.09601862129</v>
      </c>
      <c r="AJ149" s="38">
        <f t="shared" si="108"/>
        <v>0</v>
      </c>
      <c r="AK149" s="38">
        <f>Inputs!$D$19*(1-Inputs!$C$70*$H149)+Inputs!$D$21+Inputs!$B$70*$J149</f>
        <v>404800</v>
      </c>
      <c r="AL149" s="38">
        <f t="shared" si="109"/>
        <v>-230871.90398137871</v>
      </c>
      <c r="AM149" s="38">
        <f t="shared" si="110"/>
        <v>1</v>
      </c>
      <c r="AN149" s="38">
        <f>MAX(0,MIN(Inputs!$B$36,AS148,AO149+AP149+AQ149+Inputs!$B$6-AR148))</f>
        <v>0</v>
      </c>
      <c r="AO149" s="38">
        <f>Inputs!$B$27*(1+Inputs!$B$28)^($A149/12)*IF(Inputs!$B$71=1,$G149,1)*(1-Inputs!$C$71*$H149*(1-Inputs!$E$54*Inputs!$B$71))*(1+$I149)*IF(Inputs!$B$29=0,1,(MAX(AR148,0)/Inputs!$B$6)^Inputs!$B$29)</f>
        <v>23370.792814643701</v>
      </c>
      <c r="AP149" s="38">
        <f>Inputs!$B$32*AR148/Inputs!$B$6</f>
        <v>0</v>
      </c>
      <c r="AQ149" s="38">
        <f>Inputs!$B$33</f>
        <v>2500</v>
      </c>
      <c r="AR149" s="38">
        <f t="shared" si="111"/>
        <v>0</v>
      </c>
      <c r="AS149" s="38">
        <f t="shared" si="112"/>
        <v>0</v>
      </c>
      <c r="AT149" s="38">
        <f>Inputs!$B$19*(1-Inputs!$C$71*$H149)+Inputs!$B$21+Inputs!$B$71*$J149</f>
        <v>601000</v>
      </c>
      <c r="AU149" s="38">
        <f t="shared" si="113"/>
        <v>-601000</v>
      </c>
      <c r="AV149" s="38">
        <f t="shared" si="114"/>
        <v>1</v>
      </c>
      <c r="AW149" s="38">
        <f>MAX(0,MIN(Inputs!$C$36,BB148,AX149+AY149+AZ149+Inputs!$C$6-BA148))</f>
        <v>0</v>
      </c>
      <c r="AX149" s="38">
        <f>Inputs!$C$27*(1+Inputs!$C$28)^($A149/12)*IF(Inputs!$B$71=1,$G149,1)*(1-Inputs!$C$71*$H149*(1-Inputs!$E$54*Inputs!$B$71))*(1+$I149)*IF(Inputs!$C$29=0,1,(MAX(BA148,0)/Inputs!$C$6)^Inputs!$C$29)</f>
        <v>0</v>
      </c>
      <c r="AY149" s="38">
        <f>Inputs!$C$32*BA148/Inputs!$C$6</f>
        <v>0</v>
      </c>
      <c r="AZ149" s="38">
        <f>Inputs!$C$33</f>
        <v>2000</v>
      </c>
      <c r="BA149" s="38">
        <f t="shared" si="115"/>
        <v>0</v>
      </c>
      <c r="BB149" s="38">
        <f t="shared" si="116"/>
        <v>0</v>
      </c>
      <c r="BC149" s="38">
        <f>Inputs!$C$19*(1-Inputs!$C$71*$H149)+Inputs!$C$21+Inputs!$B$71*$J149</f>
        <v>501000</v>
      </c>
      <c r="BD149" s="38">
        <f t="shared" si="117"/>
        <v>-501000</v>
      </c>
      <c r="BE149" s="38">
        <f t="shared" si="118"/>
        <v>1</v>
      </c>
      <c r="BF149" s="38">
        <f>MAX(0,MIN(Inputs!$D$36,BK148,BG149+BH149+BI149+Inputs!$D$6-BJ148))</f>
        <v>0</v>
      </c>
      <c r="BG149" s="38">
        <f>Inputs!$D$27*(1+Inputs!$D$28)^($A149/12)*IF(Inputs!$B$71=1,$G149,1)*(1-Inputs!$C$71*$H149*(1-Inputs!$E$54*Inputs!$B$71))*(1+$I149)*IF(Inputs!$D$29=0,1,(MAX(BJ148,0)/Inputs!$D$6)^Inputs!$D$29)</f>
        <v>2510.3646457976615</v>
      </c>
      <c r="BH149" s="38">
        <f>Inputs!$D$32*BJ148/Inputs!$D$6</f>
        <v>1204.3013925587857</v>
      </c>
      <c r="BI149" s="38">
        <f>Inputs!$D$33</f>
        <v>1500</v>
      </c>
      <c r="BJ149" s="38">
        <f t="shared" si="119"/>
        <v>247115.14954538908</v>
      </c>
      <c r="BK149" s="38">
        <f t="shared" si="120"/>
        <v>0</v>
      </c>
      <c r="BL149" s="38">
        <f>Inputs!$D$19*(1-Inputs!$C$71*$H149)+Inputs!$D$21+Inputs!$B$71*$J149</f>
        <v>410800</v>
      </c>
      <c r="BM149" s="38">
        <f t="shared" si="121"/>
        <v>-163684.85045461092</v>
      </c>
      <c r="BN149" s="38">
        <f t="shared" si="122"/>
        <v>1</v>
      </c>
      <c r="BO149" s="38">
        <f>MAX(0,MIN(Inputs!$B$36,BT148,BP149+BQ149+BR149+Inputs!$B$6-BS148))</f>
        <v>0</v>
      </c>
      <c r="BP149" s="38">
        <f>Inputs!$B$27*(1+Inputs!$B$28)^($A149/12)*IF(Inputs!$B$72=1,$G149,1)*(1-Inputs!$C$72*$H149*(1-Inputs!$E$54*Inputs!$B$72))*(1+$I149)*IF(Inputs!$B$29=0,1,(MAX(BS148,0)/Inputs!$B$6)^Inputs!$B$29)</f>
        <v>24971.382213337707</v>
      </c>
      <c r="BQ149" s="38">
        <f>Inputs!$B$32*BS148/Inputs!$B$6</f>
        <v>0</v>
      </c>
      <c r="BR149" s="38">
        <f>Inputs!$B$33</f>
        <v>2500</v>
      </c>
      <c r="BS149" s="38">
        <f t="shared" si="123"/>
        <v>0</v>
      </c>
      <c r="BT149" s="38">
        <f t="shared" si="124"/>
        <v>0</v>
      </c>
      <c r="BU149" s="38">
        <f>Inputs!$B$19*(1-Inputs!$C$72*$H149)+Inputs!$B$21+Inputs!$B$72*$J149</f>
        <v>577500</v>
      </c>
      <c r="BV149" s="38">
        <f t="shared" si="125"/>
        <v>-577500</v>
      </c>
      <c r="BW149" s="38">
        <f t="shared" si="126"/>
        <v>1</v>
      </c>
      <c r="BX149" s="38">
        <f>MAX(0,MIN(Inputs!$C$36,CC148,BY149+BZ149+CA149+Inputs!$C$6-CB148))</f>
        <v>0</v>
      </c>
      <c r="BY149" s="38">
        <f>Inputs!$C$27*(1+Inputs!$C$28)^($A149/12)*IF(Inputs!$B$72=1,$G149,1)*(1-Inputs!$C$72*$H149*(1-Inputs!$E$54*Inputs!$B$72))*(1+$I149)*IF(Inputs!$C$29=0,1,(MAX(CB148,0)/Inputs!$C$6)^Inputs!$C$29)</f>
        <v>0</v>
      </c>
      <c r="BZ149" s="38">
        <f>Inputs!$C$32*CB148/Inputs!$C$6</f>
        <v>0</v>
      </c>
      <c r="CA149" s="38">
        <f>Inputs!$C$33</f>
        <v>2000</v>
      </c>
      <c r="CB149" s="38">
        <f t="shared" si="127"/>
        <v>0</v>
      </c>
      <c r="CC149" s="38">
        <f t="shared" si="128"/>
        <v>0</v>
      </c>
      <c r="CD149" s="38">
        <f>Inputs!$C$19*(1-Inputs!$C$72*$H149)+Inputs!$C$21+Inputs!$B$72*$J149</f>
        <v>480000</v>
      </c>
      <c r="CE149" s="38">
        <f t="shared" si="129"/>
        <v>-480000</v>
      </c>
      <c r="CF149" s="38">
        <f t="shared" si="130"/>
        <v>1</v>
      </c>
      <c r="CG149" s="38">
        <f>MAX(0,MIN(Inputs!$D$36,CL148,CH149+CI149+CJ149+Inputs!$D$6-CK148))</f>
        <v>0</v>
      </c>
      <c r="CH149" s="38">
        <f>Inputs!$D$27*(1+Inputs!$D$28)^($A149/12)*IF(Inputs!$B$72=1,$G149,1)*(1-Inputs!$C$72*$H149*(1-Inputs!$E$54*Inputs!$B$72))*(1+$I149)*IF(Inputs!$D$29=0,1,(MAX(CK148,0)/Inputs!$D$6)^Inputs!$D$29)</f>
        <v>2503.6870983205595</v>
      </c>
      <c r="CI149" s="38">
        <f>Inputs!$D$32*CK148/Inputs!$D$6</f>
        <v>1049.2606788942819</v>
      </c>
      <c r="CJ149" s="38">
        <f>Inputs!$D$33</f>
        <v>1500</v>
      </c>
      <c r="CK149" s="38">
        <f t="shared" si="131"/>
        <v>214792.14684825373</v>
      </c>
      <c r="CL149" s="38">
        <f t="shared" si="132"/>
        <v>0</v>
      </c>
      <c r="CM149" s="38">
        <f>Inputs!$D$19*(1-Inputs!$C$72*$H149)+Inputs!$D$21+Inputs!$B$72*$J149</f>
        <v>392150</v>
      </c>
      <c r="CN149" s="38">
        <f t="shared" si="133"/>
        <v>-177357.85315174627</v>
      </c>
      <c r="CO149" s="38">
        <f t="shared" si="134"/>
        <v>1</v>
      </c>
      <c r="CP149" s="38">
        <f>MAX(0,MIN(Inputs!$B$36,CU148,CQ149+CR149+CS149+Inputs!$B$6-CT148))</f>
        <v>0</v>
      </c>
      <c r="CQ149" s="38">
        <f>Inputs!$B$27*(1+Inputs!$B$28)^($A149/12)*IF(Inputs!$B$73=1,$G149,1)*(1-Inputs!$C$73*$H149*(1-Inputs!$E$54*Inputs!$B$73))*(1+$I149)*IF(Inputs!$B$29=0,1,(MAX(CT148,0)/Inputs!$B$6)^Inputs!$B$29)</f>
        <v>22202.253173911511</v>
      </c>
      <c r="CR149" s="38">
        <f>Inputs!$B$32*CT148/Inputs!$B$6</f>
        <v>0</v>
      </c>
      <c r="CS149" s="38">
        <f>Inputs!$B$33</f>
        <v>2500</v>
      </c>
      <c r="CT149" s="38">
        <f t="shared" si="135"/>
        <v>0</v>
      </c>
      <c r="CU149" s="38">
        <f t="shared" si="136"/>
        <v>0</v>
      </c>
      <c r="CV149" s="38">
        <f>Inputs!$B$19*(1-Inputs!$C$73*$H149)+Inputs!$B$21+Inputs!$B$73*$J149</f>
        <v>583500</v>
      </c>
      <c r="CW149" s="38">
        <f t="shared" si="137"/>
        <v>-583500</v>
      </c>
      <c r="CX149" s="38">
        <f t="shared" si="138"/>
        <v>1</v>
      </c>
      <c r="CY149" s="38">
        <f>MAX(0,MIN(Inputs!$C$36,DD148,CZ149+DA149+DB149+Inputs!$C$6-DC148))</f>
        <v>0</v>
      </c>
      <c r="CZ149" s="38">
        <f>Inputs!$C$27*(1+Inputs!$C$28)^($A149/12)*IF(Inputs!$B$73=1,$G149,1)*(1-Inputs!$C$73*$H149*(1-Inputs!$E$54*Inputs!$B$73))*(1+$I149)*IF(Inputs!$C$29=0,1,(MAX(DC148,0)/Inputs!$C$6)^Inputs!$C$29)</f>
        <v>0</v>
      </c>
      <c r="DA149" s="38">
        <f>Inputs!$C$32*DC148/Inputs!$C$6</f>
        <v>0</v>
      </c>
      <c r="DB149" s="38">
        <f>Inputs!$C$33</f>
        <v>2000</v>
      </c>
      <c r="DC149" s="38">
        <f t="shared" si="139"/>
        <v>0</v>
      </c>
      <c r="DD149" s="38">
        <f t="shared" si="140"/>
        <v>0</v>
      </c>
      <c r="DE149" s="38">
        <f>Inputs!$C$19*(1-Inputs!$C$73*$H149)+Inputs!$C$21+Inputs!$B$73*$J149</f>
        <v>486000</v>
      </c>
      <c r="DF149" s="38">
        <f t="shared" si="141"/>
        <v>-486000</v>
      </c>
      <c r="DG149" s="38">
        <f t="shared" si="142"/>
        <v>1</v>
      </c>
      <c r="DH149" s="38">
        <f>MAX(0,MIN(Inputs!$D$36,DM148,DI149+DJ149+DK149+Inputs!$D$6-DL148))</f>
        <v>0</v>
      </c>
      <c r="DI149" s="38">
        <f>Inputs!$D$27*(1+Inputs!$D$28)^($A149/12)*IF(Inputs!$B$73=1,$G149,1)*(1-Inputs!$C$73*$H149*(1-Inputs!$E$54*Inputs!$B$73))*(1+$I149)*IF(Inputs!$D$29=0,1,(MAX(DL148,0)/Inputs!$D$6)^Inputs!$D$29)</f>
        <v>2475.752775824521</v>
      </c>
      <c r="DJ149" s="38">
        <f>Inputs!$D$32*DL148/Inputs!$D$6</f>
        <v>1297.8631665271764</v>
      </c>
      <c r="DK149" s="38">
        <f>Inputs!$D$33</f>
        <v>1500</v>
      </c>
      <c r="DL149" s="38">
        <f t="shared" si="143"/>
        <v>266659.61894905672</v>
      </c>
      <c r="DM149" s="38">
        <f t="shared" si="144"/>
        <v>0</v>
      </c>
      <c r="DN149" s="38">
        <f>Inputs!$D$19*(1-Inputs!$C$73*$H149)+Inputs!$D$21+Inputs!$B$73*$J149</f>
        <v>398150</v>
      </c>
      <c r="DO149" s="38">
        <f t="shared" si="145"/>
        <v>-131490.38105094328</v>
      </c>
      <c r="DP149" s="38">
        <f t="shared" si="146"/>
        <v>1</v>
      </c>
    </row>
    <row r="150" spans="1:120" x14ac:dyDescent="0.35">
      <c r="A150" s="29">
        <v>145</v>
      </c>
      <c r="B150" s="34">
        <f>EDATE(Inputs!$B$67,$A150)</f>
        <v>50679</v>
      </c>
      <c r="C150" s="35">
        <f>IF(Inputs!$E$47&lt;=0,Inputs!$E$46,Inputs!$E$44+(Inputs!$E$46-Inputs!$E$44)*MIN($A150/Inputs!$E$47,1))</f>
        <v>0.7</v>
      </c>
      <c r="D150" s="35">
        <f>MIN(Inputs!$E$57,Inputs!$E$55*(1+Inputs!$E$56)^($A150/12))*Inputs!$E$58*(1+Inputs!$E$59)^($A150/12)/Inputs!$E$45</f>
        <v>1.5</v>
      </c>
      <c r="E150" s="35">
        <f>MAX(Inputs!$E$44,MIN(C150,D150))</f>
        <v>0.7</v>
      </c>
      <c r="F150" s="35">
        <f>IF(Inputs!$E$50&lt;=0,Inputs!$E$49,Inputs!$E$48+(Inputs!$E$49-Inputs!$E$48)*MIN($A150/Inputs!$E$50,1))</f>
        <v>0.12</v>
      </c>
      <c r="G150" s="36">
        <f>(Inputs!$E$41*(1-E150*Inputs!$E$51)+Inputs!$E$42*(1-F150*Inputs!$E$51))/(Inputs!$E$41*(1-Inputs!$E$44*Inputs!$E$51)+Inputs!$E$42*(1-Inputs!$E$48*Inputs!$E$51))</f>
        <v>0.8423127463863338</v>
      </c>
      <c r="H150" s="35">
        <f>IF(Inputs!$E$53&lt;=0,Inputs!$E$52,Inputs!$E$52*MIN($A150/Inputs!$E$53,1))</f>
        <v>0.1</v>
      </c>
      <c r="I150" s="35">
        <f>IF(Inputs!$E$64&lt;=0,Inputs!$E$63,Inputs!$E$62+(Inputs!$E$63-Inputs!$E$62)*MIN($A150/Inputs!$E$64,1))</f>
        <v>0.03</v>
      </c>
      <c r="J150" s="37">
        <f>(E150-Inputs!$E$44)*Inputs!$E$45/Inputs!$E$60*Inputs!$E$61</f>
        <v>5999.9999999999991</v>
      </c>
      <c r="K150" s="29">
        <f t="shared" si="98"/>
        <v>0</v>
      </c>
      <c r="L150" s="29"/>
      <c r="M150" s="38">
        <f>MAX(0,MIN(Inputs!$B$36,R149,N150+O150+P150+Inputs!$B$6-Q149))</f>
        <v>0</v>
      </c>
      <c r="N150" s="38">
        <f>Inputs!$B$27*(1+Inputs!$B$28)^($A150/12)*IF(Inputs!$B$70=1,$G150,1)*(1-Inputs!$C$70*$H150*(1-Inputs!$E$54*Inputs!$B$70))*(1+$I150)*IF(Inputs!$B$29=0,1,(MAX(Q149,0)/Inputs!$B$6)^Inputs!$B$29)</f>
        <v>27859.020795026281</v>
      </c>
      <c r="O150" s="38">
        <f>Inputs!$B$32*Q149/Inputs!$B$6</f>
        <v>0</v>
      </c>
      <c r="P150" s="38">
        <f>Inputs!$B$33</f>
        <v>2500</v>
      </c>
      <c r="Q150" s="38">
        <f t="shared" si="99"/>
        <v>0</v>
      </c>
      <c r="R150" s="38">
        <f t="shared" si="100"/>
        <v>0</v>
      </c>
      <c r="S150" s="38">
        <f>Inputs!$B$19*(1-Inputs!$C$70*$H150)+Inputs!$B$21+Inputs!$B$70*$J150</f>
        <v>595000</v>
      </c>
      <c r="T150" s="38">
        <f t="shared" si="101"/>
        <v>-595000</v>
      </c>
      <c r="U150" s="38">
        <f t="shared" si="102"/>
        <v>1</v>
      </c>
      <c r="V150" s="38">
        <f>MAX(0,MIN(Inputs!$C$36,AA149,W150+X150+Y150+Inputs!$C$6-Z149))</f>
        <v>0</v>
      </c>
      <c r="W150" s="38">
        <f>Inputs!$C$27*(1+Inputs!$C$28)^($A150/12)*IF(Inputs!$B$70=1,$G150,1)*(1-Inputs!$C$70*$H150*(1-Inputs!$E$54*Inputs!$B$70))*(1+$I150)*IF(Inputs!$C$29=0,1,(MAX(Z149,0)/Inputs!$C$6)^Inputs!$C$29)</f>
        <v>0</v>
      </c>
      <c r="X150" s="38">
        <f>Inputs!$C$32*Z149/Inputs!$C$6</f>
        <v>0</v>
      </c>
      <c r="Y150" s="38">
        <f>Inputs!$C$33</f>
        <v>2000</v>
      </c>
      <c r="Z150" s="38">
        <f t="shared" si="103"/>
        <v>0</v>
      </c>
      <c r="AA150" s="38">
        <f t="shared" si="104"/>
        <v>0</v>
      </c>
      <c r="AB150" s="38">
        <f>Inputs!$C$19*(1-Inputs!$C$70*$H150)+Inputs!$C$21+Inputs!$B$70*$J150</f>
        <v>495000</v>
      </c>
      <c r="AC150" s="38">
        <f t="shared" si="105"/>
        <v>-495000</v>
      </c>
      <c r="AD150" s="38">
        <f t="shared" si="106"/>
        <v>1</v>
      </c>
      <c r="AE150" s="38">
        <f>MAX(0,MIN(Inputs!$D$36,AJ149,AF150+AG150+AH150+Inputs!$D$6-AI149))</f>
        <v>0</v>
      </c>
      <c r="AF150" s="38">
        <f>Inputs!$D$27*(1+Inputs!$D$28)^($A150/12)*IF(Inputs!$B$70=1,$G150,1)*(1-Inputs!$C$70*$H150*(1-Inputs!$E$54*Inputs!$B$70))*(1+$I150)*IF(Inputs!$D$29=0,1,(MAX(AI149,0)/Inputs!$D$6)^Inputs!$D$29)</f>
        <v>2463.8125170509111</v>
      </c>
      <c r="AG150" s="38">
        <f>Inputs!$D$32*AI149/Inputs!$D$6</f>
        <v>830.11136736160165</v>
      </c>
      <c r="AH150" s="38">
        <f>Inputs!$D$33</f>
        <v>1500</v>
      </c>
      <c r="AI150" s="38">
        <f t="shared" si="107"/>
        <v>169134.17213420878</v>
      </c>
      <c r="AJ150" s="38">
        <f t="shared" si="108"/>
        <v>0</v>
      </c>
      <c r="AK150" s="38">
        <f>Inputs!$D$19*(1-Inputs!$C$70*$H150)+Inputs!$D$21+Inputs!$B$70*$J150</f>
        <v>404800</v>
      </c>
      <c r="AL150" s="38">
        <f t="shared" si="109"/>
        <v>-235665.82786579122</v>
      </c>
      <c r="AM150" s="38">
        <f t="shared" si="110"/>
        <v>1</v>
      </c>
      <c r="AN150" s="38">
        <f>MAX(0,MIN(Inputs!$B$36,AS149,AO150+AP150+AQ150+Inputs!$B$6-AR149))</f>
        <v>0</v>
      </c>
      <c r="AO150" s="38">
        <f>Inputs!$B$27*(1+Inputs!$B$28)^($A150/12)*IF(Inputs!$B$71=1,$G150,1)*(1-Inputs!$C$71*$H150*(1-Inputs!$E$54*Inputs!$B$71))*(1+$I150)*IF(Inputs!$B$29=0,1,(MAX(AR149,0)/Inputs!$B$6)^Inputs!$B$29)</f>
        <v>23466.008317492571</v>
      </c>
      <c r="AP150" s="38">
        <f>Inputs!$B$32*AR149/Inputs!$B$6</f>
        <v>0</v>
      </c>
      <c r="AQ150" s="38">
        <f>Inputs!$B$33</f>
        <v>2500</v>
      </c>
      <c r="AR150" s="38">
        <f t="shared" si="111"/>
        <v>0</v>
      </c>
      <c r="AS150" s="38">
        <f t="shared" si="112"/>
        <v>0</v>
      </c>
      <c r="AT150" s="38">
        <f>Inputs!$B$19*(1-Inputs!$C$71*$H150)+Inputs!$B$21+Inputs!$B$71*$J150</f>
        <v>601000</v>
      </c>
      <c r="AU150" s="38">
        <f t="shared" si="113"/>
        <v>-601000</v>
      </c>
      <c r="AV150" s="38">
        <f t="shared" si="114"/>
        <v>1</v>
      </c>
      <c r="AW150" s="38">
        <f>MAX(0,MIN(Inputs!$C$36,BB149,AX150+AY150+AZ150+Inputs!$C$6-BA149))</f>
        <v>0</v>
      </c>
      <c r="AX150" s="38">
        <f>Inputs!$C$27*(1+Inputs!$C$28)^($A150/12)*IF(Inputs!$B$71=1,$G150,1)*(1-Inputs!$C$71*$H150*(1-Inputs!$E$54*Inputs!$B$71))*(1+$I150)*IF(Inputs!$C$29=0,1,(MAX(BA149,0)/Inputs!$C$6)^Inputs!$C$29)</f>
        <v>0</v>
      </c>
      <c r="AY150" s="38">
        <f>Inputs!$C$32*BA149/Inputs!$C$6</f>
        <v>0</v>
      </c>
      <c r="AZ150" s="38">
        <f>Inputs!$C$33</f>
        <v>2000</v>
      </c>
      <c r="BA150" s="38">
        <f t="shared" si="115"/>
        <v>0</v>
      </c>
      <c r="BB150" s="38">
        <f t="shared" si="116"/>
        <v>0</v>
      </c>
      <c r="BC150" s="38">
        <f>Inputs!$C$19*(1-Inputs!$C$71*$H150)+Inputs!$C$21+Inputs!$B$71*$J150</f>
        <v>501000</v>
      </c>
      <c r="BD150" s="38">
        <f t="shared" si="117"/>
        <v>-501000</v>
      </c>
      <c r="BE150" s="38">
        <f t="shared" si="118"/>
        <v>1</v>
      </c>
      <c r="BF150" s="38">
        <f>MAX(0,MIN(Inputs!$D$36,BK149,BG150+BH150+BI150+Inputs!$D$6-BJ149))</f>
        <v>0</v>
      </c>
      <c r="BG150" s="38">
        <f>Inputs!$D$27*(1+Inputs!$D$28)^($A150/12)*IF(Inputs!$B$71=1,$G150,1)*(1-Inputs!$C$71*$H150*(1-Inputs!$E$54*Inputs!$B$71))*(1+$I150)*IF(Inputs!$D$29=0,1,(MAX(BJ149,0)/Inputs!$D$6)^Inputs!$D$29)</f>
        <v>2473.6932503941953</v>
      </c>
      <c r="BH150" s="38">
        <f>Inputs!$D$32*BJ149/Inputs!$D$6</f>
        <v>1179.4132137393569</v>
      </c>
      <c r="BI150" s="38">
        <f>Inputs!$D$33</f>
        <v>1500</v>
      </c>
      <c r="BJ150" s="38">
        <f t="shared" si="119"/>
        <v>241962.04308125554</v>
      </c>
      <c r="BK150" s="38">
        <f t="shared" si="120"/>
        <v>0</v>
      </c>
      <c r="BL150" s="38">
        <f>Inputs!$D$19*(1-Inputs!$C$71*$H150)+Inputs!$D$21+Inputs!$B$71*$J150</f>
        <v>410800</v>
      </c>
      <c r="BM150" s="38">
        <f t="shared" si="121"/>
        <v>-168837.95691874446</v>
      </c>
      <c r="BN150" s="38">
        <f t="shared" si="122"/>
        <v>1</v>
      </c>
      <c r="BO150" s="38">
        <f>MAX(0,MIN(Inputs!$B$36,BT149,BP150+BQ150+BR150+Inputs!$B$6-BS149))</f>
        <v>0</v>
      </c>
      <c r="BP150" s="38">
        <f>Inputs!$B$27*(1+Inputs!$B$28)^($A150/12)*IF(Inputs!$B$72=1,$G150,1)*(1-Inputs!$C$72*$H150*(1-Inputs!$E$54*Inputs!$B$72))*(1+$I150)*IF(Inputs!$B$29=0,1,(MAX(BS149,0)/Inputs!$B$6)^Inputs!$B$29)</f>
        <v>25073.118715523651</v>
      </c>
      <c r="BQ150" s="38">
        <f>Inputs!$B$32*BS149/Inputs!$B$6</f>
        <v>0</v>
      </c>
      <c r="BR150" s="38">
        <f>Inputs!$B$33</f>
        <v>2500</v>
      </c>
      <c r="BS150" s="38">
        <f t="shared" si="123"/>
        <v>0</v>
      </c>
      <c r="BT150" s="38">
        <f t="shared" si="124"/>
        <v>0</v>
      </c>
      <c r="BU150" s="38">
        <f>Inputs!$B$19*(1-Inputs!$C$72*$H150)+Inputs!$B$21+Inputs!$B$72*$J150</f>
        <v>577500</v>
      </c>
      <c r="BV150" s="38">
        <f t="shared" si="125"/>
        <v>-577500</v>
      </c>
      <c r="BW150" s="38">
        <f t="shared" si="126"/>
        <v>1</v>
      </c>
      <c r="BX150" s="38">
        <f>MAX(0,MIN(Inputs!$C$36,CC149,BY150+BZ150+CA150+Inputs!$C$6-CB149))</f>
        <v>0</v>
      </c>
      <c r="BY150" s="38">
        <f>Inputs!$C$27*(1+Inputs!$C$28)^($A150/12)*IF(Inputs!$B$72=1,$G150,1)*(1-Inputs!$C$72*$H150*(1-Inputs!$E$54*Inputs!$B$72))*(1+$I150)*IF(Inputs!$C$29=0,1,(MAX(CB149,0)/Inputs!$C$6)^Inputs!$C$29)</f>
        <v>0</v>
      </c>
      <c r="BZ150" s="38">
        <f>Inputs!$C$32*CB149/Inputs!$C$6</f>
        <v>0</v>
      </c>
      <c r="CA150" s="38">
        <f>Inputs!$C$33</f>
        <v>2000</v>
      </c>
      <c r="CB150" s="38">
        <f t="shared" si="127"/>
        <v>0</v>
      </c>
      <c r="CC150" s="38">
        <f t="shared" si="128"/>
        <v>0</v>
      </c>
      <c r="CD150" s="38">
        <f>Inputs!$C$19*(1-Inputs!$C$72*$H150)+Inputs!$C$21+Inputs!$B$72*$J150</f>
        <v>480000</v>
      </c>
      <c r="CE150" s="38">
        <f t="shared" si="129"/>
        <v>-480000</v>
      </c>
      <c r="CF150" s="38">
        <f t="shared" si="130"/>
        <v>1</v>
      </c>
      <c r="CG150" s="38">
        <f>MAX(0,MIN(Inputs!$D$36,CL149,CH150+CI150+CJ150+Inputs!$D$6-CK149))</f>
        <v>0</v>
      </c>
      <c r="CH150" s="38">
        <f>Inputs!$D$27*(1+Inputs!$D$28)^($A150/12)*IF(Inputs!$B$72=1,$G150,1)*(1-Inputs!$C$72*$H150*(1-Inputs!$E$54*Inputs!$B$72))*(1+$I150)*IF(Inputs!$D$29=0,1,(MAX(CK149,0)/Inputs!$D$6)^Inputs!$D$29)</f>
        <v>2464.1917242900449</v>
      </c>
      <c r="CI150" s="38">
        <f>Inputs!$D$32*CK149/Inputs!$D$6</f>
        <v>1025.1443372303017</v>
      </c>
      <c r="CJ150" s="38">
        <f>Inputs!$D$33</f>
        <v>1500</v>
      </c>
      <c r="CK150" s="38">
        <f t="shared" si="131"/>
        <v>209802.81078673337</v>
      </c>
      <c r="CL150" s="38">
        <f t="shared" si="132"/>
        <v>0</v>
      </c>
      <c r="CM150" s="38">
        <f>Inputs!$D$19*(1-Inputs!$C$72*$H150)+Inputs!$D$21+Inputs!$B$72*$J150</f>
        <v>392150</v>
      </c>
      <c r="CN150" s="38">
        <f t="shared" si="133"/>
        <v>-182347.18921326663</v>
      </c>
      <c r="CO150" s="38">
        <f t="shared" si="134"/>
        <v>1</v>
      </c>
      <c r="CP150" s="38">
        <f>MAX(0,MIN(Inputs!$B$36,CU149,CQ150+CR150+CS150+Inputs!$B$6-CT149))</f>
        <v>0</v>
      </c>
      <c r="CQ150" s="38">
        <f>Inputs!$B$27*(1+Inputs!$B$28)^($A150/12)*IF(Inputs!$B$73=1,$G150,1)*(1-Inputs!$C$73*$H150*(1-Inputs!$E$54*Inputs!$B$73))*(1+$I150)*IF(Inputs!$B$29=0,1,(MAX(CT149,0)/Inputs!$B$6)^Inputs!$B$29)</f>
        <v>22292.707901617941</v>
      </c>
      <c r="CR150" s="38">
        <f>Inputs!$B$32*CT149/Inputs!$B$6</f>
        <v>0</v>
      </c>
      <c r="CS150" s="38">
        <f>Inputs!$B$33</f>
        <v>2500</v>
      </c>
      <c r="CT150" s="38">
        <f t="shared" si="135"/>
        <v>0</v>
      </c>
      <c r="CU150" s="38">
        <f t="shared" si="136"/>
        <v>0</v>
      </c>
      <c r="CV150" s="38">
        <f>Inputs!$B$19*(1-Inputs!$C$73*$H150)+Inputs!$B$21+Inputs!$B$73*$J150</f>
        <v>583500</v>
      </c>
      <c r="CW150" s="38">
        <f t="shared" si="137"/>
        <v>-583500</v>
      </c>
      <c r="CX150" s="38">
        <f t="shared" si="138"/>
        <v>1</v>
      </c>
      <c r="CY150" s="38">
        <f>MAX(0,MIN(Inputs!$C$36,DD149,CZ150+DA150+DB150+Inputs!$C$6-DC149))</f>
        <v>0</v>
      </c>
      <c r="CZ150" s="38">
        <f>Inputs!$C$27*(1+Inputs!$C$28)^($A150/12)*IF(Inputs!$B$73=1,$G150,1)*(1-Inputs!$C$73*$H150*(1-Inputs!$E$54*Inputs!$B$73))*(1+$I150)*IF(Inputs!$C$29=0,1,(MAX(DC149,0)/Inputs!$C$6)^Inputs!$C$29)</f>
        <v>0</v>
      </c>
      <c r="DA150" s="38">
        <f>Inputs!$C$32*DC149/Inputs!$C$6</f>
        <v>0</v>
      </c>
      <c r="DB150" s="38">
        <f>Inputs!$C$33</f>
        <v>2000</v>
      </c>
      <c r="DC150" s="38">
        <f t="shared" si="139"/>
        <v>0</v>
      </c>
      <c r="DD150" s="38">
        <f t="shared" si="140"/>
        <v>0</v>
      </c>
      <c r="DE150" s="38">
        <f>Inputs!$C$19*(1-Inputs!$C$73*$H150)+Inputs!$C$21+Inputs!$B$73*$J150</f>
        <v>486000</v>
      </c>
      <c r="DF150" s="38">
        <f t="shared" si="141"/>
        <v>-486000</v>
      </c>
      <c r="DG150" s="38">
        <f t="shared" si="142"/>
        <v>1</v>
      </c>
      <c r="DH150" s="38">
        <f>MAX(0,MIN(Inputs!$D$36,DM149,DI150+DJ150+DK150+Inputs!$D$6-DL149))</f>
        <v>0</v>
      </c>
      <c r="DI150" s="38">
        <f>Inputs!$D$27*(1+Inputs!$D$28)^($A150/12)*IF(Inputs!$B$73=1,$G150,1)*(1-Inputs!$C$73*$H150*(1-Inputs!$E$54*Inputs!$B$73))*(1+$I150)*IF(Inputs!$D$29=0,1,(MAX(DL149,0)/Inputs!$D$6)^Inputs!$D$29)</f>
        <v>2441.1720618169074</v>
      </c>
      <c r="DJ150" s="38">
        <f>Inputs!$D$32*DL149/Inputs!$D$6</f>
        <v>1272.6936358932251</v>
      </c>
      <c r="DK150" s="38">
        <f>Inputs!$D$33</f>
        <v>1500</v>
      </c>
      <c r="DL150" s="38">
        <f t="shared" si="143"/>
        <v>261445.75325134658</v>
      </c>
      <c r="DM150" s="38">
        <f t="shared" si="144"/>
        <v>0</v>
      </c>
      <c r="DN150" s="38">
        <f>Inputs!$D$19*(1-Inputs!$C$73*$H150)+Inputs!$D$21+Inputs!$B$73*$J150</f>
        <v>398150</v>
      </c>
      <c r="DO150" s="38">
        <f t="shared" si="145"/>
        <v>-136704.24674865342</v>
      </c>
      <c r="DP150" s="38">
        <f t="shared" si="146"/>
        <v>1</v>
      </c>
    </row>
    <row r="151" spans="1:120" x14ac:dyDescent="0.35">
      <c r="A151" s="29">
        <v>146</v>
      </c>
      <c r="B151" s="34">
        <f>EDATE(Inputs!$B$67,$A151)</f>
        <v>50710</v>
      </c>
      <c r="C151" s="35">
        <f>IF(Inputs!$E$47&lt;=0,Inputs!$E$46,Inputs!$E$44+(Inputs!$E$46-Inputs!$E$44)*MIN($A151/Inputs!$E$47,1))</f>
        <v>0.7</v>
      </c>
      <c r="D151" s="35">
        <f>MIN(Inputs!$E$57,Inputs!$E$55*(1+Inputs!$E$56)^($A151/12))*Inputs!$E$58*(1+Inputs!$E$59)^($A151/12)/Inputs!$E$45</f>
        <v>1.5</v>
      </c>
      <c r="E151" s="35">
        <f>MAX(Inputs!$E$44,MIN(C151,D151))</f>
        <v>0.7</v>
      </c>
      <c r="F151" s="35">
        <f>IF(Inputs!$E$50&lt;=0,Inputs!$E$49,Inputs!$E$48+(Inputs!$E$49-Inputs!$E$48)*MIN($A151/Inputs!$E$50,1))</f>
        <v>0.12</v>
      </c>
      <c r="G151" s="36">
        <f>(Inputs!$E$41*(1-E151*Inputs!$E$51)+Inputs!$E$42*(1-F151*Inputs!$E$51))/(Inputs!$E$41*(1-Inputs!$E$44*Inputs!$E$51)+Inputs!$E$42*(1-Inputs!$E$48*Inputs!$E$51))</f>
        <v>0.8423127463863338</v>
      </c>
      <c r="H151" s="35">
        <f>IF(Inputs!$E$53&lt;=0,Inputs!$E$52,Inputs!$E$52*MIN($A151/Inputs!$E$53,1))</f>
        <v>0.1</v>
      </c>
      <c r="I151" s="35">
        <f>IF(Inputs!$E$64&lt;=0,Inputs!$E$63,Inputs!$E$62+(Inputs!$E$63-Inputs!$E$62)*MIN($A151/Inputs!$E$64,1))</f>
        <v>0.03</v>
      </c>
      <c r="J151" s="37">
        <f>(E151-Inputs!$E$44)*Inputs!$E$45/Inputs!$E$60*Inputs!$E$61</f>
        <v>5999.9999999999991</v>
      </c>
      <c r="K151" s="29">
        <f t="shared" si="98"/>
        <v>0</v>
      </c>
      <c r="L151" s="29"/>
      <c r="M151" s="38">
        <f>MAX(0,MIN(Inputs!$B$36,R150,N151+O151+P151+Inputs!$B$6-Q150))</f>
        <v>0</v>
      </c>
      <c r="N151" s="38">
        <f>Inputs!$B$27*(1+Inputs!$B$28)^($A151/12)*IF(Inputs!$B$70=1,$G151,1)*(1-Inputs!$C$70*$H151*(1-Inputs!$E$54*Inputs!$B$70))*(1+$I151)*IF(Inputs!$B$29=0,1,(MAX(Q150,0)/Inputs!$B$6)^Inputs!$B$29)</f>
        <v>27972.521894236448</v>
      </c>
      <c r="O151" s="38">
        <f>Inputs!$B$32*Q150/Inputs!$B$6</f>
        <v>0</v>
      </c>
      <c r="P151" s="38">
        <f>Inputs!$B$33</f>
        <v>2500</v>
      </c>
      <c r="Q151" s="38">
        <f t="shared" si="99"/>
        <v>0</v>
      </c>
      <c r="R151" s="38">
        <f t="shared" si="100"/>
        <v>0</v>
      </c>
      <c r="S151" s="38">
        <f>Inputs!$B$19*(1-Inputs!$C$70*$H151)+Inputs!$B$21+Inputs!$B$70*$J151</f>
        <v>595000</v>
      </c>
      <c r="T151" s="38">
        <f t="shared" si="101"/>
        <v>-595000</v>
      </c>
      <c r="U151" s="38">
        <f t="shared" si="102"/>
        <v>1</v>
      </c>
      <c r="V151" s="38">
        <f>MAX(0,MIN(Inputs!$C$36,AA150,W151+X151+Y151+Inputs!$C$6-Z150))</f>
        <v>0</v>
      </c>
      <c r="W151" s="38">
        <f>Inputs!$C$27*(1+Inputs!$C$28)^($A151/12)*IF(Inputs!$B$70=1,$G151,1)*(1-Inputs!$C$70*$H151*(1-Inputs!$E$54*Inputs!$B$70))*(1+$I151)*IF(Inputs!$C$29=0,1,(MAX(Z150,0)/Inputs!$C$6)^Inputs!$C$29)</f>
        <v>0</v>
      </c>
      <c r="X151" s="38">
        <f>Inputs!$C$32*Z150/Inputs!$C$6</f>
        <v>0</v>
      </c>
      <c r="Y151" s="38">
        <f>Inputs!$C$33</f>
        <v>2000</v>
      </c>
      <c r="Z151" s="38">
        <f t="shared" si="103"/>
        <v>0</v>
      </c>
      <c r="AA151" s="38">
        <f t="shared" si="104"/>
        <v>0</v>
      </c>
      <c r="AB151" s="38">
        <f>Inputs!$C$19*(1-Inputs!$C$70*$H151)+Inputs!$C$21+Inputs!$B$70*$J151</f>
        <v>495000</v>
      </c>
      <c r="AC151" s="38">
        <f t="shared" si="105"/>
        <v>-495000</v>
      </c>
      <c r="AD151" s="38">
        <f t="shared" si="106"/>
        <v>1</v>
      </c>
      <c r="AE151" s="38">
        <f>MAX(0,MIN(Inputs!$D$36,AJ150,AF151+AG151+AH151+Inputs!$D$6-AI150))</f>
        <v>0</v>
      </c>
      <c r="AF151" s="38">
        <f>Inputs!$D$27*(1+Inputs!$D$28)^($A151/12)*IF(Inputs!$B$70=1,$G151,1)*(1-Inputs!$C$70*$H151*(1-Inputs!$E$54*Inputs!$B$70))*(1+$I151)*IF(Inputs!$D$29=0,1,(MAX(AI150,0)/Inputs!$D$6)^Inputs!$D$29)</f>
        <v>2419.2575253729115</v>
      </c>
      <c r="AG151" s="38">
        <f>Inputs!$D$32*AI150/Inputs!$D$6</f>
        <v>807.23127609508742</v>
      </c>
      <c r="AH151" s="38">
        <f>Inputs!$D$33</f>
        <v>1500</v>
      </c>
      <c r="AI151" s="38">
        <f t="shared" si="107"/>
        <v>164407.68333274079</v>
      </c>
      <c r="AJ151" s="38">
        <f t="shared" si="108"/>
        <v>0</v>
      </c>
      <c r="AK151" s="38">
        <f>Inputs!$D$19*(1-Inputs!$C$70*$H151)+Inputs!$D$21+Inputs!$B$70*$J151</f>
        <v>404800</v>
      </c>
      <c r="AL151" s="38">
        <f t="shared" si="109"/>
        <v>-240392.31666725921</v>
      </c>
      <c r="AM151" s="38">
        <f t="shared" si="110"/>
        <v>1</v>
      </c>
      <c r="AN151" s="38">
        <f>MAX(0,MIN(Inputs!$B$36,AS150,AO151+AP151+AQ151+Inputs!$B$6-AR150))</f>
        <v>0</v>
      </c>
      <c r="AO151" s="38">
        <f>Inputs!$B$27*(1+Inputs!$B$28)^($A151/12)*IF(Inputs!$B$71=1,$G151,1)*(1-Inputs!$C$71*$H151*(1-Inputs!$E$54*Inputs!$B$71))*(1+$I151)*IF(Inputs!$B$29=0,1,(MAX(AR150,0)/Inputs!$B$6)^Inputs!$B$29)</f>
        <v>23561.611740086155</v>
      </c>
      <c r="AP151" s="38">
        <f>Inputs!$B$32*AR150/Inputs!$B$6</f>
        <v>0</v>
      </c>
      <c r="AQ151" s="38">
        <f>Inputs!$B$33</f>
        <v>2500</v>
      </c>
      <c r="AR151" s="38">
        <f t="shared" si="111"/>
        <v>0</v>
      </c>
      <c r="AS151" s="38">
        <f t="shared" si="112"/>
        <v>0</v>
      </c>
      <c r="AT151" s="38">
        <f>Inputs!$B$19*(1-Inputs!$C$71*$H151)+Inputs!$B$21+Inputs!$B$71*$J151</f>
        <v>601000</v>
      </c>
      <c r="AU151" s="38">
        <f t="shared" si="113"/>
        <v>-601000</v>
      </c>
      <c r="AV151" s="38">
        <f t="shared" si="114"/>
        <v>1</v>
      </c>
      <c r="AW151" s="38">
        <f>MAX(0,MIN(Inputs!$C$36,BB150,AX151+AY151+AZ151+Inputs!$C$6-BA150))</f>
        <v>0</v>
      </c>
      <c r="AX151" s="38">
        <f>Inputs!$C$27*(1+Inputs!$C$28)^($A151/12)*IF(Inputs!$B$71=1,$G151,1)*(1-Inputs!$C$71*$H151*(1-Inputs!$E$54*Inputs!$B$71))*(1+$I151)*IF(Inputs!$C$29=0,1,(MAX(BA150,0)/Inputs!$C$6)^Inputs!$C$29)</f>
        <v>0</v>
      </c>
      <c r="AY151" s="38">
        <f>Inputs!$C$32*BA150/Inputs!$C$6</f>
        <v>0</v>
      </c>
      <c r="AZ151" s="38">
        <f>Inputs!$C$33</f>
        <v>2000</v>
      </c>
      <c r="BA151" s="38">
        <f t="shared" si="115"/>
        <v>0</v>
      </c>
      <c r="BB151" s="38">
        <f t="shared" si="116"/>
        <v>0</v>
      </c>
      <c r="BC151" s="38">
        <f>Inputs!$C$19*(1-Inputs!$C$71*$H151)+Inputs!$C$21+Inputs!$B$71*$J151</f>
        <v>501000</v>
      </c>
      <c r="BD151" s="38">
        <f t="shared" si="117"/>
        <v>-501000</v>
      </c>
      <c r="BE151" s="38">
        <f t="shared" si="118"/>
        <v>1</v>
      </c>
      <c r="BF151" s="38">
        <f>MAX(0,MIN(Inputs!$D$36,BK150,BG151+BH151+BI151+Inputs!$D$6-BJ150))</f>
        <v>0</v>
      </c>
      <c r="BG151" s="38">
        <f>Inputs!$D$27*(1+Inputs!$D$28)^($A151/12)*IF(Inputs!$B$71=1,$G151,1)*(1-Inputs!$C$71*$H151*(1-Inputs!$E$54*Inputs!$B$71))*(1+$I151)*IF(Inputs!$D$29=0,1,(MAX(BJ150,0)/Inputs!$D$6)^Inputs!$D$29)</f>
        <v>2437.324835750765</v>
      </c>
      <c r="BH151" s="38">
        <f>Inputs!$D$32*BJ150/Inputs!$D$6</f>
        <v>1154.8188419787198</v>
      </c>
      <c r="BI151" s="38">
        <f>Inputs!$D$33</f>
        <v>1500</v>
      </c>
      <c r="BJ151" s="38">
        <f t="shared" si="119"/>
        <v>236869.89940352604</v>
      </c>
      <c r="BK151" s="38">
        <f t="shared" si="120"/>
        <v>0</v>
      </c>
      <c r="BL151" s="38">
        <f>Inputs!$D$19*(1-Inputs!$C$71*$H151)+Inputs!$D$21+Inputs!$B$71*$J151</f>
        <v>410800</v>
      </c>
      <c r="BM151" s="38">
        <f t="shared" si="121"/>
        <v>-173930.10059647396</v>
      </c>
      <c r="BN151" s="38">
        <f t="shared" si="122"/>
        <v>1</v>
      </c>
      <c r="BO151" s="38">
        <f>MAX(0,MIN(Inputs!$B$36,BT150,BP151+BQ151+BR151+Inputs!$B$6-BS150))</f>
        <v>0</v>
      </c>
      <c r="BP151" s="38">
        <f>Inputs!$B$27*(1+Inputs!$B$28)^($A151/12)*IF(Inputs!$B$72=1,$G151,1)*(1-Inputs!$C$72*$H151*(1-Inputs!$E$54*Inputs!$B$72))*(1+$I151)*IF(Inputs!$B$29=0,1,(MAX(BS150,0)/Inputs!$B$6)^Inputs!$B$29)</f>
        <v>25175.269704812803</v>
      </c>
      <c r="BQ151" s="38">
        <f>Inputs!$B$32*BS150/Inputs!$B$6</f>
        <v>0</v>
      </c>
      <c r="BR151" s="38">
        <f>Inputs!$B$33</f>
        <v>2500</v>
      </c>
      <c r="BS151" s="38">
        <f t="shared" si="123"/>
        <v>0</v>
      </c>
      <c r="BT151" s="38">
        <f t="shared" si="124"/>
        <v>0</v>
      </c>
      <c r="BU151" s="38">
        <f>Inputs!$B$19*(1-Inputs!$C$72*$H151)+Inputs!$B$21+Inputs!$B$72*$J151</f>
        <v>577500</v>
      </c>
      <c r="BV151" s="38">
        <f t="shared" si="125"/>
        <v>-577500</v>
      </c>
      <c r="BW151" s="38">
        <f t="shared" si="126"/>
        <v>1</v>
      </c>
      <c r="BX151" s="38">
        <f>MAX(0,MIN(Inputs!$C$36,CC150,BY151+BZ151+CA151+Inputs!$C$6-CB150))</f>
        <v>0</v>
      </c>
      <c r="BY151" s="38">
        <f>Inputs!$C$27*(1+Inputs!$C$28)^($A151/12)*IF(Inputs!$B$72=1,$G151,1)*(1-Inputs!$C$72*$H151*(1-Inputs!$E$54*Inputs!$B$72))*(1+$I151)*IF(Inputs!$C$29=0,1,(MAX(CB150,0)/Inputs!$C$6)^Inputs!$C$29)</f>
        <v>0</v>
      </c>
      <c r="BZ151" s="38">
        <f>Inputs!$C$32*CB150/Inputs!$C$6</f>
        <v>0</v>
      </c>
      <c r="CA151" s="38">
        <f>Inputs!$C$33</f>
        <v>2000</v>
      </c>
      <c r="CB151" s="38">
        <f t="shared" si="127"/>
        <v>0</v>
      </c>
      <c r="CC151" s="38">
        <f t="shared" si="128"/>
        <v>0</v>
      </c>
      <c r="CD151" s="38">
        <f>Inputs!$C$19*(1-Inputs!$C$72*$H151)+Inputs!$C$21+Inputs!$B$72*$J151</f>
        <v>480000</v>
      </c>
      <c r="CE151" s="38">
        <f t="shared" si="129"/>
        <v>-480000</v>
      </c>
      <c r="CF151" s="38">
        <f t="shared" si="130"/>
        <v>1</v>
      </c>
      <c r="CG151" s="38">
        <f>MAX(0,MIN(Inputs!$D$36,CL150,CH151+CI151+CJ151+Inputs!$D$6-CK150))</f>
        <v>0</v>
      </c>
      <c r="CH151" s="38">
        <f>Inputs!$D$27*(1+Inputs!$D$28)^($A151/12)*IF(Inputs!$B$72=1,$G151,1)*(1-Inputs!$C$72*$H151*(1-Inputs!$E$54*Inputs!$B$72))*(1+$I151)*IF(Inputs!$D$29=0,1,(MAX(CK150,0)/Inputs!$D$6)^Inputs!$D$29)</f>
        <v>2425.015842744057</v>
      </c>
      <c r="CI151" s="38">
        <f>Inputs!$D$32*CK150/Inputs!$D$6</f>
        <v>1001.331596936682</v>
      </c>
      <c r="CJ151" s="38">
        <f>Inputs!$D$33</f>
        <v>1500</v>
      </c>
      <c r="CK151" s="38">
        <f t="shared" si="131"/>
        <v>204876.46334705263</v>
      </c>
      <c r="CL151" s="38">
        <f t="shared" si="132"/>
        <v>0</v>
      </c>
      <c r="CM151" s="38">
        <f>Inputs!$D$19*(1-Inputs!$C$72*$H151)+Inputs!$D$21+Inputs!$B$72*$J151</f>
        <v>392150</v>
      </c>
      <c r="CN151" s="38">
        <f t="shared" si="133"/>
        <v>-187273.53665294737</v>
      </c>
      <c r="CO151" s="38">
        <f t="shared" si="134"/>
        <v>1</v>
      </c>
      <c r="CP151" s="38">
        <f>MAX(0,MIN(Inputs!$B$36,CU150,CQ151+CR151+CS151+Inputs!$B$6-CT150))</f>
        <v>0</v>
      </c>
      <c r="CQ151" s="38">
        <f>Inputs!$B$27*(1+Inputs!$B$28)^($A151/12)*IF(Inputs!$B$73=1,$G151,1)*(1-Inputs!$C$73*$H151*(1-Inputs!$E$54*Inputs!$B$73))*(1+$I151)*IF(Inputs!$B$29=0,1,(MAX(CT150,0)/Inputs!$B$6)^Inputs!$B$29)</f>
        <v>22383.531153081847</v>
      </c>
      <c r="CR151" s="38">
        <f>Inputs!$B$32*CT150/Inputs!$B$6</f>
        <v>0</v>
      </c>
      <c r="CS151" s="38">
        <f>Inputs!$B$33</f>
        <v>2500</v>
      </c>
      <c r="CT151" s="38">
        <f t="shared" si="135"/>
        <v>0</v>
      </c>
      <c r="CU151" s="38">
        <f t="shared" si="136"/>
        <v>0</v>
      </c>
      <c r="CV151" s="38">
        <f>Inputs!$B$19*(1-Inputs!$C$73*$H151)+Inputs!$B$21+Inputs!$B$73*$J151</f>
        <v>583500</v>
      </c>
      <c r="CW151" s="38">
        <f t="shared" si="137"/>
        <v>-583500</v>
      </c>
      <c r="CX151" s="38">
        <f t="shared" si="138"/>
        <v>1</v>
      </c>
      <c r="CY151" s="38">
        <f>MAX(0,MIN(Inputs!$C$36,DD150,CZ151+DA151+DB151+Inputs!$C$6-DC150))</f>
        <v>0</v>
      </c>
      <c r="CZ151" s="38">
        <f>Inputs!$C$27*(1+Inputs!$C$28)^($A151/12)*IF(Inputs!$B$73=1,$G151,1)*(1-Inputs!$C$73*$H151*(1-Inputs!$E$54*Inputs!$B$73))*(1+$I151)*IF(Inputs!$C$29=0,1,(MAX(DC150,0)/Inputs!$C$6)^Inputs!$C$29)</f>
        <v>0</v>
      </c>
      <c r="DA151" s="38">
        <f>Inputs!$C$32*DC150/Inputs!$C$6</f>
        <v>0</v>
      </c>
      <c r="DB151" s="38">
        <f>Inputs!$C$33</f>
        <v>2000</v>
      </c>
      <c r="DC151" s="38">
        <f t="shared" si="139"/>
        <v>0</v>
      </c>
      <c r="DD151" s="38">
        <f t="shared" si="140"/>
        <v>0</v>
      </c>
      <c r="DE151" s="38">
        <f>Inputs!$C$19*(1-Inputs!$C$73*$H151)+Inputs!$C$21+Inputs!$B$73*$J151</f>
        <v>486000</v>
      </c>
      <c r="DF151" s="38">
        <f t="shared" si="141"/>
        <v>-486000</v>
      </c>
      <c r="DG151" s="38">
        <f t="shared" si="142"/>
        <v>1</v>
      </c>
      <c r="DH151" s="38">
        <f>MAX(0,MIN(Inputs!$D$36,DM150,DI151+DJ151+DK151+Inputs!$D$6-DL150))</f>
        <v>0</v>
      </c>
      <c r="DI151" s="38">
        <f>Inputs!$D$27*(1+Inputs!$D$28)^($A151/12)*IF(Inputs!$B$73=1,$G151,1)*(1-Inputs!$C$73*$H151*(1-Inputs!$E$54*Inputs!$B$73))*(1+$I151)*IF(Inputs!$D$29=0,1,(MAX(DL150,0)/Inputs!$D$6)^Inputs!$D$29)</f>
        <v>2406.8786446258887</v>
      </c>
      <c r="DJ151" s="38">
        <f>Inputs!$D$32*DL150/Inputs!$D$6</f>
        <v>1247.8092768814267</v>
      </c>
      <c r="DK151" s="38">
        <f>Inputs!$D$33</f>
        <v>1500</v>
      </c>
      <c r="DL151" s="38">
        <f t="shared" si="143"/>
        <v>256291.06532983927</v>
      </c>
      <c r="DM151" s="38">
        <f t="shared" si="144"/>
        <v>0</v>
      </c>
      <c r="DN151" s="38">
        <f>Inputs!$D$19*(1-Inputs!$C$73*$H151)+Inputs!$D$21+Inputs!$B$73*$J151</f>
        <v>398150</v>
      </c>
      <c r="DO151" s="38">
        <f t="shared" si="145"/>
        <v>-141858.93467016073</v>
      </c>
      <c r="DP151" s="38">
        <f t="shared" si="146"/>
        <v>1</v>
      </c>
    </row>
    <row r="152" spans="1:120" x14ac:dyDescent="0.35">
      <c r="A152" s="29">
        <v>147</v>
      </c>
      <c r="B152" s="34">
        <f>EDATE(Inputs!$B$67,$A152)</f>
        <v>50740</v>
      </c>
      <c r="C152" s="35">
        <f>IF(Inputs!$E$47&lt;=0,Inputs!$E$46,Inputs!$E$44+(Inputs!$E$46-Inputs!$E$44)*MIN($A152/Inputs!$E$47,1))</f>
        <v>0.7</v>
      </c>
      <c r="D152" s="35">
        <f>MIN(Inputs!$E$57,Inputs!$E$55*(1+Inputs!$E$56)^($A152/12))*Inputs!$E$58*(1+Inputs!$E$59)^($A152/12)/Inputs!$E$45</f>
        <v>1.5</v>
      </c>
      <c r="E152" s="35">
        <f>MAX(Inputs!$E$44,MIN(C152,D152))</f>
        <v>0.7</v>
      </c>
      <c r="F152" s="35">
        <f>IF(Inputs!$E$50&lt;=0,Inputs!$E$49,Inputs!$E$48+(Inputs!$E$49-Inputs!$E$48)*MIN($A152/Inputs!$E$50,1))</f>
        <v>0.12</v>
      </c>
      <c r="G152" s="36">
        <f>(Inputs!$E$41*(1-E152*Inputs!$E$51)+Inputs!$E$42*(1-F152*Inputs!$E$51))/(Inputs!$E$41*(1-Inputs!$E$44*Inputs!$E$51)+Inputs!$E$42*(1-Inputs!$E$48*Inputs!$E$51))</f>
        <v>0.8423127463863338</v>
      </c>
      <c r="H152" s="35">
        <f>IF(Inputs!$E$53&lt;=0,Inputs!$E$52,Inputs!$E$52*MIN($A152/Inputs!$E$53,1))</f>
        <v>0.1</v>
      </c>
      <c r="I152" s="35">
        <f>IF(Inputs!$E$64&lt;=0,Inputs!$E$63,Inputs!$E$62+(Inputs!$E$63-Inputs!$E$62)*MIN($A152/Inputs!$E$64,1))</f>
        <v>0.03</v>
      </c>
      <c r="J152" s="37">
        <f>(E152-Inputs!$E$44)*Inputs!$E$45/Inputs!$E$60*Inputs!$E$61</f>
        <v>5999.9999999999991</v>
      </c>
      <c r="K152" s="29">
        <f t="shared" si="98"/>
        <v>0</v>
      </c>
      <c r="L152" s="29"/>
      <c r="M152" s="38">
        <f>MAX(0,MIN(Inputs!$B$36,R151,N152+O152+P152+Inputs!$B$6-Q151))</f>
        <v>0</v>
      </c>
      <c r="N152" s="38">
        <f>Inputs!$B$27*(1+Inputs!$B$28)^($A152/12)*IF(Inputs!$B$70=1,$G152,1)*(1-Inputs!$C$70*$H152*(1-Inputs!$E$54*Inputs!$B$70))*(1+$I152)*IF(Inputs!$B$29=0,1,(MAX(Q151,0)/Inputs!$B$6)^Inputs!$B$29)</f>
        <v>28086.485410974383</v>
      </c>
      <c r="O152" s="38">
        <f>Inputs!$B$32*Q151/Inputs!$B$6</f>
        <v>0</v>
      </c>
      <c r="P152" s="38">
        <f>Inputs!$B$33</f>
        <v>2500</v>
      </c>
      <c r="Q152" s="38">
        <f t="shared" si="99"/>
        <v>0</v>
      </c>
      <c r="R152" s="38">
        <f t="shared" si="100"/>
        <v>0</v>
      </c>
      <c r="S152" s="38">
        <f>Inputs!$B$19*(1-Inputs!$C$70*$H152)+Inputs!$B$21+Inputs!$B$70*$J152</f>
        <v>595000</v>
      </c>
      <c r="T152" s="38">
        <f t="shared" si="101"/>
        <v>-595000</v>
      </c>
      <c r="U152" s="38">
        <f t="shared" si="102"/>
        <v>1</v>
      </c>
      <c r="V152" s="38">
        <f>MAX(0,MIN(Inputs!$C$36,AA151,W152+X152+Y152+Inputs!$C$6-Z151))</f>
        <v>0</v>
      </c>
      <c r="W152" s="38">
        <f>Inputs!$C$27*(1+Inputs!$C$28)^($A152/12)*IF(Inputs!$B$70=1,$G152,1)*(1-Inputs!$C$70*$H152*(1-Inputs!$E$54*Inputs!$B$70))*(1+$I152)*IF(Inputs!$C$29=0,1,(MAX(Z151,0)/Inputs!$C$6)^Inputs!$C$29)</f>
        <v>0</v>
      </c>
      <c r="X152" s="38">
        <f>Inputs!$C$32*Z151/Inputs!$C$6</f>
        <v>0</v>
      </c>
      <c r="Y152" s="38">
        <f>Inputs!$C$33</f>
        <v>2000</v>
      </c>
      <c r="Z152" s="38">
        <f t="shared" si="103"/>
        <v>0</v>
      </c>
      <c r="AA152" s="38">
        <f t="shared" si="104"/>
        <v>0</v>
      </c>
      <c r="AB152" s="38">
        <f>Inputs!$C$19*(1-Inputs!$C$70*$H152)+Inputs!$C$21+Inputs!$B$70*$J152</f>
        <v>495000</v>
      </c>
      <c r="AC152" s="38">
        <f t="shared" si="105"/>
        <v>-495000</v>
      </c>
      <c r="AD152" s="38">
        <f t="shared" si="106"/>
        <v>1</v>
      </c>
      <c r="AE152" s="38">
        <f>MAX(0,MIN(Inputs!$D$36,AJ151,AF152+AG152+AH152+Inputs!$D$6-AI151))</f>
        <v>0</v>
      </c>
      <c r="AF152" s="38">
        <f>Inputs!$D$27*(1+Inputs!$D$28)^($A152/12)*IF(Inputs!$B$70=1,$G152,1)*(1-Inputs!$C$70*$H152*(1-Inputs!$E$54*Inputs!$B$70))*(1+$I152)*IF(Inputs!$D$29=0,1,(MAX(AI151,0)/Inputs!$D$6)^Inputs!$D$29)</f>
        <v>2375.0409841389678</v>
      </c>
      <c r="AG152" s="38">
        <f>Inputs!$D$32*AI151/Inputs!$D$6</f>
        <v>784.67303408808107</v>
      </c>
      <c r="AH152" s="38">
        <f>Inputs!$D$33</f>
        <v>1500</v>
      </c>
      <c r="AI152" s="38">
        <f t="shared" si="107"/>
        <v>159747.96931451376</v>
      </c>
      <c r="AJ152" s="38">
        <f t="shared" si="108"/>
        <v>0</v>
      </c>
      <c r="AK152" s="38">
        <f>Inputs!$D$19*(1-Inputs!$C$70*$H152)+Inputs!$D$21+Inputs!$B$70*$J152</f>
        <v>404800</v>
      </c>
      <c r="AL152" s="38">
        <f t="shared" si="109"/>
        <v>-245052.03068548624</v>
      </c>
      <c r="AM152" s="38">
        <f t="shared" si="110"/>
        <v>1</v>
      </c>
      <c r="AN152" s="38">
        <f>MAX(0,MIN(Inputs!$B$36,AS151,AO152+AP152+AQ152+Inputs!$B$6-AR151))</f>
        <v>0</v>
      </c>
      <c r="AO152" s="38">
        <f>Inputs!$B$27*(1+Inputs!$B$28)^($A152/12)*IF(Inputs!$B$71=1,$G152,1)*(1-Inputs!$C$71*$H152*(1-Inputs!$E$54*Inputs!$B$71))*(1+$I152)*IF(Inputs!$B$29=0,1,(MAX(AR151,0)/Inputs!$B$6)^Inputs!$B$29)</f>
        <v>23657.604662857528</v>
      </c>
      <c r="AP152" s="38">
        <f>Inputs!$B$32*AR151/Inputs!$B$6</f>
        <v>0</v>
      </c>
      <c r="AQ152" s="38">
        <f>Inputs!$B$33</f>
        <v>2500</v>
      </c>
      <c r="AR152" s="38">
        <f t="shared" si="111"/>
        <v>0</v>
      </c>
      <c r="AS152" s="38">
        <f t="shared" si="112"/>
        <v>0</v>
      </c>
      <c r="AT152" s="38">
        <f>Inputs!$B$19*(1-Inputs!$C$71*$H152)+Inputs!$B$21+Inputs!$B$71*$J152</f>
        <v>601000</v>
      </c>
      <c r="AU152" s="38">
        <f t="shared" si="113"/>
        <v>-601000</v>
      </c>
      <c r="AV152" s="38">
        <f t="shared" si="114"/>
        <v>1</v>
      </c>
      <c r="AW152" s="38">
        <f>MAX(0,MIN(Inputs!$C$36,BB151,AX152+AY152+AZ152+Inputs!$C$6-BA151))</f>
        <v>0</v>
      </c>
      <c r="AX152" s="38">
        <f>Inputs!$C$27*(1+Inputs!$C$28)^($A152/12)*IF(Inputs!$B$71=1,$G152,1)*(1-Inputs!$C$71*$H152*(1-Inputs!$E$54*Inputs!$B$71))*(1+$I152)*IF(Inputs!$C$29=0,1,(MAX(BA151,0)/Inputs!$C$6)^Inputs!$C$29)</f>
        <v>0</v>
      </c>
      <c r="AY152" s="38">
        <f>Inputs!$C$32*BA151/Inputs!$C$6</f>
        <v>0</v>
      </c>
      <c r="AZ152" s="38">
        <f>Inputs!$C$33</f>
        <v>2000</v>
      </c>
      <c r="BA152" s="38">
        <f t="shared" si="115"/>
        <v>0</v>
      </c>
      <c r="BB152" s="38">
        <f t="shared" si="116"/>
        <v>0</v>
      </c>
      <c r="BC152" s="38">
        <f>Inputs!$C$19*(1-Inputs!$C$71*$H152)+Inputs!$C$21+Inputs!$B$71*$J152</f>
        <v>501000</v>
      </c>
      <c r="BD152" s="38">
        <f t="shared" si="117"/>
        <v>-501000</v>
      </c>
      <c r="BE152" s="38">
        <f t="shared" si="118"/>
        <v>1</v>
      </c>
      <c r="BF152" s="38">
        <f>MAX(0,MIN(Inputs!$D$36,BK151,BG152+BH152+BI152+Inputs!$D$6-BJ151))</f>
        <v>0</v>
      </c>
      <c r="BG152" s="38">
        <f>Inputs!$D$27*(1+Inputs!$D$28)^($A152/12)*IF(Inputs!$B$71=1,$G152,1)*(1-Inputs!$C$71*$H152*(1-Inputs!$E$54*Inputs!$B$71))*(1+$I152)*IF(Inputs!$D$29=0,1,(MAX(BJ151,0)/Inputs!$D$6)^Inputs!$D$29)</f>
        <v>2401.2554522416976</v>
      </c>
      <c r="BH152" s="38">
        <f>Inputs!$D$32*BJ151/Inputs!$D$6</f>
        <v>1130.5154289713744</v>
      </c>
      <c r="BI152" s="38">
        <f>Inputs!$D$33</f>
        <v>1500</v>
      </c>
      <c r="BJ152" s="38">
        <f t="shared" si="119"/>
        <v>231838.12852231297</v>
      </c>
      <c r="BK152" s="38">
        <f t="shared" si="120"/>
        <v>0</v>
      </c>
      <c r="BL152" s="38">
        <f>Inputs!$D$19*(1-Inputs!$C$71*$H152)+Inputs!$D$21+Inputs!$B$71*$J152</f>
        <v>410800</v>
      </c>
      <c r="BM152" s="38">
        <f t="shared" si="121"/>
        <v>-178961.87147768703</v>
      </c>
      <c r="BN152" s="38">
        <f t="shared" si="122"/>
        <v>1</v>
      </c>
      <c r="BO152" s="38">
        <f>MAX(0,MIN(Inputs!$B$36,BT151,BP152+BQ152+BR152+Inputs!$B$6-BS151))</f>
        <v>0</v>
      </c>
      <c r="BP152" s="38">
        <f>Inputs!$B$27*(1+Inputs!$B$28)^($A152/12)*IF(Inputs!$B$72=1,$G152,1)*(1-Inputs!$C$72*$H152*(1-Inputs!$E$54*Inputs!$B$72))*(1+$I152)*IF(Inputs!$B$29=0,1,(MAX(BS151,0)/Inputs!$B$6)^Inputs!$B$29)</f>
        <v>25277.836869876945</v>
      </c>
      <c r="BQ152" s="38">
        <f>Inputs!$B$32*BS151/Inputs!$B$6</f>
        <v>0</v>
      </c>
      <c r="BR152" s="38">
        <f>Inputs!$B$33</f>
        <v>2500</v>
      </c>
      <c r="BS152" s="38">
        <f t="shared" si="123"/>
        <v>0</v>
      </c>
      <c r="BT152" s="38">
        <f t="shared" si="124"/>
        <v>0</v>
      </c>
      <c r="BU152" s="38">
        <f>Inputs!$B$19*(1-Inputs!$C$72*$H152)+Inputs!$B$21+Inputs!$B$72*$J152</f>
        <v>577500</v>
      </c>
      <c r="BV152" s="38">
        <f t="shared" si="125"/>
        <v>-577500</v>
      </c>
      <c r="BW152" s="38">
        <f t="shared" si="126"/>
        <v>1</v>
      </c>
      <c r="BX152" s="38">
        <f>MAX(0,MIN(Inputs!$C$36,CC151,BY152+BZ152+CA152+Inputs!$C$6-CB151))</f>
        <v>0</v>
      </c>
      <c r="BY152" s="38">
        <f>Inputs!$C$27*(1+Inputs!$C$28)^($A152/12)*IF(Inputs!$B$72=1,$G152,1)*(1-Inputs!$C$72*$H152*(1-Inputs!$E$54*Inputs!$B$72))*(1+$I152)*IF(Inputs!$C$29=0,1,(MAX(CB151,0)/Inputs!$C$6)^Inputs!$C$29)</f>
        <v>0</v>
      </c>
      <c r="BZ152" s="38">
        <f>Inputs!$C$32*CB151/Inputs!$C$6</f>
        <v>0</v>
      </c>
      <c r="CA152" s="38">
        <f>Inputs!$C$33</f>
        <v>2000</v>
      </c>
      <c r="CB152" s="38">
        <f t="shared" si="127"/>
        <v>0</v>
      </c>
      <c r="CC152" s="38">
        <f t="shared" si="128"/>
        <v>0</v>
      </c>
      <c r="CD152" s="38">
        <f>Inputs!$C$19*(1-Inputs!$C$72*$H152)+Inputs!$C$21+Inputs!$B$72*$J152</f>
        <v>480000</v>
      </c>
      <c r="CE152" s="38">
        <f t="shared" si="129"/>
        <v>-480000</v>
      </c>
      <c r="CF152" s="38">
        <f t="shared" si="130"/>
        <v>1</v>
      </c>
      <c r="CG152" s="38">
        <f>MAX(0,MIN(Inputs!$D$36,CL151,CH152+CI152+CJ152+Inputs!$D$6-CK151))</f>
        <v>0</v>
      </c>
      <c r="CH152" s="38">
        <f>Inputs!$D$27*(1+Inputs!$D$28)^($A152/12)*IF(Inputs!$B$72=1,$G152,1)*(1-Inputs!$C$72*$H152*(1-Inputs!$E$54*Inputs!$B$72))*(1+$I152)*IF(Inputs!$D$29=0,1,(MAX(CK151,0)/Inputs!$D$6)^Inputs!$D$29)</f>
        <v>2386.1547031252016</v>
      </c>
      <c r="CI152" s="38">
        <f>Inputs!$D$32*CK151/Inputs!$D$6</f>
        <v>977.81948415638749</v>
      </c>
      <c r="CJ152" s="38">
        <f>Inputs!$D$33</f>
        <v>1500</v>
      </c>
      <c r="CK152" s="38">
        <f t="shared" si="131"/>
        <v>200012.48915977104</v>
      </c>
      <c r="CL152" s="38">
        <f t="shared" si="132"/>
        <v>0</v>
      </c>
      <c r="CM152" s="38">
        <f>Inputs!$D$19*(1-Inputs!$C$72*$H152)+Inputs!$D$21+Inputs!$B$72*$J152</f>
        <v>392150</v>
      </c>
      <c r="CN152" s="38">
        <f t="shared" si="133"/>
        <v>-192137.51084022896</v>
      </c>
      <c r="CO152" s="38">
        <f t="shared" si="134"/>
        <v>1</v>
      </c>
      <c r="CP152" s="38">
        <f>MAX(0,MIN(Inputs!$B$36,CU151,CQ152+CR152+CS152+Inputs!$B$6-CT151))</f>
        <v>0</v>
      </c>
      <c r="CQ152" s="38">
        <f>Inputs!$B$27*(1+Inputs!$B$28)^($A152/12)*IF(Inputs!$B$73=1,$G152,1)*(1-Inputs!$C$73*$H152*(1-Inputs!$E$54*Inputs!$B$73))*(1+$I152)*IF(Inputs!$B$29=0,1,(MAX(CT151,0)/Inputs!$B$6)^Inputs!$B$29)</f>
        <v>22474.724429714654</v>
      </c>
      <c r="CR152" s="38">
        <f>Inputs!$B$32*CT151/Inputs!$B$6</f>
        <v>0</v>
      </c>
      <c r="CS152" s="38">
        <f>Inputs!$B$33</f>
        <v>2500</v>
      </c>
      <c r="CT152" s="38">
        <f t="shared" si="135"/>
        <v>0</v>
      </c>
      <c r="CU152" s="38">
        <f t="shared" si="136"/>
        <v>0</v>
      </c>
      <c r="CV152" s="38">
        <f>Inputs!$B$19*(1-Inputs!$C$73*$H152)+Inputs!$B$21+Inputs!$B$73*$J152</f>
        <v>583500</v>
      </c>
      <c r="CW152" s="38">
        <f t="shared" si="137"/>
        <v>-583500</v>
      </c>
      <c r="CX152" s="38">
        <f t="shared" si="138"/>
        <v>1</v>
      </c>
      <c r="CY152" s="38">
        <f>MAX(0,MIN(Inputs!$C$36,DD151,CZ152+DA152+DB152+Inputs!$C$6-DC151))</f>
        <v>0</v>
      </c>
      <c r="CZ152" s="38">
        <f>Inputs!$C$27*(1+Inputs!$C$28)^($A152/12)*IF(Inputs!$B$73=1,$G152,1)*(1-Inputs!$C$73*$H152*(1-Inputs!$E$54*Inputs!$B$73))*(1+$I152)*IF(Inputs!$C$29=0,1,(MAX(DC151,0)/Inputs!$C$6)^Inputs!$C$29)</f>
        <v>0</v>
      </c>
      <c r="DA152" s="38">
        <f>Inputs!$C$32*DC151/Inputs!$C$6</f>
        <v>0</v>
      </c>
      <c r="DB152" s="38">
        <f>Inputs!$C$33</f>
        <v>2000</v>
      </c>
      <c r="DC152" s="38">
        <f t="shared" si="139"/>
        <v>0</v>
      </c>
      <c r="DD152" s="38">
        <f t="shared" si="140"/>
        <v>0</v>
      </c>
      <c r="DE152" s="38">
        <f>Inputs!$C$19*(1-Inputs!$C$73*$H152)+Inputs!$C$21+Inputs!$B$73*$J152</f>
        <v>486000</v>
      </c>
      <c r="DF152" s="38">
        <f t="shared" si="141"/>
        <v>-486000</v>
      </c>
      <c r="DG152" s="38">
        <f t="shared" si="142"/>
        <v>1</v>
      </c>
      <c r="DH152" s="38">
        <f>MAX(0,MIN(Inputs!$D$36,DM151,DI152+DJ152+DK152+Inputs!$D$6-DL151))</f>
        <v>0</v>
      </c>
      <c r="DI152" s="38">
        <f>Inputs!$D$27*(1+Inputs!$D$28)^($A152/12)*IF(Inputs!$B$73=1,$G152,1)*(1-Inputs!$C$73*$H152*(1-Inputs!$E$54*Inputs!$B$73))*(1+$I152)*IF(Inputs!$D$29=0,1,(MAX(DL151,0)/Inputs!$D$6)^Inputs!$D$29)</f>
        <v>2372.8690110473008</v>
      </c>
      <c r="DJ152" s="38">
        <f>Inputs!$D$32*DL151/Inputs!$D$6</f>
        <v>1223.2073572560512</v>
      </c>
      <c r="DK152" s="38">
        <f>Inputs!$D$33</f>
        <v>1500</v>
      </c>
      <c r="DL152" s="38">
        <f t="shared" si="143"/>
        <v>251194.98896153591</v>
      </c>
      <c r="DM152" s="38">
        <f t="shared" si="144"/>
        <v>0</v>
      </c>
      <c r="DN152" s="38">
        <f>Inputs!$D$19*(1-Inputs!$C$73*$H152)+Inputs!$D$21+Inputs!$B$73*$J152</f>
        <v>398150</v>
      </c>
      <c r="DO152" s="38">
        <f t="shared" si="145"/>
        <v>-146955.01103846409</v>
      </c>
      <c r="DP152" s="38">
        <f t="shared" si="146"/>
        <v>1</v>
      </c>
    </row>
    <row r="153" spans="1:120" x14ac:dyDescent="0.35">
      <c r="A153" s="29">
        <v>148</v>
      </c>
      <c r="B153" s="34">
        <f>EDATE(Inputs!$B$67,$A153)</f>
        <v>50771</v>
      </c>
      <c r="C153" s="35">
        <f>IF(Inputs!$E$47&lt;=0,Inputs!$E$46,Inputs!$E$44+(Inputs!$E$46-Inputs!$E$44)*MIN($A153/Inputs!$E$47,1))</f>
        <v>0.7</v>
      </c>
      <c r="D153" s="35">
        <f>MIN(Inputs!$E$57,Inputs!$E$55*(1+Inputs!$E$56)^($A153/12))*Inputs!$E$58*(1+Inputs!$E$59)^($A153/12)/Inputs!$E$45</f>
        <v>1.5</v>
      </c>
      <c r="E153" s="35">
        <f>MAX(Inputs!$E$44,MIN(C153,D153))</f>
        <v>0.7</v>
      </c>
      <c r="F153" s="35">
        <f>IF(Inputs!$E$50&lt;=0,Inputs!$E$49,Inputs!$E$48+(Inputs!$E$49-Inputs!$E$48)*MIN($A153/Inputs!$E$50,1))</f>
        <v>0.12</v>
      </c>
      <c r="G153" s="36">
        <f>(Inputs!$E$41*(1-E153*Inputs!$E$51)+Inputs!$E$42*(1-F153*Inputs!$E$51))/(Inputs!$E$41*(1-Inputs!$E$44*Inputs!$E$51)+Inputs!$E$42*(1-Inputs!$E$48*Inputs!$E$51))</f>
        <v>0.8423127463863338</v>
      </c>
      <c r="H153" s="35">
        <f>IF(Inputs!$E$53&lt;=0,Inputs!$E$52,Inputs!$E$52*MIN($A153/Inputs!$E$53,1))</f>
        <v>0.1</v>
      </c>
      <c r="I153" s="35">
        <f>IF(Inputs!$E$64&lt;=0,Inputs!$E$63,Inputs!$E$62+(Inputs!$E$63-Inputs!$E$62)*MIN($A153/Inputs!$E$64,1))</f>
        <v>0.03</v>
      </c>
      <c r="J153" s="37">
        <f>(E153-Inputs!$E$44)*Inputs!$E$45/Inputs!$E$60*Inputs!$E$61</f>
        <v>5999.9999999999991</v>
      </c>
      <c r="K153" s="29">
        <f t="shared" si="98"/>
        <v>0</v>
      </c>
      <c r="L153" s="29"/>
      <c r="M153" s="38">
        <f>MAX(0,MIN(Inputs!$B$36,R152,N153+O153+P153+Inputs!$B$6-Q152))</f>
        <v>0</v>
      </c>
      <c r="N153" s="38">
        <f>Inputs!$B$27*(1+Inputs!$B$28)^($A153/12)*IF(Inputs!$B$70=1,$G153,1)*(1-Inputs!$C$70*$H153*(1-Inputs!$E$54*Inputs!$B$70))*(1+$I153)*IF(Inputs!$B$29=0,1,(MAX(Q152,0)/Inputs!$B$6)^Inputs!$B$29)</f>
        <v>28200.913229186324</v>
      </c>
      <c r="O153" s="38">
        <f>Inputs!$B$32*Q152/Inputs!$B$6</f>
        <v>0</v>
      </c>
      <c r="P153" s="38">
        <f>Inputs!$B$33</f>
        <v>2500</v>
      </c>
      <c r="Q153" s="38">
        <f t="shared" si="99"/>
        <v>0</v>
      </c>
      <c r="R153" s="38">
        <f t="shared" si="100"/>
        <v>0</v>
      </c>
      <c r="S153" s="38">
        <f>Inputs!$B$19*(1-Inputs!$C$70*$H153)+Inputs!$B$21+Inputs!$B$70*$J153</f>
        <v>595000</v>
      </c>
      <c r="T153" s="38">
        <f t="shared" si="101"/>
        <v>-595000</v>
      </c>
      <c r="U153" s="38">
        <f t="shared" si="102"/>
        <v>1</v>
      </c>
      <c r="V153" s="38">
        <f>MAX(0,MIN(Inputs!$C$36,AA152,W153+X153+Y153+Inputs!$C$6-Z152))</f>
        <v>0</v>
      </c>
      <c r="W153" s="38">
        <f>Inputs!$C$27*(1+Inputs!$C$28)^($A153/12)*IF(Inputs!$B$70=1,$G153,1)*(1-Inputs!$C$70*$H153*(1-Inputs!$E$54*Inputs!$B$70))*(1+$I153)*IF(Inputs!$C$29=0,1,(MAX(Z152,0)/Inputs!$C$6)^Inputs!$C$29)</f>
        <v>0</v>
      </c>
      <c r="X153" s="38">
        <f>Inputs!$C$32*Z152/Inputs!$C$6</f>
        <v>0</v>
      </c>
      <c r="Y153" s="38">
        <f>Inputs!$C$33</f>
        <v>2000</v>
      </c>
      <c r="Z153" s="38">
        <f t="shared" si="103"/>
        <v>0</v>
      </c>
      <c r="AA153" s="38">
        <f t="shared" si="104"/>
        <v>0</v>
      </c>
      <c r="AB153" s="38">
        <f>Inputs!$C$19*(1-Inputs!$C$70*$H153)+Inputs!$C$21+Inputs!$B$70*$J153</f>
        <v>495000</v>
      </c>
      <c r="AC153" s="38">
        <f t="shared" si="105"/>
        <v>-495000</v>
      </c>
      <c r="AD153" s="38">
        <f t="shared" si="106"/>
        <v>1</v>
      </c>
      <c r="AE153" s="38">
        <f>MAX(0,MIN(Inputs!$D$36,AJ152,AF153+AG153+AH153+Inputs!$D$6-AI152))</f>
        <v>0</v>
      </c>
      <c r="AF153" s="38">
        <f>Inputs!$D$27*(1+Inputs!$D$28)^($A153/12)*IF(Inputs!$B$70=1,$G153,1)*(1-Inputs!$C$70*$H153*(1-Inputs!$E$54*Inputs!$B$70))*(1+$I153)*IF(Inputs!$D$29=0,1,(MAX(AI152,0)/Inputs!$D$6)^Inputs!$D$29)</f>
        <v>2331.1561234046071</v>
      </c>
      <c r="AG153" s="38">
        <f>Inputs!$D$32*AI152/Inputs!$D$6</f>
        <v>762.43348991017922</v>
      </c>
      <c r="AH153" s="38">
        <f>Inputs!$D$33</f>
        <v>1500</v>
      </c>
      <c r="AI153" s="38">
        <f t="shared" si="107"/>
        <v>155154.37970119898</v>
      </c>
      <c r="AJ153" s="38">
        <f t="shared" si="108"/>
        <v>0</v>
      </c>
      <c r="AK153" s="38">
        <f>Inputs!$D$19*(1-Inputs!$C$70*$H153)+Inputs!$D$21+Inputs!$B$70*$J153</f>
        <v>404800</v>
      </c>
      <c r="AL153" s="38">
        <f t="shared" si="109"/>
        <v>-249645.62029880102</v>
      </c>
      <c r="AM153" s="38">
        <f t="shared" si="110"/>
        <v>1</v>
      </c>
      <c r="AN153" s="38">
        <f>MAX(0,MIN(Inputs!$B$36,AS152,AO153+AP153+AQ153+Inputs!$B$6-AR152))</f>
        <v>0</v>
      </c>
      <c r="AO153" s="38">
        <f>Inputs!$B$27*(1+Inputs!$B$28)^($A153/12)*IF(Inputs!$B$71=1,$G153,1)*(1-Inputs!$C$71*$H153*(1-Inputs!$E$54*Inputs!$B$71))*(1+$I153)*IF(Inputs!$B$29=0,1,(MAX(AR152,0)/Inputs!$B$6)^Inputs!$B$29)</f>
        <v>23753.988672678624</v>
      </c>
      <c r="AP153" s="38">
        <f>Inputs!$B$32*AR152/Inputs!$B$6</f>
        <v>0</v>
      </c>
      <c r="AQ153" s="38">
        <f>Inputs!$B$33</f>
        <v>2500</v>
      </c>
      <c r="AR153" s="38">
        <f t="shared" si="111"/>
        <v>0</v>
      </c>
      <c r="AS153" s="38">
        <f t="shared" si="112"/>
        <v>0</v>
      </c>
      <c r="AT153" s="38">
        <f>Inputs!$B$19*(1-Inputs!$C$71*$H153)+Inputs!$B$21+Inputs!$B$71*$J153</f>
        <v>601000</v>
      </c>
      <c r="AU153" s="38">
        <f t="shared" si="113"/>
        <v>-601000</v>
      </c>
      <c r="AV153" s="38">
        <f t="shared" si="114"/>
        <v>1</v>
      </c>
      <c r="AW153" s="38">
        <f>MAX(0,MIN(Inputs!$C$36,BB152,AX153+AY153+AZ153+Inputs!$C$6-BA152))</f>
        <v>0</v>
      </c>
      <c r="AX153" s="38">
        <f>Inputs!$C$27*(1+Inputs!$C$28)^($A153/12)*IF(Inputs!$B$71=1,$G153,1)*(1-Inputs!$C$71*$H153*(1-Inputs!$E$54*Inputs!$B$71))*(1+$I153)*IF(Inputs!$C$29=0,1,(MAX(BA152,0)/Inputs!$C$6)^Inputs!$C$29)</f>
        <v>0</v>
      </c>
      <c r="AY153" s="38">
        <f>Inputs!$C$32*BA152/Inputs!$C$6</f>
        <v>0</v>
      </c>
      <c r="AZ153" s="38">
        <f>Inputs!$C$33</f>
        <v>2000</v>
      </c>
      <c r="BA153" s="38">
        <f t="shared" si="115"/>
        <v>0</v>
      </c>
      <c r="BB153" s="38">
        <f t="shared" si="116"/>
        <v>0</v>
      </c>
      <c r="BC153" s="38">
        <f>Inputs!$C$19*(1-Inputs!$C$71*$H153)+Inputs!$C$21+Inputs!$B$71*$J153</f>
        <v>501000</v>
      </c>
      <c r="BD153" s="38">
        <f t="shared" si="117"/>
        <v>-501000</v>
      </c>
      <c r="BE153" s="38">
        <f t="shared" si="118"/>
        <v>1</v>
      </c>
      <c r="BF153" s="38">
        <f>MAX(0,MIN(Inputs!$D$36,BK152,BG153+BH153+BI153+Inputs!$D$6-BJ152))</f>
        <v>0</v>
      </c>
      <c r="BG153" s="38">
        <f>Inputs!$D$27*(1+Inputs!$D$28)^($A153/12)*IF(Inputs!$B$71=1,$G153,1)*(1-Inputs!$C$71*$H153*(1-Inputs!$E$54*Inputs!$B$71))*(1+$I153)*IF(Inputs!$D$29=0,1,(MAX(BJ152,0)/Inputs!$D$6)^Inputs!$D$29)</f>
        <v>2365.4811474001358</v>
      </c>
      <c r="BH153" s="38">
        <f>Inputs!$D$32*BJ152/Inputs!$D$6</f>
        <v>1106.5001588564937</v>
      </c>
      <c r="BI153" s="38">
        <f>Inputs!$D$33</f>
        <v>1500</v>
      </c>
      <c r="BJ153" s="38">
        <f t="shared" si="119"/>
        <v>226866.14721605633</v>
      </c>
      <c r="BK153" s="38">
        <f t="shared" si="120"/>
        <v>0</v>
      </c>
      <c r="BL153" s="38">
        <f>Inputs!$D$19*(1-Inputs!$C$71*$H153)+Inputs!$D$21+Inputs!$B$71*$J153</f>
        <v>410800</v>
      </c>
      <c r="BM153" s="38">
        <f t="shared" si="121"/>
        <v>-183933.85278394367</v>
      </c>
      <c r="BN153" s="38">
        <f t="shared" si="122"/>
        <v>1</v>
      </c>
      <c r="BO153" s="38">
        <f>MAX(0,MIN(Inputs!$B$36,BT152,BP153+BQ153+BR153+Inputs!$B$6-BS152))</f>
        <v>0</v>
      </c>
      <c r="BP153" s="38">
        <f>Inputs!$B$27*(1+Inputs!$B$28)^($A153/12)*IF(Inputs!$B$72=1,$G153,1)*(1-Inputs!$C$72*$H153*(1-Inputs!$E$54*Inputs!$B$72))*(1+$I153)*IF(Inputs!$B$29=0,1,(MAX(BS152,0)/Inputs!$B$6)^Inputs!$B$29)</f>
        <v>25380.821906267694</v>
      </c>
      <c r="BQ153" s="38">
        <f>Inputs!$B$32*BS152/Inputs!$B$6</f>
        <v>0</v>
      </c>
      <c r="BR153" s="38">
        <f>Inputs!$B$33</f>
        <v>2500</v>
      </c>
      <c r="BS153" s="38">
        <f t="shared" si="123"/>
        <v>0</v>
      </c>
      <c r="BT153" s="38">
        <f t="shared" si="124"/>
        <v>0</v>
      </c>
      <c r="BU153" s="38">
        <f>Inputs!$B$19*(1-Inputs!$C$72*$H153)+Inputs!$B$21+Inputs!$B$72*$J153</f>
        <v>577500</v>
      </c>
      <c r="BV153" s="38">
        <f t="shared" si="125"/>
        <v>-577500</v>
      </c>
      <c r="BW153" s="38">
        <f t="shared" si="126"/>
        <v>1</v>
      </c>
      <c r="BX153" s="38">
        <f>MAX(0,MIN(Inputs!$C$36,CC152,BY153+BZ153+CA153+Inputs!$C$6-CB152))</f>
        <v>0</v>
      </c>
      <c r="BY153" s="38">
        <f>Inputs!$C$27*(1+Inputs!$C$28)^($A153/12)*IF(Inputs!$B$72=1,$G153,1)*(1-Inputs!$C$72*$H153*(1-Inputs!$E$54*Inputs!$B$72))*(1+$I153)*IF(Inputs!$C$29=0,1,(MAX(CB152,0)/Inputs!$C$6)^Inputs!$C$29)</f>
        <v>0</v>
      </c>
      <c r="BZ153" s="38">
        <f>Inputs!$C$32*CB152/Inputs!$C$6</f>
        <v>0</v>
      </c>
      <c r="CA153" s="38">
        <f>Inputs!$C$33</f>
        <v>2000</v>
      </c>
      <c r="CB153" s="38">
        <f t="shared" si="127"/>
        <v>0</v>
      </c>
      <c r="CC153" s="38">
        <f t="shared" si="128"/>
        <v>0</v>
      </c>
      <c r="CD153" s="38">
        <f>Inputs!$C$19*(1-Inputs!$C$72*$H153)+Inputs!$C$21+Inputs!$B$72*$J153</f>
        <v>480000</v>
      </c>
      <c r="CE153" s="38">
        <f t="shared" si="129"/>
        <v>-480000</v>
      </c>
      <c r="CF153" s="38">
        <f t="shared" si="130"/>
        <v>1</v>
      </c>
      <c r="CG153" s="38">
        <f>MAX(0,MIN(Inputs!$D$36,CL152,CH153+CI153+CJ153+Inputs!$D$6-CK152))</f>
        <v>0</v>
      </c>
      <c r="CH153" s="38">
        <f>Inputs!$D$27*(1+Inputs!$D$28)^($A153/12)*IF(Inputs!$B$72=1,$G153,1)*(1-Inputs!$C$72*$H153*(1-Inputs!$E$54*Inputs!$B$72))*(1+$I153)*IF(Inputs!$D$29=0,1,(MAX(CK152,0)/Inputs!$D$6)^Inputs!$D$29)</f>
        <v>2347.6035305389396</v>
      </c>
      <c r="CI153" s="38">
        <f>Inputs!$D$32*CK152/Inputs!$D$6</f>
        <v>954.60506189890725</v>
      </c>
      <c r="CJ153" s="38">
        <f>Inputs!$D$33</f>
        <v>1500</v>
      </c>
      <c r="CK153" s="38">
        <f t="shared" si="131"/>
        <v>195210.28056733319</v>
      </c>
      <c r="CL153" s="38">
        <f t="shared" si="132"/>
        <v>0</v>
      </c>
      <c r="CM153" s="38">
        <f>Inputs!$D$19*(1-Inputs!$C$72*$H153)+Inputs!$D$21+Inputs!$B$72*$J153</f>
        <v>392150</v>
      </c>
      <c r="CN153" s="38">
        <f t="shared" si="133"/>
        <v>-196939.71943266681</v>
      </c>
      <c r="CO153" s="38">
        <f t="shared" si="134"/>
        <v>1</v>
      </c>
      <c r="CP153" s="38">
        <f>MAX(0,MIN(Inputs!$B$36,CU152,CQ153+CR153+CS153+Inputs!$B$6-CT152))</f>
        <v>0</v>
      </c>
      <c r="CQ153" s="38">
        <f>Inputs!$B$27*(1+Inputs!$B$28)^($A153/12)*IF(Inputs!$B$73=1,$G153,1)*(1-Inputs!$C$73*$H153*(1-Inputs!$E$54*Inputs!$B$73))*(1+$I153)*IF(Inputs!$B$29=0,1,(MAX(CT152,0)/Inputs!$B$6)^Inputs!$B$29)</f>
        <v>22566.28923904469</v>
      </c>
      <c r="CR153" s="38">
        <f>Inputs!$B$32*CT152/Inputs!$B$6</f>
        <v>0</v>
      </c>
      <c r="CS153" s="38">
        <f>Inputs!$B$33</f>
        <v>2500</v>
      </c>
      <c r="CT153" s="38">
        <f t="shared" si="135"/>
        <v>0</v>
      </c>
      <c r="CU153" s="38">
        <f t="shared" si="136"/>
        <v>0</v>
      </c>
      <c r="CV153" s="38">
        <f>Inputs!$B$19*(1-Inputs!$C$73*$H153)+Inputs!$B$21+Inputs!$B$73*$J153</f>
        <v>583500</v>
      </c>
      <c r="CW153" s="38">
        <f t="shared" si="137"/>
        <v>-583500</v>
      </c>
      <c r="CX153" s="38">
        <f t="shared" si="138"/>
        <v>1</v>
      </c>
      <c r="CY153" s="38">
        <f>MAX(0,MIN(Inputs!$C$36,DD152,CZ153+DA153+DB153+Inputs!$C$6-DC152))</f>
        <v>0</v>
      </c>
      <c r="CZ153" s="38">
        <f>Inputs!$C$27*(1+Inputs!$C$28)^($A153/12)*IF(Inputs!$B$73=1,$G153,1)*(1-Inputs!$C$73*$H153*(1-Inputs!$E$54*Inputs!$B$73))*(1+$I153)*IF(Inputs!$C$29=0,1,(MAX(DC152,0)/Inputs!$C$6)^Inputs!$C$29)</f>
        <v>0</v>
      </c>
      <c r="DA153" s="38">
        <f>Inputs!$C$32*DC152/Inputs!$C$6</f>
        <v>0</v>
      </c>
      <c r="DB153" s="38">
        <f>Inputs!$C$33</f>
        <v>2000</v>
      </c>
      <c r="DC153" s="38">
        <f t="shared" si="139"/>
        <v>0</v>
      </c>
      <c r="DD153" s="38">
        <f t="shared" si="140"/>
        <v>0</v>
      </c>
      <c r="DE153" s="38">
        <f>Inputs!$C$19*(1-Inputs!$C$73*$H153)+Inputs!$C$21+Inputs!$B$73*$J153</f>
        <v>486000</v>
      </c>
      <c r="DF153" s="38">
        <f t="shared" si="141"/>
        <v>-486000</v>
      </c>
      <c r="DG153" s="38">
        <f t="shared" si="142"/>
        <v>1</v>
      </c>
      <c r="DH153" s="38">
        <f>MAX(0,MIN(Inputs!$D$36,DM152,DI153+DJ153+DK153+Inputs!$D$6-DL152))</f>
        <v>0</v>
      </c>
      <c r="DI153" s="38">
        <f>Inputs!$D$27*(1+Inputs!$D$28)^($A153/12)*IF(Inputs!$B$73=1,$G153,1)*(1-Inputs!$C$73*$H153*(1-Inputs!$E$54*Inputs!$B$73))*(1+$I153)*IF(Inputs!$D$29=0,1,(MAX(DL152,0)/Inputs!$D$6)^Inputs!$D$29)</f>
        <v>2339.1396521036004</v>
      </c>
      <c r="DJ153" s="38">
        <f>Inputs!$D$32*DL152/Inputs!$D$6</f>
        <v>1198.8851745891486</v>
      </c>
      <c r="DK153" s="38">
        <f>Inputs!$D$33</f>
        <v>1500</v>
      </c>
      <c r="DL153" s="38">
        <f t="shared" si="143"/>
        <v>246156.96413484318</v>
      </c>
      <c r="DM153" s="38">
        <f t="shared" si="144"/>
        <v>0</v>
      </c>
      <c r="DN153" s="38">
        <f>Inputs!$D$19*(1-Inputs!$C$73*$H153)+Inputs!$D$21+Inputs!$B$73*$J153</f>
        <v>398150</v>
      </c>
      <c r="DO153" s="38">
        <f t="shared" si="145"/>
        <v>-151993.03586515682</v>
      </c>
      <c r="DP153" s="38">
        <f t="shared" si="146"/>
        <v>1</v>
      </c>
    </row>
    <row r="154" spans="1:120" x14ac:dyDescent="0.35">
      <c r="A154" s="29">
        <v>149</v>
      </c>
      <c r="B154" s="34">
        <f>EDATE(Inputs!$B$67,$A154)</f>
        <v>50802</v>
      </c>
      <c r="C154" s="35">
        <f>IF(Inputs!$E$47&lt;=0,Inputs!$E$46,Inputs!$E$44+(Inputs!$E$46-Inputs!$E$44)*MIN($A154/Inputs!$E$47,1))</f>
        <v>0.7</v>
      </c>
      <c r="D154" s="35">
        <f>MIN(Inputs!$E$57,Inputs!$E$55*(1+Inputs!$E$56)^($A154/12))*Inputs!$E$58*(1+Inputs!$E$59)^($A154/12)/Inputs!$E$45</f>
        <v>1.5</v>
      </c>
      <c r="E154" s="35">
        <f>MAX(Inputs!$E$44,MIN(C154,D154))</f>
        <v>0.7</v>
      </c>
      <c r="F154" s="35">
        <f>IF(Inputs!$E$50&lt;=0,Inputs!$E$49,Inputs!$E$48+(Inputs!$E$49-Inputs!$E$48)*MIN($A154/Inputs!$E$50,1))</f>
        <v>0.12</v>
      </c>
      <c r="G154" s="36">
        <f>(Inputs!$E$41*(1-E154*Inputs!$E$51)+Inputs!$E$42*(1-F154*Inputs!$E$51))/(Inputs!$E$41*(1-Inputs!$E$44*Inputs!$E$51)+Inputs!$E$42*(1-Inputs!$E$48*Inputs!$E$51))</f>
        <v>0.8423127463863338</v>
      </c>
      <c r="H154" s="35">
        <f>IF(Inputs!$E$53&lt;=0,Inputs!$E$52,Inputs!$E$52*MIN($A154/Inputs!$E$53,1))</f>
        <v>0.1</v>
      </c>
      <c r="I154" s="35">
        <f>IF(Inputs!$E$64&lt;=0,Inputs!$E$63,Inputs!$E$62+(Inputs!$E$63-Inputs!$E$62)*MIN($A154/Inputs!$E$64,1))</f>
        <v>0.03</v>
      </c>
      <c r="J154" s="37">
        <f>(E154-Inputs!$E$44)*Inputs!$E$45/Inputs!$E$60*Inputs!$E$61</f>
        <v>5999.9999999999991</v>
      </c>
      <c r="K154" s="29">
        <f t="shared" si="98"/>
        <v>0</v>
      </c>
      <c r="L154" s="29"/>
      <c r="M154" s="38">
        <f>MAX(0,MIN(Inputs!$B$36,R153,N154+O154+P154+Inputs!$B$6-Q153))</f>
        <v>0</v>
      </c>
      <c r="N154" s="38">
        <f>Inputs!$B$27*(1+Inputs!$B$28)^($A154/12)*IF(Inputs!$B$70=1,$G154,1)*(1-Inputs!$C$70*$H154*(1-Inputs!$E$54*Inputs!$B$70))*(1+$I154)*IF(Inputs!$B$29=0,1,(MAX(Q153,0)/Inputs!$B$6)^Inputs!$B$29)</f>
        <v>28315.807240493952</v>
      </c>
      <c r="O154" s="38">
        <f>Inputs!$B$32*Q153/Inputs!$B$6</f>
        <v>0</v>
      </c>
      <c r="P154" s="38">
        <f>Inputs!$B$33</f>
        <v>2500</v>
      </c>
      <c r="Q154" s="38">
        <f t="shared" si="99"/>
        <v>0</v>
      </c>
      <c r="R154" s="38">
        <f t="shared" si="100"/>
        <v>0</v>
      </c>
      <c r="S154" s="38">
        <f>Inputs!$B$19*(1-Inputs!$C$70*$H154)+Inputs!$B$21+Inputs!$B$70*$J154</f>
        <v>595000</v>
      </c>
      <c r="T154" s="38">
        <f t="shared" si="101"/>
        <v>-595000</v>
      </c>
      <c r="U154" s="38">
        <f t="shared" si="102"/>
        <v>1</v>
      </c>
      <c r="V154" s="38">
        <f>MAX(0,MIN(Inputs!$C$36,AA153,W154+X154+Y154+Inputs!$C$6-Z153))</f>
        <v>0</v>
      </c>
      <c r="W154" s="38">
        <f>Inputs!$C$27*(1+Inputs!$C$28)^($A154/12)*IF(Inputs!$B$70=1,$G154,1)*(1-Inputs!$C$70*$H154*(1-Inputs!$E$54*Inputs!$B$70))*(1+$I154)*IF(Inputs!$C$29=0,1,(MAX(Z153,0)/Inputs!$C$6)^Inputs!$C$29)</f>
        <v>0</v>
      </c>
      <c r="X154" s="38">
        <f>Inputs!$C$32*Z153/Inputs!$C$6</f>
        <v>0</v>
      </c>
      <c r="Y154" s="38">
        <f>Inputs!$C$33</f>
        <v>2000</v>
      </c>
      <c r="Z154" s="38">
        <f t="shared" si="103"/>
        <v>0</v>
      </c>
      <c r="AA154" s="38">
        <f t="shared" si="104"/>
        <v>0</v>
      </c>
      <c r="AB154" s="38">
        <f>Inputs!$C$19*(1-Inputs!$C$70*$H154)+Inputs!$C$21+Inputs!$B$70*$J154</f>
        <v>495000</v>
      </c>
      <c r="AC154" s="38">
        <f t="shared" si="105"/>
        <v>-495000</v>
      </c>
      <c r="AD154" s="38">
        <f t="shared" si="106"/>
        <v>1</v>
      </c>
      <c r="AE154" s="38">
        <f>MAX(0,MIN(Inputs!$D$36,AJ153,AF154+AG154+AH154+Inputs!$D$6-AI153))</f>
        <v>0</v>
      </c>
      <c r="AF154" s="38">
        <f>Inputs!$D$27*(1+Inputs!$D$28)^($A154/12)*IF(Inputs!$B$70=1,$G154,1)*(1-Inputs!$C$70*$H154*(1-Inputs!$E$54*Inputs!$B$70))*(1+$I154)*IF(Inputs!$D$29=0,1,(MAX(AI153,0)/Inputs!$D$6)^Inputs!$D$29)</f>
        <v>2287.5960640784219</v>
      </c>
      <c r="AG154" s="38">
        <f>Inputs!$D$32*AI153/Inputs!$D$6</f>
        <v>740.50953948299514</v>
      </c>
      <c r="AH154" s="38">
        <f>Inputs!$D$33</f>
        <v>1500</v>
      </c>
      <c r="AI154" s="38">
        <f t="shared" si="107"/>
        <v>150626.27409763756</v>
      </c>
      <c r="AJ154" s="38">
        <f t="shared" si="108"/>
        <v>0</v>
      </c>
      <c r="AK154" s="38">
        <f>Inputs!$D$19*(1-Inputs!$C$70*$H154)+Inputs!$D$21+Inputs!$B$70*$J154</f>
        <v>404800</v>
      </c>
      <c r="AL154" s="38">
        <f t="shared" si="109"/>
        <v>-254173.72590236244</v>
      </c>
      <c r="AM154" s="38">
        <f t="shared" si="110"/>
        <v>1</v>
      </c>
      <c r="AN154" s="38">
        <f>MAX(0,MIN(Inputs!$B$36,AS153,AO154+AP154+AQ154+Inputs!$B$6-AR153))</f>
        <v>0</v>
      </c>
      <c r="AO154" s="38">
        <f>Inputs!$B$27*(1+Inputs!$B$28)^($A154/12)*IF(Inputs!$B$71=1,$G154,1)*(1-Inputs!$C$71*$H154*(1-Inputs!$E$54*Inputs!$B$71))*(1+$I154)*IF(Inputs!$B$29=0,1,(MAX(AR153,0)/Inputs!$B$6)^Inputs!$B$29)</f>
        <v>23850.765362886497</v>
      </c>
      <c r="AP154" s="38">
        <f>Inputs!$B$32*AR153/Inputs!$B$6</f>
        <v>0</v>
      </c>
      <c r="AQ154" s="38">
        <f>Inputs!$B$33</f>
        <v>2500</v>
      </c>
      <c r="AR154" s="38">
        <f t="shared" si="111"/>
        <v>0</v>
      </c>
      <c r="AS154" s="38">
        <f t="shared" si="112"/>
        <v>0</v>
      </c>
      <c r="AT154" s="38">
        <f>Inputs!$B$19*(1-Inputs!$C$71*$H154)+Inputs!$B$21+Inputs!$B$71*$J154</f>
        <v>601000</v>
      </c>
      <c r="AU154" s="38">
        <f t="shared" si="113"/>
        <v>-601000</v>
      </c>
      <c r="AV154" s="38">
        <f t="shared" si="114"/>
        <v>1</v>
      </c>
      <c r="AW154" s="38">
        <f>MAX(0,MIN(Inputs!$C$36,BB153,AX154+AY154+AZ154+Inputs!$C$6-BA153))</f>
        <v>0</v>
      </c>
      <c r="AX154" s="38">
        <f>Inputs!$C$27*(1+Inputs!$C$28)^($A154/12)*IF(Inputs!$B$71=1,$G154,1)*(1-Inputs!$C$71*$H154*(1-Inputs!$E$54*Inputs!$B$71))*(1+$I154)*IF(Inputs!$C$29=0,1,(MAX(BA153,0)/Inputs!$C$6)^Inputs!$C$29)</f>
        <v>0</v>
      </c>
      <c r="AY154" s="38">
        <f>Inputs!$C$32*BA153/Inputs!$C$6</f>
        <v>0</v>
      </c>
      <c r="AZ154" s="38">
        <f>Inputs!$C$33</f>
        <v>2000</v>
      </c>
      <c r="BA154" s="38">
        <f t="shared" si="115"/>
        <v>0</v>
      </c>
      <c r="BB154" s="38">
        <f t="shared" si="116"/>
        <v>0</v>
      </c>
      <c r="BC154" s="38">
        <f>Inputs!$C$19*(1-Inputs!$C$71*$H154)+Inputs!$C$21+Inputs!$B$71*$J154</f>
        <v>501000</v>
      </c>
      <c r="BD154" s="38">
        <f t="shared" si="117"/>
        <v>-501000</v>
      </c>
      <c r="BE154" s="38">
        <f t="shared" si="118"/>
        <v>1</v>
      </c>
      <c r="BF154" s="38">
        <f>MAX(0,MIN(Inputs!$D$36,BK153,BG154+BH154+BI154+Inputs!$D$6-BJ153))</f>
        <v>0</v>
      </c>
      <c r="BG154" s="38">
        <f>Inputs!$D$27*(1+Inputs!$D$28)^($A154/12)*IF(Inputs!$B$71=1,$G154,1)*(1-Inputs!$C$71*$H154*(1-Inputs!$E$54*Inputs!$B$71))*(1+$I154)*IF(Inputs!$D$29=0,1,(MAX(BJ153,0)/Inputs!$D$6)^Inputs!$D$29)</f>
        <v>2329.9979640391352</v>
      </c>
      <c r="BH154" s="38">
        <f>Inputs!$D$32*BJ153/Inputs!$D$6</f>
        <v>1082.7702480766325</v>
      </c>
      <c r="BI154" s="38">
        <f>Inputs!$D$33</f>
        <v>1500</v>
      </c>
      <c r="BJ154" s="38">
        <f t="shared" si="119"/>
        <v>221953.37900394056</v>
      </c>
      <c r="BK154" s="38">
        <f t="shared" si="120"/>
        <v>0</v>
      </c>
      <c r="BL154" s="38">
        <f>Inputs!$D$19*(1-Inputs!$C$71*$H154)+Inputs!$D$21+Inputs!$B$71*$J154</f>
        <v>410800</v>
      </c>
      <c r="BM154" s="38">
        <f t="shared" si="121"/>
        <v>-188846.62099605944</v>
      </c>
      <c r="BN154" s="38">
        <f t="shared" si="122"/>
        <v>1</v>
      </c>
      <c r="BO154" s="38">
        <f>MAX(0,MIN(Inputs!$B$36,BT153,BP154+BQ154+BR154+Inputs!$B$6-BS153))</f>
        <v>0</v>
      </c>
      <c r="BP154" s="38">
        <f>Inputs!$B$27*(1+Inputs!$B$28)^($A154/12)*IF(Inputs!$B$72=1,$G154,1)*(1-Inputs!$C$72*$H154*(1-Inputs!$E$54*Inputs!$B$72))*(1+$I154)*IF(Inputs!$B$29=0,1,(MAX(BS153,0)/Inputs!$B$6)^Inputs!$B$29)</f>
        <v>25484.226516444556</v>
      </c>
      <c r="BQ154" s="38">
        <f>Inputs!$B$32*BS153/Inputs!$B$6</f>
        <v>0</v>
      </c>
      <c r="BR154" s="38">
        <f>Inputs!$B$33</f>
        <v>2500</v>
      </c>
      <c r="BS154" s="38">
        <f t="shared" si="123"/>
        <v>0</v>
      </c>
      <c r="BT154" s="38">
        <f t="shared" si="124"/>
        <v>0</v>
      </c>
      <c r="BU154" s="38">
        <f>Inputs!$B$19*(1-Inputs!$C$72*$H154)+Inputs!$B$21+Inputs!$B$72*$J154</f>
        <v>577500</v>
      </c>
      <c r="BV154" s="38">
        <f t="shared" si="125"/>
        <v>-577500</v>
      </c>
      <c r="BW154" s="38">
        <f t="shared" si="126"/>
        <v>1</v>
      </c>
      <c r="BX154" s="38">
        <f>MAX(0,MIN(Inputs!$C$36,CC153,BY154+BZ154+CA154+Inputs!$C$6-CB153))</f>
        <v>0</v>
      </c>
      <c r="BY154" s="38">
        <f>Inputs!$C$27*(1+Inputs!$C$28)^($A154/12)*IF(Inputs!$B$72=1,$G154,1)*(1-Inputs!$C$72*$H154*(1-Inputs!$E$54*Inputs!$B$72))*(1+$I154)*IF(Inputs!$C$29=0,1,(MAX(CB153,0)/Inputs!$C$6)^Inputs!$C$29)</f>
        <v>0</v>
      </c>
      <c r="BZ154" s="38">
        <f>Inputs!$C$32*CB153/Inputs!$C$6</f>
        <v>0</v>
      </c>
      <c r="CA154" s="38">
        <f>Inputs!$C$33</f>
        <v>2000</v>
      </c>
      <c r="CB154" s="38">
        <f t="shared" si="127"/>
        <v>0</v>
      </c>
      <c r="CC154" s="38">
        <f t="shared" si="128"/>
        <v>0</v>
      </c>
      <c r="CD154" s="38">
        <f>Inputs!$C$19*(1-Inputs!$C$72*$H154)+Inputs!$C$21+Inputs!$B$72*$J154</f>
        <v>480000</v>
      </c>
      <c r="CE154" s="38">
        <f t="shared" si="129"/>
        <v>-480000</v>
      </c>
      <c r="CF154" s="38">
        <f t="shared" si="130"/>
        <v>1</v>
      </c>
      <c r="CG154" s="38">
        <f>MAX(0,MIN(Inputs!$D$36,CL153,CH154+CI154+CJ154+Inputs!$D$6-CK153))</f>
        <v>0</v>
      </c>
      <c r="CH154" s="38">
        <f>Inputs!$D$27*(1+Inputs!$D$28)^($A154/12)*IF(Inputs!$B$72=1,$G154,1)*(1-Inputs!$C$72*$H154*(1-Inputs!$E$54*Inputs!$B$72))*(1+$I154)*IF(Inputs!$D$29=0,1,(MAX(CK153,0)/Inputs!$D$6)^Inputs!$D$29)</f>
        <v>2309.3575221579235</v>
      </c>
      <c r="CI154" s="38">
        <f>Inputs!$D$32*CK153/Inputs!$D$6</f>
        <v>931.68542998045382</v>
      </c>
      <c r="CJ154" s="38">
        <f>Inputs!$D$33</f>
        <v>1500</v>
      </c>
      <c r="CK154" s="38">
        <f t="shared" si="131"/>
        <v>190469.23761519481</v>
      </c>
      <c r="CL154" s="38">
        <f t="shared" si="132"/>
        <v>0</v>
      </c>
      <c r="CM154" s="38">
        <f>Inputs!$D$19*(1-Inputs!$C$72*$H154)+Inputs!$D$21+Inputs!$B$72*$J154</f>
        <v>392150</v>
      </c>
      <c r="CN154" s="38">
        <f t="shared" si="133"/>
        <v>-201680.76238480519</v>
      </c>
      <c r="CO154" s="38">
        <f t="shared" si="134"/>
        <v>1</v>
      </c>
      <c r="CP154" s="38">
        <f>MAX(0,MIN(Inputs!$B$36,CU153,CQ154+CR154+CS154+Inputs!$B$6-CT153))</f>
        <v>0</v>
      </c>
      <c r="CQ154" s="38">
        <f>Inputs!$B$27*(1+Inputs!$B$28)^($A154/12)*IF(Inputs!$B$73=1,$G154,1)*(1-Inputs!$C$73*$H154*(1-Inputs!$E$54*Inputs!$B$73))*(1+$I154)*IF(Inputs!$B$29=0,1,(MAX(CT153,0)/Inputs!$B$6)^Inputs!$B$29)</f>
        <v>22658.227094742171</v>
      </c>
      <c r="CR154" s="38">
        <f>Inputs!$B$32*CT153/Inputs!$B$6</f>
        <v>0</v>
      </c>
      <c r="CS154" s="38">
        <f>Inputs!$B$33</f>
        <v>2500</v>
      </c>
      <c r="CT154" s="38">
        <f t="shared" si="135"/>
        <v>0</v>
      </c>
      <c r="CU154" s="38">
        <f t="shared" si="136"/>
        <v>0</v>
      </c>
      <c r="CV154" s="38">
        <f>Inputs!$B$19*(1-Inputs!$C$73*$H154)+Inputs!$B$21+Inputs!$B$73*$J154</f>
        <v>583500</v>
      </c>
      <c r="CW154" s="38">
        <f t="shared" si="137"/>
        <v>-583500</v>
      </c>
      <c r="CX154" s="38">
        <f t="shared" si="138"/>
        <v>1</v>
      </c>
      <c r="CY154" s="38">
        <f>MAX(0,MIN(Inputs!$C$36,DD153,CZ154+DA154+DB154+Inputs!$C$6-DC153))</f>
        <v>0</v>
      </c>
      <c r="CZ154" s="38">
        <f>Inputs!$C$27*(1+Inputs!$C$28)^($A154/12)*IF(Inputs!$B$73=1,$G154,1)*(1-Inputs!$C$73*$H154*(1-Inputs!$E$54*Inputs!$B$73))*(1+$I154)*IF(Inputs!$C$29=0,1,(MAX(DC153,0)/Inputs!$C$6)^Inputs!$C$29)</f>
        <v>0</v>
      </c>
      <c r="DA154" s="38">
        <f>Inputs!$C$32*DC153/Inputs!$C$6</f>
        <v>0</v>
      </c>
      <c r="DB154" s="38">
        <f>Inputs!$C$33</f>
        <v>2000</v>
      </c>
      <c r="DC154" s="38">
        <f t="shared" si="139"/>
        <v>0</v>
      </c>
      <c r="DD154" s="38">
        <f t="shared" si="140"/>
        <v>0</v>
      </c>
      <c r="DE154" s="38">
        <f>Inputs!$C$19*(1-Inputs!$C$73*$H154)+Inputs!$C$21+Inputs!$B$73*$J154</f>
        <v>486000</v>
      </c>
      <c r="DF154" s="38">
        <f t="shared" si="141"/>
        <v>-486000</v>
      </c>
      <c r="DG154" s="38">
        <f t="shared" si="142"/>
        <v>1</v>
      </c>
      <c r="DH154" s="38">
        <f>MAX(0,MIN(Inputs!$D$36,DM153,DI154+DJ154+DK154+Inputs!$D$6-DL153))</f>
        <v>0</v>
      </c>
      <c r="DI154" s="38">
        <f>Inputs!$D$27*(1+Inputs!$D$28)^($A154/12)*IF(Inputs!$B$73=1,$G154,1)*(1-Inputs!$C$73*$H154*(1-Inputs!$E$54*Inputs!$B$73))*(1+$I154)*IF(Inputs!$D$29=0,1,(MAX(DL153,0)/Inputs!$D$6)^Inputs!$D$29)</f>
        <v>2305.687061755179</v>
      </c>
      <c r="DJ154" s="38">
        <f>Inputs!$D$32*DL153/Inputs!$D$6</f>
        <v>1174.8400560981152</v>
      </c>
      <c r="DK154" s="38">
        <f>Inputs!$D$33</f>
        <v>1500</v>
      </c>
      <c r="DL154" s="38">
        <f t="shared" si="143"/>
        <v>241176.43701698986</v>
      </c>
      <c r="DM154" s="38">
        <f t="shared" si="144"/>
        <v>0</v>
      </c>
      <c r="DN154" s="38">
        <f>Inputs!$D$19*(1-Inputs!$C$73*$H154)+Inputs!$D$21+Inputs!$B$73*$J154</f>
        <v>398150</v>
      </c>
      <c r="DO154" s="38">
        <f t="shared" si="145"/>
        <v>-156973.56298301014</v>
      </c>
      <c r="DP154" s="38">
        <f t="shared" si="146"/>
        <v>1</v>
      </c>
    </row>
    <row r="155" spans="1:120" x14ac:dyDescent="0.35">
      <c r="A155" s="29">
        <v>150</v>
      </c>
      <c r="B155" s="34">
        <f>EDATE(Inputs!$B$67,$A155)</f>
        <v>50830</v>
      </c>
      <c r="C155" s="35">
        <f>IF(Inputs!$E$47&lt;=0,Inputs!$E$46,Inputs!$E$44+(Inputs!$E$46-Inputs!$E$44)*MIN($A155/Inputs!$E$47,1))</f>
        <v>0.7</v>
      </c>
      <c r="D155" s="35">
        <f>MIN(Inputs!$E$57,Inputs!$E$55*(1+Inputs!$E$56)^($A155/12))*Inputs!$E$58*(1+Inputs!$E$59)^($A155/12)/Inputs!$E$45</f>
        <v>1.5</v>
      </c>
      <c r="E155" s="35">
        <f>MAX(Inputs!$E$44,MIN(C155,D155))</f>
        <v>0.7</v>
      </c>
      <c r="F155" s="35">
        <f>IF(Inputs!$E$50&lt;=0,Inputs!$E$49,Inputs!$E$48+(Inputs!$E$49-Inputs!$E$48)*MIN($A155/Inputs!$E$50,1))</f>
        <v>0.12</v>
      </c>
      <c r="G155" s="36">
        <f>(Inputs!$E$41*(1-E155*Inputs!$E$51)+Inputs!$E$42*(1-F155*Inputs!$E$51))/(Inputs!$E$41*(1-Inputs!$E$44*Inputs!$E$51)+Inputs!$E$42*(1-Inputs!$E$48*Inputs!$E$51))</f>
        <v>0.8423127463863338</v>
      </c>
      <c r="H155" s="35">
        <f>IF(Inputs!$E$53&lt;=0,Inputs!$E$52,Inputs!$E$52*MIN($A155/Inputs!$E$53,1))</f>
        <v>0.1</v>
      </c>
      <c r="I155" s="35">
        <f>IF(Inputs!$E$64&lt;=0,Inputs!$E$63,Inputs!$E$62+(Inputs!$E$63-Inputs!$E$62)*MIN($A155/Inputs!$E$64,1))</f>
        <v>0.03</v>
      </c>
      <c r="J155" s="37">
        <f>(E155-Inputs!$E$44)*Inputs!$E$45/Inputs!$E$60*Inputs!$E$61</f>
        <v>5999.9999999999991</v>
      </c>
      <c r="K155" s="29">
        <f t="shared" si="98"/>
        <v>0</v>
      </c>
      <c r="L155" s="29"/>
      <c r="M155" s="38">
        <f>MAX(0,MIN(Inputs!$B$36,R154,N155+O155+P155+Inputs!$B$6-Q154))</f>
        <v>0</v>
      </c>
      <c r="N155" s="38">
        <f>Inputs!$B$27*(1+Inputs!$B$28)^($A155/12)*IF(Inputs!$B$70=1,$G155,1)*(1-Inputs!$C$70*$H155*(1-Inputs!$E$54*Inputs!$B$70))*(1+$I155)*IF(Inputs!$B$29=0,1,(MAX(Q154,0)/Inputs!$B$6)^Inputs!$B$29)</f>
        <v>28431.169344225651</v>
      </c>
      <c r="O155" s="38">
        <f>Inputs!$B$32*Q154/Inputs!$B$6</f>
        <v>0</v>
      </c>
      <c r="P155" s="38">
        <f>Inputs!$B$33</f>
        <v>2500</v>
      </c>
      <c r="Q155" s="38">
        <f t="shared" si="99"/>
        <v>0</v>
      </c>
      <c r="R155" s="38">
        <f t="shared" si="100"/>
        <v>0</v>
      </c>
      <c r="S155" s="38">
        <f>Inputs!$B$19*(1-Inputs!$C$70*$H155)+Inputs!$B$21+Inputs!$B$70*$J155</f>
        <v>595000</v>
      </c>
      <c r="T155" s="38">
        <f t="shared" si="101"/>
        <v>-595000</v>
      </c>
      <c r="U155" s="38">
        <f t="shared" si="102"/>
        <v>1</v>
      </c>
      <c r="V155" s="38">
        <f>MAX(0,MIN(Inputs!$C$36,AA154,W155+X155+Y155+Inputs!$C$6-Z154))</f>
        <v>0</v>
      </c>
      <c r="W155" s="38">
        <f>Inputs!$C$27*(1+Inputs!$C$28)^($A155/12)*IF(Inputs!$B$70=1,$G155,1)*(1-Inputs!$C$70*$H155*(1-Inputs!$E$54*Inputs!$B$70))*(1+$I155)*IF(Inputs!$C$29=0,1,(MAX(Z154,0)/Inputs!$C$6)^Inputs!$C$29)</f>
        <v>0</v>
      </c>
      <c r="X155" s="38">
        <f>Inputs!$C$32*Z154/Inputs!$C$6</f>
        <v>0</v>
      </c>
      <c r="Y155" s="38">
        <f>Inputs!$C$33</f>
        <v>2000</v>
      </c>
      <c r="Z155" s="38">
        <f t="shared" si="103"/>
        <v>0</v>
      </c>
      <c r="AA155" s="38">
        <f t="shared" si="104"/>
        <v>0</v>
      </c>
      <c r="AB155" s="38">
        <f>Inputs!$C$19*(1-Inputs!$C$70*$H155)+Inputs!$C$21+Inputs!$B$70*$J155</f>
        <v>495000</v>
      </c>
      <c r="AC155" s="38">
        <f t="shared" si="105"/>
        <v>-495000</v>
      </c>
      <c r="AD155" s="38">
        <f t="shared" si="106"/>
        <v>1</v>
      </c>
      <c r="AE155" s="38">
        <f>MAX(0,MIN(Inputs!$D$36,AJ154,AF155+AG155+AH155+Inputs!$D$6-AI154))</f>
        <v>0</v>
      </c>
      <c r="AF155" s="38">
        <f>Inputs!$D$27*(1+Inputs!$D$28)^($A155/12)*IF(Inputs!$B$70=1,$G155,1)*(1-Inputs!$C$70*$H155*(1-Inputs!$E$54*Inputs!$B$70))*(1+$I155)*IF(Inputs!$D$29=0,1,(MAX(AI154,0)/Inputs!$D$6)^Inputs!$D$29)</f>
        <v>2244.3538067613881</v>
      </c>
      <c r="AG155" s="38">
        <f>Inputs!$D$32*AI154/Inputs!$D$6</f>
        <v>718.8981263750884</v>
      </c>
      <c r="AH155" s="38">
        <f>Inputs!$D$33</f>
        <v>1500</v>
      </c>
      <c r="AI155" s="38">
        <f t="shared" si="107"/>
        <v>146163.0221645011</v>
      </c>
      <c r="AJ155" s="38">
        <f t="shared" si="108"/>
        <v>0</v>
      </c>
      <c r="AK155" s="38">
        <f>Inputs!$D$19*(1-Inputs!$C$70*$H155)+Inputs!$D$21+Inputs!$B$70*$J155</f>
        <v>404800</v>
      </c>
      <c r="AL155" s="38">
        <f t="shared" si="109"/>
        <v>-258636.9778354989</v>
      </c>
      <c r="AM155" s="38">
        <f t="shared" si="110"/>
        <v>1</v>
      </c>
      <c r="AN155" s="38">
        <f>MAX(0,MIN(Inputs!$B$36,AS154,AO155+AP155+AQ155+Inputs!$B$6-AR154))</f>
        <v>0</v>
      </c>
      <c r="AO155" s="38">
        <f>Inputs!$B$27*(1+Inputs!$B$28)^($A155/12)*IF(Inputs!$B$71=1,$G155,1)*(1-Inputs!$C$71*$H155*(1-Inputs!$E$54*Inputs!$B$71))*(1+$I155)*IF(Inputs!$B$29=0,1,(MAX(AR154,0)/Inputs!$B$6)^Inputs!$B$29)</f>
        <v>23947.936333309652</v>
      </c>
      <c r="AP155" s="38">
        <f>Inputs!$B$32*AR154/Inputs!$B$6</f>
        <v>0</v>
      </c>
      <c r="AQ155" s="38">
        <f>Inputs!$B$33</f>
        <v>2500</v>
      </c>
      <c r="AR155" s="38">
        <f t="shared" si="111"/>
        <v>0</v>
      </c>
      <c r="AS155" s="38">
        <f t="shared" si="112"/>
        <v>0</v>
      </c>
      <c r="AT155" s="38">
        <f>Inputs!$B$19*(1-Inputs!$C$71*$H155)+Inputs!$B$21+Inputs!$B$71*$J155</f>
        <v>601000</v>
      </c>
      <c r="AU155" s="38">
        <f t="shared" si="113"/>
        <v>-601000</v>
      </c>
      <c r="AV155" s="38">
        <f t="shared" si="114"/>
        <v>1</v>
      </c>
      <c r="AW155" s="38">
        <f>MAX(0,MIN(Inputs!$C$36,BB154,AX155+AY155+AZ155+Inputs!$C$6-BA154))</f>
        <v>0</v>
      </c>
      <c r="AX155" s="38">
        <f>Inputs!$C$27*(1+Inputs!$C$28)^($A155/12)*IF(Inputs!$B$71=1,$G155,1)*(1-Inputs!$C$71*$H155*(1-Inputs!$E$54*Inputs!$B$71))*(1+$I155)*IF(Inputs!$C$29=0,1,(MAX(BA154,0)/Inputs!$C$6)^Inputs!$C$29)</f>
        <v>0</v>
      </c>
      <c r="AY155" s="38">
        <f>Inputs!$C$32*BA154/Inputs!$C$6</f>
        <v>0</v>
      </c>
      <c r="AZ155" s="38">
        <f>Inputs!$C$33</f>
        <v>2000</v>
      </c>
      <c r="BA155" s="38">
        <f t="shared" si="115"/>
        <v>0</v>
      </c>
      <c r="BB155" s="38">
        <f t="shared" si="116"/>
        <v>0</v>
      </c>
      <c r="BC155" s="38">
        <f>Inputs!$C$19*(1-Inputs!$C$71*$H155)+Inputs!$C$21+Inputs!$B$71*$J155</f>
        <v>501000</v>
      </c>
      <c r="BD155" s="38">
        <f t="shared" si="117"/>
        <v>-501000</v>
      </c>
      <c r="BE155" s="38">
        <f t="shared" si="118"/>
        <v>1</v>
      </c>
      <c r="BF155" s="38">
        <f>MAX(0,MIN(Inputs!$D$36,BK154,BG155+BH155+BI155+Inputs!$D$6-BJ154))</f>
        <v>0</v>
      </c>
      <c r="BG155" s="38">
        <f>Inputs!$D$27*(1+Inputs!$D$28)^($A155/12)*IF(Inputs!$B$71=1,$G155,1)*(1-Inputs!$C$71*$H155*(1-Inputs!$E$54*Inputs!$B$71))*(1+$I155)*IF(Inputs!$D$29=0,1,(MAX(BJ154,0)/Inputs!$D$6)^Inputs!$D$29)</f>
        <v>2294.8019382674602</v>
      </c>
      <c r="BH155" s="38">
        <f>Inputs!$D$32*BJ154/Inputs!$D$6</f>
        <v>1059.3229452460801</v>
      </c>
      <c r="BI155" s="38">
        <f>Inputs!$D$33</f>
        <v>1500</v>
      </c>
      <c r="BJ155" s="38">
        <f t="shared" si="119"/>
        <v>217099.25412042701</v>
      </c>
      <c r="BK155" s="38">
        <f t="shared" si="120"/>
        <v>0</v>
      </c>
      <c r="BL155" s="38">
        <f>Inputs!$D$19*(1-Inputs!$C$71*$H155)+Inputs!$D$21+Inputs!$B$71*$J155</f>
        <v>410800</v>
      </c>
      <c r="BM155" s="38">
        <f t="shared" si="121"/>
        <v>-193700.74587957299</v>
      </c>
      <c r="BN155" s="38">
        <f t="shared" si="122"/>
        <v>1</v>
      </c>
      <c r="BO155" s="38">
        <f>MAX(0,MIN(Inputs!$B$36,BT154,BP155+BQ155+BR155+Inputs!$B$6-BS154))</f>
        <v>0</v>
      </c>
      <c r="BP155" s="38">
        <f>Inputs!$B$27*(1+Inputs!$B$28)^($A155/12)*IF(Inputs!$B$72=1,$G155,1)*(1-Inputs!$C$72*$H155*(1-Inputs!$E$54*Inputs!$B$72))*(1+$I155)*IF(Inputs!$B$29=0,1,(MAX(BS154,0)/Inputs!$B$6)^Inputs!$B$29)</f>
        <v>25588.052409803087</v>
      </c>
      <c r="BQ155" s="38">
        <f>Inputs!$B$32*BS154/Inputs!$B$6</f>
        <v>0</v>
      </c>
      <c r="BR155" s="38">
        <f>Inputs!$B$33</f>
        <v>2500</v>
      </c>
      <c r="BS155" s="38">
        <f t="shared" si="123"/>
        <v>0</v>
      </c>
      <c r="BT155" s="38">
        <f t="shared" si="124"/>
        <v>0</v>
      </c>
      <c r="BU155" s="38">
        <f>Inputs!$B$19*(1-Inputs!$C$72*$H155)+Inputs!$B$21+Inputs!$B$72*$J155</f>
        <v>577500</v>
      </c>
      <c r="BV155" s="38">
        <f t="shared" si="125"/>
        <v>-577500</v>
      </c>
      <c r="BW155" s="38">
        <f t="shared" si="126"/>
        <v>1</v>
      </c>
      <c r="BX155" s="38">
        <f>MAX(0,MIN(Inputs!$C$36,CC154,BY155+BZ155+CA155+Inputs!$C$6-CB154))</f>
        <v>0</v>
      </c>
      <c r="BY155" s="38">
        <f>Inputs!$C$27*(1+Inputs!$C$28)^($A155/12)*IF(Inputs!$B$72=1,$G155,1)*(1-Inputs!$C$72*$H155*(1-Inputs!$E$54*Inputs!$B$72))*(1+$I155)*IF(Inputs!$C$29=0,1,(MAX(CB154,0)/Inputs!$C$6)^Inputs!$C$29)</f>
        <v>0</v>
      </c>
      <c r="BZ155" s="38">
        <f>Inputs!$C$32*CB154/Inputs!$C$6</f>
        <v>0</v>
      </c>
      <c r="CA155" s="38">
        <f>Inputs!$C$33</f>
        <v>2000</v>
      </c>
      <c r="CB155" s="38">
        <f t="shared" si="127"/>
        <v>0</v>
      </c>
      <c r="CC155" s="38">
        <f t="shared" si="128"/>
        <v>0</v>
      </c>
      <c r="CD155" s="38">
        <f>Inputs!$C$19*(1-Inputs!$C$72*$H155)+Inputs!$C$21+Inputs!$B$72*$J155</f>
        <v>480000</v>
      </c>
      <c r="CE155" s="38">
        <f t="shared" si="129"/>
        <v>-480000</v>
      </c>
      <c r="CF155" s="38">
        <f t="shared" si="130"/>
        <v>1</v>
      </c>
      <c r="CG155" s="38">
        <f>MAX(0,MIN(Inputs!$D$36,CL154,CH155+CI155+CJ155+Inputs!$D$6-CK154))</f>
        <v>0</v>
      </c>
      <c r="CH155" s="38">
        <f>Inputs!$D$27*(1+Inputs!$D$28)^($A155/12)*IF(Inputs!$B$72=1,$G155,1)*(1-Inputs!$C$72*$H155*(1-Inputs!$E$54*Inputs!$B$72))*(1+$I155)*IF(Inputs!$D$29=0,1,(MAX(CK154,0)/Inputs!$D$6)^Inputs!$D$29)</f>
        <v>2271.4118433783169</v>
      </c>
      <c r="CI155" s="38">
        <f>Inputs!$D$32*CK154/Inputs!$D$6</f>
        <v>909.05772498161161</v>
      </c>
      <c r="CJ155" s="38">
        <f>Inputs!$D$33</f>
        <v>1500</v>
      </c>
      <c r="CK155" s="38">
        <f t="shared" si="131"/>
        <v>185788.76804683488</v>
      </c>
      <c r="CL155" s="38">
        <f t="shared" si="132"/>
        <v>0</v>
      </c>
      <c r="CM155" s="38">
        <f>Inputs!$D$19*(1-Inputs!$C$72*$H155)+Inputs!$D$21+Inputs!$B$72*$J155</f>
        <v>392150</v>
      </c>
      <c r="CN155" s="38">
        <f t="shared" si="133"/>
        <v>-206361.23195316512</v>
      </c>
      <c r="CO155" s="38">
        <f t="shared" si="134"/>
        <v>1</v>
      </c>
      <c r="CP155" s="38">
        <f>MAX(0,MIN(Inputs!$B$36,CU154,CQ155+CR155+CS155+Inputs!$B$6-CT154))</f>
        <v>0</v>
      </c>
      <c r="CQ155" s="38">
        <f>Inputs!$B$27*(1+Inputs!$B$28)^($A155/12)*IF(Inputs!$B$73=1,$G155,1)*(1-Inputs!$C$73*$H155*(1-Inputs!$E$54*Inputs!$B$73))*(1+$I155)*IF(Inputs!$B$29=0,1,(MAX(CT154,0)/Inputs!$B$6)^Inputs!$B$29)</f>
        <v>22750.539516644167</v>
      </c>
      <c r="CR155" s="38">
        <f>Inputs!$B$32*CT154/Inputs!$B$6</f>
        <v>0</v>
      </c>
      <c r="CS155" s="38">
        <f>Inputs!$B$33</f>
        <v>2500</v>
      </c>
      <c r="CT155" s="38">
        <f t="shared" si="135"/>
        <v>0</v>
      </c>
      <c r="CU155" s="38">
        <f t="shared" si="136"/>
        <v>0</v>
      </c>
      <c r="CV155" s="38">
        <f>Inputs!$B$19*(1-Inputs!$C$73*$H155)+Inputs!$B$21+Inputs!$B$73*$J155</f>
        <v>583500</v>
      </c>
      <c r="CW155" s="38">
        <f t="shared" si="137"/>
        <v>-583500</v>
      </c>
      <c r="CX155" s="38">
        <f t="shared" si="138"/>
        <v>1</v>
      </c>
      <c r="CY155" s="38">
        <f>MAX(0,MIN(Inputs!$C$36,DD154,CZ155+DA155+DB155+Inputs!$C$6-DC154))</f>
        <v>0</v>
      </c>
      <c r="CZ155" s="38">
        <f>Inputs!$C$27*(1+Inputs!$C$28)^($A155/12)*IF(Inputs!$B$73=1,$G155,1)*(1-Inputs!$C$73*$H155*(1-Inputs!$E$54*Inputs!$B$73))*(1+$I155)*IF(Inputs!$C$29=0,1,(MAX(DC154,0)/Inputs!$C$6)^Inputs!$C$29)</f>
        <v>0</v>
      </c>
      <c r="DA155" s="38">
        <f>Inputs!$C$32*DC154/Inputs!$C$6</f>
        <v>0</v>
      </c>
      <c r="DB155" s="38">
        <f>Inputs!$C$33</f>
        <v>2000</v>
      </c>
      <c r="DC155" s="38">
        <f t="shared" si="139"/>
        <v>0</v>
      </c>
      <c r="DD155" s="38">
        <f t="shared" si="140"/>
        <v>0</v>
      </c>
      <c r="DE155" s="38">
        <f>Inputs!$C$19*(1-Inputs!$C$73*$H155)+Inputs!$C$21+Inputs!$B$73*$J155</f>
        <v>486000</v>
      </c>
      <c r="DF155" s="38">
        <f t="shared" si="141"/>
        <v>-486000</v>
      </c>
      <c r="DG155" s="38">
        <f t="shared" si="142"/>
        <v>1</v>
      </c>
      <c r="DH155" s="38">
        <f>MAX(0,MIN(Inputs!$D$36,DM154,DI155+DJ155+DK155+Inputs!$D$6-DL154))</f>
        <v>0</v>
      </c>
      <c r="DI155" s="38">
        <f>Inputs!$D$27*(1+Inputs!$D$28)^($A155/12)*IF(Inputs!$B$73=1,$G155,1)*(1-Inputs!$C$73*$H155*(1-Inputs!$E$54*Inputs!$B$73))*(1+$I155)*IF(Inputs!$D$29=0,1,(MAX(DL154,0)/Inputs!$D$6)^Inputs!$D$29)</f>
        <v>2272.5077355490389</v>
      </c>
      <c r="DJ155" s="38">
        <f>Inputs!$D$32*DL154/Inputs!$D$6</f>
        <v>1151.069358490179</v>
      </c>
      <c r="DK155" s="38">
        <f>Inputs!$D$33</f>
        <v>1500</v>
      </c>
      <c r="DL155" s="38">
        <f t="shared" si="143"/>
        <v>236252.85992295065</v>
      </c>
      <c r="DM155" s="38">
        <f t="shared" si="144"/>
        <v>0</v>
      </c>
      <c r="DN155" s="38">
        <f>Inputs!$D$19*(1-Inputs!$C$73*$H155)+Inputs!$D$21+Inputs!$B$73*$J155</f>
        <v>398150</v>
      </c>
      <c r="DO155" s="38">
        <f t="shared" si="145"/>
        <v>-161897.14007704935</v>
      </c>
      <c r="DP155" s="38">
        <f t="shared" si="146"/>
        <v>1</v>
      </c>
    </row>
    <row r="156" spans="1:120" x14ac:dyDescent="0.35">
      <c r="A156" s="29">
        <v>151</v>
      </c>
      <c r="B156" s="34">
        <f>EDATE(Inputs!$B$67,$A156)</f>
        <v>50861</v>
      </c>
      <c r="C156" s="35">
        <f>IF(Inputs!$E$47&lt;=0,Inputs!$E$46,Inputs!$E$44+(Inputs!$E$46-Inputs!$E$44)*MIN($A156/Inputs!$E$47,1))</f>
        <v>0.7</v>
      </c>
      <c r="D156" s="35">
        <f>MIN(Inputs!$E$57,Inputs!$E$55*(1+Inputs!$E$56)^($A156/12))*Inputs!$E$58*(1+Inputs!$E$59)^($A156/12)/Inputs!$E$45</f>
        <v>1.5</v>
      </c>
      <c r="E156" s="35">
        <f>MAX(Inputs!$E$44,MIN(C156,D156))</f>
        <v>0.7</v>
      </c>
      <c r="F156" s="35">
        <f>IF(Inputs!$E$50&lt;=0,Inputs!$E$49,Inputs!$E$48+(Inputs!$E$49-Inputs!$E$48)*MIN($A156/Inputs!$E$50,1))</f>
        <v>0.12</v>
      </c>
      <c r="G156" s="36">
        <f>(Inputs!$E$41*(1-E156*Inputs!$E$51)+Inputs!$E$42*(1-F156*Inputs!$E$51))/(Inputs!$E$41*(1-Inputs!$E$44*Inputs!$E$51)+Inputs!$E$42*(1-Inputs!$E$48*Inputs!$E$51))</f>
        <v>0.8423127463863338</v>
      </c>
      <c r="H156" s="35">
        <f>IF(Inputs!$E$53&lt;=0,Inputs!$E$52,Inputs!$E$52*MIN($A156/Inputs!$E$53,1))</f>
        <v>0.1</v>
      </c>
      <c r="I156" s="35">
        <f>IF(Inputs!$E$64&lt;=0,Inputs!$E$63,Inputs!$E$62+(Inputs!$E$63-Inputs!$E$62)*MIN($A156/Inputs!$E$64,1))</f>
        <v>0.03</v>
      </c>
      <c r="J156" s="37">
        <f>(E156-Inputs!$E$44)*Inputs!$E$45/Inputs!$E$60*Inputs!$E$61</f>
        <v>5999.9999999999991</v>
      </c>
      <c r="K156" s="29">
        <f t="shared" si="98"/>
        <v>0</v>
      </c>
      <c r="L156" s="29"/>
      <c r="M156" s="38">
        <f>MAX(0,MIN(Inputs!$B$36,R155,N156+O156+P156+Inputs!$B$6-Q155))</f>
        <v>0</v>
      </c>
      <c r="N156" s="38">
        <f>Inputs!$B$27*(1+Inputs!$B$28)^($A156/12)*IF(Inputs!$B$70=1,$G156,1)*(1-Inputs!$C$70*$H156*(1-Inputs!$E$54*Inputs!$B$70))*(1+$I156)*IF(Inputs!$B$29=0,1,(MAX(Q155,0)/Inputs!$B$6)^Inputs!$B$29)</f>
        <v>28547.001447447892</v>
      </c>
      <c r="O156" s="38">
        <f>Inputs!$B$32*Q155/Inputs!$B$6</f>
        <v>0</v>
      </c>
      <c r="P156" s="38">
        <f>Inputs!$B$33</f>
        <v>2500</v>
      </c>
      <c r="Q156" s="38">
        <f t="shared" si="99"/>
        <v>0</v>
      </c>
      <c r="R156" s="38">
        <f t="shared" si="100"/>
        <v>0</v>
      </c>
      <c r="S156" s="38">
        <f>Inputs!$B$19*(1-Inputs!$C$70*$H156)+Inputs!$B$21+Inputs!$B$70*$J156</f>
        <v>595000</v>
      </c>
      <c r="T156" s="38">
        <f t="shared" si="101"/>
        <v>-595000</v>
      </c>
      <c r="U156" s="38">
        <f t="shared" si="102"/>
        <v>1</v>
      </c>
      <c r="V156" s="38">
        <f>MAX(0,MIN(Inputs!$C$36,AA155,W156+X156+Y156+Inputs!$C$6-Z155))</f>
        <v>0</v>
      </c>
      <c r="W156" s="38">
        <f>Inputs!$C$27*(1+Inputs!$C$28)^($A156/12)*IF(Inputs!$B$70=1,$G156,1)*(1-Inputs!$C$70*$H156*(1-Inputs!$E$54*Inputs!$B$70))*(1+$I156)*IF(Inputs!$C$29=0,1,(MAX(Z155,0)/Inputs!$C$6)^Inputs!$C$29)</f>
        <v>0</v>
      </c>
      <c r="X156" s="38">
        <f>Inputs!$C$32*Z155/Inputs!$C$6</f>
        <v>0</v>
      </c>
      <c r="Y156" s="38">
        <f>Inputs!$C$33</f>
        <v>2000</v>
      </c>
      <c r="Z156" s="38">
        <f t="shared" si="103"/>
        <v>0</v>
      </c>
      <c r="AA156" s="38">
        <f t="shared" si="104"/>
        <v>0</v>
      </c>
      <c r="AB156" s="38">
        <f>Inputs!$C$19*(1-Inputs!$C$70*$H156)+Inputs!$C$21+Inputs!$B$70*$J156</f>
        <v>495000</v>
      </c>
      <c r="AC156" s="38">
        <f t="shared" si="105"/>
        <v>-495000</v>
      </c>
      <c r="AD156" s="38">
        <f t="shared" si="106"/>
        <v>1</v>
      </c>
      <c r="AE156" s="38">
        <f>MAX(0,MIN(Inputs!$D$36,AJ155,AF156+AG156+AH156+Inputs!$D$6-AI155))</f>
        <v>0</v>
      </c>
      <c r="AF156" s="38">
        <f>Inputs!$D$27*(1+Inputs!$D$28)^($A156/12)*IF(Inputs!$B$70=1,$G156,1)*(1-Inputs!$C$70*$H156*(1-Inputs!$E$54*Inputs!$B$70))*(1+$I156)*IF(Inputs!$D$29=0,1,(MAX(AI155,0)/Inputs!$D$6)^Inputs!$D$29)</f>
        <v>2201.4222195588209</v>
      </c>
      <c r="AG156" s="38">
        <f>Inputs!$D$32*AI155/Inputs!$D$6</f>
        <v>697.59624214875521</v>
      </c>
      <c r="AH156" s="38">
        <f>Inputs!$D$33</f>
        <v>1500</v>
      </c>
      <c r="AI156" s="38">
        <f t="shared" si="107"/>
        <v>141764.00370279353</v>
      </c>
      <c r="AJ156" s="38">
        <f t="shared" si="108"/>
        <v>0</v>
      </c>
      <c r="AK156" s="38">
        <f>Inputs!$D$19*(1-Inputs!$C$70*$H156)+Inputs!$D$21+Inputs!$B$70*$J156</f>
        <v>404800</v>
      </c>
      <c r="AL156" s="38">
        <f t="shared" si="109"/>
        <v>-263035.9962972065</v>
      </c>
      <c r="AM156" s="38">
        <f t="shared" si="110"/>
        <v>1</v>
      </c>
      <c r="AN156" s="38">
        <f>MAX(0,MIN(Inputs!$B$36,AS155,AO156+AP156+AQ156+Inputs!$B$6-AR155))</f>
        <v>0</v>
      </c>
      <c r="AO156" s="38">
        <f>Inputs!$B$27*(1+Inputs!$B$28)^($A156/12)*IF(Inputs!$B$71=1,$G156,1)*(1-Inputs!$C$71*$H156*(1-Inputs!$E$54*Inputs!$B$71))*(1+$I156)*IF(Inputs!$B$29=0,1,(MAX(AR155,0)/Inputs!$B$6)^Inputs!$B$29)</f>
        <v>24045.503190294483</v>
      </c>
      <c r="AP156" s="38">
        <f>Inputs!$B$32*AR155/Inputs!$B$6</f>
        <v>0</v>
      </c>
      <c r="AQ156" s="38">
        <f>Inputs!$B$33</f>
        <v>2500</v>
      </c>
      <c r="AR156" s="38">
        <f t="shared" si="111"/>
        <v>0</v>
      </c>
      <c r="AS156" s="38">
        <f t="shared" si="112"/>
        <v>0</v>
      </c>
      <c r="AT156" s="38">
        <f>Inputs!$B$19*(1-Inputs!$C$71*$H156)+Inputs!$B$21+Inputs!$B$71*$J156</f>
        <v>601000</v>
      </c>
      <c r="AU156" s="38">
        <f t="shared" si="113"/>
        <v>-601000</v>
      </c>
      <c r="AV156" s="38">
        <f t="shared" si="114"/>
        <v>1</v>
      </c>
      <c r="AW156" s="38">
        <f>MAX(0,MIN(Inputs!$C$36,BB155,AX156+AY156+AZ156+Inputs!$C$6-BA155))</f>
        <v>0</v>
      </c>
      <c r="AX156" s="38">
        <f>Inputs!$C$27*(1+Inputs!$C$28)^($A156/12)*IF(Inputs!$B$71=1,$G156,1)*(1-Inputs!$C$71*$H156*(1-Inputs!$E$54*Inputs!$B$71))*(1+$I156)*IF(Inputs!$C$29=0,1,(MAX(BA155,0)/Inputs!$C$6)^Inputs!$C$29)</f>
        <v>0</v>
      </c>
      <c r="AY156" s="38">
        <f>Inputs!$C$32*BA155/Inputs!$C$6</f>
        <v>0</v>
      </c>
      <c r="AZ156" s="38">
        <f>Inputs!$C$33</f>
        <v>2000</v>
      </c>
      <c r="BA156" s="38">
        <f t="shared" si="115"/>
        <v>0</v>
      </c>
      <c r="BB156" s="38">
        <f t="shared" si="116"/>
        <v>0</v>
      </c>
      <c r="BC156" s="38">
        <f>Inputs!$C$19*(1-Inputs!$C$71*$H156)+Inputs!$C$21+Inputs!$B$71*$J156</f>
        <v>501000</v>
      </c>
      <c r="BD156" s="38">
        <f t="shared" si="117"/>
        <v>-501000</v>
      </c>
      <c r="BE156" s="38">
        <f t="shared" si="118"/>
        <v>1</v>
      </c>
      <c r="BF156" s="38">
        <f>MAX(0,MIN(Inputs!$D$36,BK155,BG156+BH156+BI156+Inputs!$D$6-BJ155))</f>
        <v>0</v>
      </c>
      <c r="BG156" s="38">
        <f>Inputs!$D$27*(1+Inputs!$D$28)^($A156/12)*IF(Inputs!$B$71=1,$G156,1)*(1-Inputs!$C$71*$H156*(1-Inputs!$E$54*Inputs!$B$71))*(1+$I156)*IF(Inputs!$D$29=0,1,(MAX(BJ155,0)/Inputs!$D$6)^Inputs!$D$29)</f>
        <v>2259.8890973912944</v>
      </c>
      <c r="BH156" s="38">
        <f>Inputs!$D$32*BJ155/Inputs!$D$6</f>
        <v>1036.1555310293106</v>
      </c>
      <c r="BI156" s="38">
        <f>Inputs!$D$33</f>
        <v>1500</v>
      </c>
      <c r="BJ156" s="38">
        <f t="shared" si="119"/>
        <v>212303.2094920064</v>
      </c>
      <c r="BK156" s="38">
        <f t="shared" si="120"/>
        <v>0</v>
      </c>
      <c r="BL156" s="38">
        <f>Inputs!$D$19*(1-Inputs!$C$71*$H156)+Inputs!$D$21+Inputs!$B$71*$J156</f>
        <v>410800</v>
      </c>
      <c r="BM156" s="38">
        <f t="shared" si="121"/>
        <v>-198496.7905079936</v>
      </c>
      <c r="BN156" s="38">
        <f t="shared" si="122"/>
        <v>1</v>
      </c>
      <c r="BO156" s="38">
        <f>MAX(0,MIN(Inputs!$B$36,BT155,BP156+BQ156+BR156+Inputs!$B$6-BS155))</f>
        <v>0</v>
      </c>
      <c r="BP156" s="38">
        <f>Inputs!$B$27*(1+Inputs!$B$28)^($A156/12)*IF(Inputs!$B$72=1,$G156,1)*(1-Inputs!$C$72*$H156*(1-Inputs!$E$54*Inputs!$B$72))*(1+$I156)*IF(Inputs!$B$29=0,1,(MAX(BS155,0)/Inputs!$B$6)^Inputs!$B$29)</f>
        <v>25692.301302703105</v>
      </c>
      <c r="BQ156" s="38">
        <f>Inputs!$B$32*BS155/Inputs!$B$6</f>
        <v>0</v>
      </c>
      <c r="BR156" s="38">
        <f>Inputs!$B$33</f>
        <v>2500</v>
      </c>
      <c r="BS156" s="38">
        <f t="shared" si="123"/>
        <v>0</v>
      </c>
      <c r="BT156" s="38">
        <f t="shared" si="124"/>
        <v>0</v>
      </c>
      <c r="BU156" s="38">
        <f>Inputs!$B$19*(1-Inputs!$C$72*$H156)+Inputs!$B$21+Inputs!$B$72*$J156</f>
        <v>577500</v>
      </c>
      <c r="BV156" s="38">
        <f t="shared" si="125"/>
        <v>-577500</v>
      </c>
      <c r="BW156" s="38">
        <f t="shared" si="126"/>
        <v>1</v>
      </c>
      <c r="BX156" s="38">
        <f>MAX(0,MIN(Inputs!$C$36,CC155,BY156+BZ156+CA156+Inputs!$C$6-CB155))</f>
        <v>0</v>
      </c>
      <c r="BY156" s="38">
        <f>Inputs!$C$27*(1+Inputs!$C$28)^($A156/12)*IF(Inputs!$B$72=1,$G156,1)*(1-Inputs!$C$72*$H156*(1-Inputs!$E$54*Inputs!$B$72))*(1+$I156)*IF(Inputs!$C$29=0,1,(MAX(CB155,0)/Inputs!$C$6)^Inputs!$C$29)</f>
        <v>0</v>
      </c>
      <c r="BZ156" s="38">
        <f>Inputs!$C$32*CB155/Inputs!$C$6</f>
        <v>0</v>
      </c>
      <c r="CA156" s="38">
        <f>Inputs!$C$33</f>
        <v>2000</v>
      </c>
      <c r="CB156" s="38">
        <f t="shared" si="127"/>
        <v>0</v>
      </c>
      <c r="CC156" s="38">
        <f t="shared" si="128"/>
        <v>0</v>
      </c>
      <c r="CD156" s="38">
        <f>Inputs!$C$19*(1-Inputs!$C$72*$H156)+Inputs!$C$21+Inputs!$B$72*$J156</f>
        <v>480000</v>
      </c>
      <c r="CE156" s="38">
        <f t="shared" si="129"/>
        <v>-480000</v>
      </c>
      <c r="CF156" s="38">
        <f t="shared" si="130"/>
        <v>1</v>
      </c>
      <c r="CG156" s="38">
        <f>MAX(0,MIN(Inputs!$D$36,CL155,CH156+CI156+CJ156+Inputs!$D$6-CK155))</f>
        <v>0</v>
      </c>
      <c r="CH156" s="38">
        <f>Inputs!$D$27*(1+Inputs!$D$28)^($A156/12)*IF(Inputs!$B$72=1,$G156,1)*(1-Inputs!$C$72*$H156*(1-Inputs!$E$54*Inputs!$B$72))*(1+$I156)*IF(Inputs!$D$29=0,1,(MAX(CK155,0)/Inputs!$D$6)^Inputs!$D$29)</f>
        <v>2233.7616237047364</v>
      </c>
      <c r="CI156" s="38">
        <f>Inputs!$D$32*CK155/Inputs!$D$6</f>
        <v>886.71912022353013</v>
      </c>
      <c r="CJ156" s="38">
        <f>Inputs!$D$33</f>
        <v>1500</v>
      </c>
      <c r="CK156" s="38">
        <f t="shared" si="131"/>
        <v>181168.2873029066</v>
      </c>
      <c r="CL156" s="38">
        <f t="shared" si="132"/>
        <v>0</v>
      </c>
      <c r="CM156" s="38">
        <f>Inputs!$D$19*(1-Inputs!$C$72*$H156)+Inputs!$D$21+Inputs!$B$72*$J156</f>
        <v>392150</v>
      </c>
      <c r="CN156" s="38">
        <f t="shared" si="133"/>
        <v>-210981.7126970934</v>
      </c>
      <c r="CO156" s="38">
        <f t="shared" si="134"/>
        <v>1</v>
      </c>
      <c r="CP156" s="38">
        <f>MAX(0,MIN(Inputs!$B$36,CU155,CQ156+CR156+CS156+Inputs!$B$6-CT155))</f>
        <v>0</v>
      </c>
      <c r="CQ156" s="38">
        <f>Inputs!$B$27*(1+Inputs!$B$28)^($A156/12)*IF(Inputs!$B$73=1,$G156,1)*(1-Inputs!$C$73*$H156*(1-Inputs!$E$54*Inputs!$B$73))*(1+$I156)*IF(Inputs!$B$29=0,1,(MAX(CT155,0)/Inputs!$B$6)^Inputs!$B$29)</f>
        <v>22843.228030779755</v>
      </c>
      <c r="CR156" s="38">
        <f>Inputs!$B$32*CT155/Inputs!$B$6</f>
        <v>0</v>
      </c>
      <c r="CS156" s="38">
        <f>Inputs!$B$33</f>
        <v>2500</v>
      </c>
      <c r="CT156" s="38">
        <f t="shared" si="135"/>
        <v>0</v>
      </c>
      <c r="CU156" s="38">
        <f t="shared" si="136"/>
        <v>0</v>
      </c>
      <c r="CV156" s="38">
        <f>Inputs!$B$19*(1-Inputs!$C$73*$H156)+Inputs!$B$21+Inputs!$B$73*$J156</f>
        <v>583500</v>
      </c>
      <c r="CW156" s="38">
        <f t="shared" si="137"/>
        <v>-583500</v>
      </c>
      <c r="CX156" s="38">
        <f t="shared" si="138"/>
        <v>1</v>
      </c>
      <c r="CY156" s="38">
        <f>MAX(0,MIN(Inputs!$C$36,DD155,CZ156+DA156+DB156+Inputs!$C$6-DC155))</f>
        <v>0</v>
      </c>
      <c r="CZ156" s="38">
        <f>Inputs!$C$27*(1+Inputs!$C$28)^($A156/12)*IF(Inputs!$B$73=1,$G156,1)*(1-Inputs!$C$73*$H156*(1-Inputs!$E$54*Inputs!$B$73))*(1+$I156)*IF(Inputs!$C$29=0,1,(MAX(DC155,0)/Inputs!$C$6)^Inputs!$C$29)</f>
        <v>0</v>
      </c>
      <c r="DA156" s="38">
        <f>Inputs!$C$32*DC155/Inputs!$C$6</f>
        <v>0</v>
      </c>
      <c r="DB156" s="38">
        <f>Inputs!$C$33</f>
        <v>2000</v>
      </c>
      <c r="DC156" s="38">
        <f t="shared" si="139"/>
        <v>0</v>
      </c>
      <c r="DD156" s="38">
        <f t="shared" si="140"/>
        <v>0</v>
      </c>
      <c r="DE156" s="38">
        <f>Inputs!$C$19*(1-Inputs!$C$73*$H156)+Inputs!$C$21+Inputs!$B$73*$J156</f>
        <v>486000</v>
      </c>
      <c r="DF156" s="38">
        <f t="shared" si="141"/>
        <v>-486000</v>
      </c>
      <c r="DG156" s="38">
        <f t="shared" si="142"/>
        <v>1</v>
      </c>
      <c r="DH156" s="38">
        <f>MAX(0,MIN(Inputs!$D$36,DM155,DI156+DJ156+DK156+Inputs!$D$6-DL155))</f>
        <v>0</v>
      </c>
      <c r="DI156" s="38">
        <f>Inputs!$D$27*(1+Inputs!$D$28)^($A156/12)*IF(Inputs!$B$73=1,$G156,1)*(1-Inputs!$C$73*$H156*(1-Inputs!$E$54*Inputs!$B$73))*(1+$I156)*IF(Inputs!$D$29=0,1,(MAX(DL155,0)/Inputs!$D$6)^Inputs!$D$29)</f>
        <v>2239.5981691999255</v>
      </c>
      <c r="DJ156" s="38">
        <f>Inputs!$D$32*DL155/Inputs!$D$6</f>
        <v>1127.5704678140826</v>
      </c>
      <c r="DK156" s="38">
        <f>Inputs!$D$33</f>
        <v>1500</v>
      </c>
      <c r="DL156" s="38">
        <f t="shared" si="143"/>
        <v>231385.69128593666</v>
      </c>
      <c r="DM156" s="38">
        <f t="shared" si="144"/>
        <v>0</v>
      </c>
      <c r="DN156" s="38">
        <f>Inputs!$D$19*(1-Inputs!$C$73*$H156)+Inputs!$D$21+Inputs!$B$73*$J156</f>
        <v>398150</v>
      </c>
      <c r="DO156" s="38">
        <f t="shared" si="145"/>
        <v>-166764.30871406334</v>
      </c>
      <c r="DP156" s="38">
        <f t="shared" si="146"/>
        <v>1</v>
      </c>
    </row>
    <row r="157" spans="1:120" x14ac:dyDescent="0.35">
      <c r="A157" s="29">
        <v>152</v>
      </c>
      <c r="B157" s="34">
        <f>EDATE(Inputs!$B$67,$A157)</f>
        <v>50891</v>
      </c>
      <c r="C157" s="35">
        <f>IF(Inputs!$E$47&lt;=0,Inputs!$E$46,Inputs!$E$44+(Inputs!$E$46-Inputs!$E$44)*MIN($A157/Inputs!$E$47,1))</f>
        <v>0.7</v>
      </c>
      <c r="D157" s="35">
        <f>MIN(Inputs!$E$57,Inputs!$E$55*(1+Inputs!$E$56)^($A157/12))*Inputs!$E$58*(1+Inputs!$E$59)^($A157/12)/Inputs!$E$45</f>
        <v>1.5</v>
      </c>
      <c r="E157" s="35">
        <f>MAX(Inputs!$E$44,MIN(C157,D157))</f>
        <v>0.7</v>
      </c>
      <c r="F157" s="35">
        <f>IF(Inputs!$E$50&lt;=0,Inputs!$E$49,Inputs!$E$48+(Inputs!$E$49-Inputs!$E$48)*MIN($A157/Inputs!$E$50,1))</f>
        <v>0.12</v>
      </c>
      <c r="G157" s="36">
        <f>(Inputs!$E$41*(1-E157*Inputs!$E$51)+Inputs!$E$42*(1-F157*Inputs!$E$51))/(Inputs!$E$41*(1-Inputs!$E$44*Inputs!$E$51)+Inputs!$E$42*(1-Inputs!$E$48*Inputs!$E$51))</f>
        <v>0.8423127463863338</v>
      </c>
      <c r="H157" s="35">
        <f>IF(Inputs!$E$53&lt;=0,Inputs!$E$52,Inputs!$E$52*MIN($A157/Inputs!$E$53,1))</f>
        <v>0.1</v>
      </c>
      <c r="I157" s="35">
        <f>IF(Inputs!$E$64&lt;=0,Inputs!$E$63,Inputs!$E$62+(Inputs!$E$63-Inputs!$E$62)*MIN($A157/Inputs!$E$64,1))</f>
        <v>0.03</v>
      </c>
      <c r="J157" s="37">
        <f>(E157-Inputs!$E$44)*Inputs!$E$45/Inputs!$E$60*Inputs!$E$61</f>
        <v>5999.9999999999991</v>
      </c>
      <c r="K157" s="29">
        <f t="shared" si="98"/>
        <v>0</v>
      </c>
      <c r="L157" s="29"/>
      <c r="M157" s="38">
        <f>MAX(0,MIN(Inputs!$B$36,R156,N157+O157+P157+Inputs!$B$6-Q156))</f>
        <v>0</v>
      </c>
      <c r="N157" s="38">
        <f>Inputs!$B$27*(1+Inputs!$B$28)^($A157/12)*IF(Inputs!$B$70=1,$G157,1)*(1-Inputs!$C$70*$H157*(1-Inputs!$E$54*Inputs!$B$70))*(1+$I157)*IF(Inputs!$B$29=0,1,(MAX(Q156,0)/Inputs!$B$6)^Inputs!$B$29)</f>
        <v>28663.305464996778</v>
      </c>
      <c r="O157" s="38">
        <f>Inputs!$B$32*Q156/Inputs!$B$6</f>
        <v>0</v>
      </c>
      <c r="P157" s="38">
        <f>Inputs!$B$33</f>
        <v>2500</v>
      </c>
      <c r="Q157" s="38">
        <f t="shared" si="99"/>
        <v>0</v>
      </c>
      <c r="R157" s="38">
        <f t="shared" si="100"/>
        <v>0</v>
      </c>
      <c r="S157" s="38">
        <f>Inputs!$B$19*(1-Inputs!$C$70*$H157)+Inputs!$B$21+Inputs!$B$70*$J157</f>
        <v>595000</v>
      </c>
      <c r="T157" s="38">
        <f t="shared" si="101"/>
        <v>-595000</v>
      </c>
      <c r="U157" s="38">
        <f t="shared" si="102"/>
        <v>1</v>
      </c>
      <c r="V157" s="38">
        <f>MAX(0,MIN(Inputs!$C$36,AA156,W157+X157+Y157+Inputs!$C$6-Z156))</f>
        <v>0</v>
      </c>
      <c r="W157" s="38">
        <f>Inputs!$C$27*(1+Inputs!$C$28)^($A157/12)*IF(Inputs!$B$70=1,$G157,1)*(1-Inputs!$C$70*$H157*(1-Inputs!$E$54*Inputs!$B$70))*(1+$I157)*IF(Inputs!$C$29=0,1,(MAX(Z156,0)/Inputs!$C$6)^Inputs!$C$29)</f>
        <v>0</v>
      </c>
      <c r="X157" s="38">
        <f>Inputs!$C$32*Z156/Inputs!$C$6</f>
        <v>0</v>
      </c>
      <c r="Y157" s="38">
        <f>Inputs!$C$33</f>
        <v>2000</v>
      </c>
      <c r="Z157" s="38">
        <f t="shared" si="103"/>
        <v>0</v>
      </c>
      <c r="AA157" s="38">
        <f t="shared" si="104"/>
        <v>0</v>
      </c>
      <c r="AB157" s="38">
        <f>Inputs!$C$19*(1-Inputs!$C$70*$H157)+Inputs!$C$21+Inputs!$B$70*$J157</f>
        <v>495000</v>
      </c>
      <c r="AC157" s="38">
        <f t="shared" si="105"/>
        <v>-495000</v>
      </c>
      <c r="AD157" s="38">
        <f t="shared" si="106"/>
        <v>1</v>
      </c>
      <c r="AE157" s="38">
        <f>MAX(0,MIN(Inputs!$D$36,AJ156,AF157+AG157+AH157+Inputs!$D$6-AI156))</f>
        <v>0</v>
      </c>
      <c r="AF157" s="38">
        <f>Inputs!$D$27*(1+Inputs!$D$28)^($A157/12)*IF(Inputs!$B$70=1,$G157,1)*(1-Inputs!$C$70*$H157*(1-Inputs!$E$54*Inputs!$B$70))*(1+$I157)*IF(Inputs!$D$29=0,1,(MAX(AI156,0)/Inputs!$D$6)^Inputs!$D$29)</f>
        <v>2158.7940247434749</v>
      </c>
      <c r="AG157" s="38">
        <f>Inputs!$D$32*AI156/Inputs!$D$6</f>
        <v>676.60092676333272</v>
      </c>
      <c r="AH157" s="38">
        <f>Inputs!$D$33</f>
        <v>1500</v>
      </c>
      <c r="AI157" s="38">
        <f t="shared" si="107"/>
        <v>137428.60875128672</v>
      </c>
      <c r="AJ157" s="38">
        <f t="shared" si="108"/>
        <v>0</v>
      </c>
      <c r="AK157" s="38">
        <f>Inputs!$D$19*(1-Inputs!$C$70*$H157)+Inputs!$D$21+Inputs!$B$70*$J157</f>
        <v>404800</v>
      </c>
      <c r="AL157" s="38">
        <f t="shared" si="109"/>
        <v>-267371.39124871325</v>
      </c>
      <c r="AM157" s="38">
        <f t="shared" si="110"/>
        <v>1</v>
      </c>
      <c r="AN157" s="38">
        <f>MAX(0,MIN(Inputs!$B$36,AS156,AO157+AP157+AQ157+Inputs!$B$6-AR156))</f>
        <v>0</v>
      </c>
      <c r="AO157" s="38">
        <f>Inputs!$B$27*(1+Inputs!$B$28)^($A157/12)*IF(Inputs!$B$71=1,$G157,1)*(1-Inputs!$C$71*$H157*(1-Inputs!$E$54*Inputs!$B$71))*(1+$I157)*IF(Inputs!$B$29=0,1,(MAX(AR156,0)/Inputs!$B$6)^Inputs!$B$29)</f>
        <v>24143.467546731848</v>
      </c>
      <c r="AP157" s="38">
        <f>Inputs!$B$32*AR156/Inputs!$B$6</f>
        <v>0</v>
      </c>
      <c r="AQ157" s="38">
        <f>Inputs!$B$33</f>
        <v>2500</v>
      </c>
      <c r="AR157" s="38">
        <f t="shared" si="111"/>
        <v>0</v>
      </c>
      <c r="AS157" s="38">
        <f t="shared" si="112"/>
        <v>0</v>
      </c>
      <c r="AT157" s="38">
        <f>Inputs!$B$19*(1-Inputs!$C$71*$H157)+Inputs!$B$21+Inputs!$B$71*$J157</f>
        <v>601000</v>
      </c>
      <c r="AU157" s="38">
        <f t="shared" si="113"/>
        <v>-601000</v>
      </c>
      <c r="AV157" s="38">
        <f t="shared" si="114"/>
        <v>1</v>
      </c>
      <c r="AW157" s="38">
        <f>MAX(0,MIN(Inputs!$C$36,BB156,AX157+AY157+AZ157+Inputs!$C$6-BA156))</f>
        <v>0</v>
      </c>
      <c r="AX157" s="38">
        <f>Inputs!$C$27*(1+Inputs!$C$28)^($A157/12)*IF(Inputs!$B$71=1,$G157,1)*(1-Inputs!$C$71*$H157*(1-Inputs!$E$54*Inputs!$B$71))*(1+$I157)*IF(Inputs!$C$29=0,1,(MAX(BA156,0)/Inputs!$C$6)^Inputs!$C$29)</f>
        <v>0</v>
      </c>
      <c r="AY157" s="38">
        <f>Inputs!$C$32*BA156/Inputs!$C$6</f>
        <v>0</v>
      </c>
      <c r="AZ157" s="38">
        <f>Inputs!$C$33</f>
        <v>2000</v>
      </c>
      <c r="BA157" s="38">
        <f t="shared" si="115"/>
        <v>0</v>
      </c>
      <c r="BB157" s="38">
        <f t="shared" si="116"/>
        <v>0</v>
      </c>
      <c r="BC157" s="38">
        <f>Inputs!$C$19*(1-Inputs!$C$71*$H157)+Inputs!$C$21+Inputs!$B$71*$J157</f>
        <v>501000</v>
      </c>
      <c r="BD157" s="38">
        <f t="shared" si="117"/>
        <v>-501000</v>
      </c>
      <c r="BE157" s="38">
        <f t="shared" si="118"/>
        <v>1</v>
      </c>
      <c r="BF157" s="38">
        <f>MAX(0,MIN(Inputs!$D$36,BK156,BG157+BH157+BI157+Inputs!$D$6-BJ156))</f>
        <v>0</v>
      </c>
      <c r="BG157" s="38">
        <f>Inputs!$D$27*(1+Inputs!$D$28)^($A157/12)*IF(Inputs!$B$71=1,$G157,1)*(1-Inputs!$C$71*$H157*(1-Inputs!$E$54*Inputs!$B$71))*(1+$I157)*IF(Inputs!$D$29=0,1,(MAX(BJ156,0)/Inputs!$D$6)^Inputs!$D$29)</f>
        <v>2225.255457692283</v>
      </c>
      <c r="BH157" s="38">
        <f>Inputs!$D$32*BJ156/Inputs!$D$6</f>
        <v>1013.2653180300305</v>
      </c>
      <c r="BI157" s="38">
        <f>Inputs!$D$33</f>
        <v>1500</v>
      </c>
      <c r="BJ157" s="38">
        <f t="shared" si="119"/>
        <v>207564.68871628409</v>
      </c>
      <c r="BK157" s="38">
        <f t="shared" si="120"/>
        <v>0</v>
      </c>
      <c r="BL157" s="38">
        <f>Inputs!$D$19*(1-Inputs!$C$71*$H157)+Inputs!$D$21+Inputs!$B$71*$J157</f>
        <v>410800</v>
      </c>
      <c r="BM157" s="38">
        <f t="shared" si="121"/>
        <v>-203235.31128371591</v>
      </c>
      <c r="BN157" s="38">
        <f t="shared" si="122"/>
        <v>1</v>
      </c>
      <c r="BO157" s="38">
        <f>MAX(0,MIN(Inputs!$B$36,BT156,BP157+BQ157+BR157+Inputs!$B$6-BS156))</f>
        <v>0</v>
      </c>
      <c r="BP157" s="38">
        <f>Inputs!$B$27*(1+Inputs!$B$28)^($A157/12)*IF(Inputs!$B$72=1,$G157,1)*(1-Inputs!$C$72*$H157*(1-Inputs!$E$54*Inputs!$B$72))*(1+$I157)*IF(Inputs!$B$29=0,1,(MAX(BS156,0)/Inputs!$B$6)^Inputs!$B$29)</f>
        <v>25796.974918497101</v>
      </c>
      <c r="BQ157" s="38">
        <f>Inputs!$B$32*BS156/Inputs!$B$6</f>
        <v>0</v>
      </c>
      <c r="BR157" s="38">
        <f>Inputs!$B$33</f>
        <v>2500</v>
      </c>
      <c r="BS157" s="38">
        <f t="shared" si="123"/>
        <v>0</v>
      </c>
      <c r="BT157" s="38">
        <f t="shared" si="124"/>
        <v>0</v>
      </c>
      <c r="BU157" s="38">
        <f>Inputs!$B$19*(1-Inputs!$C$72*$H157)+Inputs!$B$21+Inputs!$B$72*$J157</f>
        <v>577500</v>
      </c>
      <c r="BV157" s="38">
        <f t="shared" si="125"/>
        <v>-577500</v>
      </c>
      <c r="BW157" s="38">
        <f t="shared" si="126"/>
        <v>1</v>
      </c>
      <c r="BX157" s="38">
        <f>MAX(0,MIN(Inputs!$C$36,CC156,BY157+BZ157+CA157+Inputs!$C$6-CB156))</f>
        <v>0</v>
      </c>
      <c r="BY157" s="38">
        <f>Inputs!$C$27*(1+Inputs!$C$28)^($A157/12)*IF(Inputs!$B$72=1,$G157,1)*(1-Inputs!$C$72*$H157*(1-Inputs!$E$54*Inputs!$B$72))*(1+$I157)*IF(Inputs!$C$29=0,1,(MAX(CB156,0)/Inputs!$C$6)^Inputs!$C$29)</f>
        <v>0</v>
      </c>
      <c r="BZ157" s="38">
        <f>Inputs!$C$32*CB156/Inputs!$C$6</f>
        <v>0</v>
      </c>
      <c r="CA157" s="38">
        <f>Inputs!$C$33</f>
        <v>2000</v>
      </c>
      <c r="CB157" s="38">
        <f t="shared" si="127"/>
        <v>0</v>
      </c>
      <c r="CC157" s="38">
        <f t="shared" si="128"/>
        <v>0</v>
      </c>
      <c r="CD157" s="38">
        <f>Inputs!$C$19*(1-Inputs!$C$72*$H157)+Inputs!$C$21+Inputs!$B$72*$J157</f>
        <v>480000</v>
      </c>
      <c r="CE157" s="38">
        <f t="shared" si="129"/>
        <v>-480000</v>
      </c>
      <c r="CF157" s="38">
        <f t="shared" si="130"/>
        <v>1</v>
      </c>
      <c r="CG157" s="38">
        <f>MAX(0,MIN(Inputs!$D$36,CL156,CH157+CI157+CJ157+Inputs!$D$6-CK156))</f>
        <v>0</v>
      </c>
      <c r="CH157" s="38">
        <f>Inputs!$D$27*(1+Inputs!$D$28)^($A157/12)*IF(Inputs!$B$72=1,$G157,1)*(1-Inputs!$C$72*$H157*(1-Inputs!$E$54*Inputs!$B$72))*(1+$I157)*IF(Inputs!$D$29=0,1,(MAX(CK156,0)/Inputs!$D$6)^Inputs!$D$29)</f>
        <v>2196.4019523378497</v>
      </c>
      <c r="CI157" s="38">
        <f>Inputs!$D$32*CK156/Inputs!$D$6</f>
        <v>864.66682576387245</v>
      </c>
      <c r="CJ157" s="38">
        <f>Inputs!$D$33</f>
        <v>1500</v>
      </c>
      <c r="CK157" s="38">
        <f t="shared" si="131"/>
        <v>176607.21852480486</v>
      </c>
      <c r="CL157" s="38">
        <f t="shared" si="132"/>
        <v>0</v>
      </c>
      <c r="CM157" s="38">
        <f>Inputs!$D$19*(1-Inputs!$C$72*$H157)+Inputs!$D$21+Inputs!$B$72*$J157</f>
        <v>392150</v>
      </c>
      <c r="CN157" s="38">
        <f t="shared" si="133"/>
        <v>-215542.78147519514</v>
      </c>
      <c r="CO157" s="38">
        <f t="shared" si="134"/>
        <v>1</v>
      </c>
      <c r="CP157" s="38">
        <f>MAX(0,MIN(Inputs!$B$36,CU156,CQ157+CR157+CS157+Inputs!$B$6-CT156))</f>
        <v>0</v>
      </c>
      <c r="CQ157" s="38">
        <f>Inputs!$B$27*(1+Inputs!$B$28)^($A157/12)*IF(Inputs!$B$73=1,$G157,1)*(1-Inputs!$C$73*$H157*(1-Inputs!$E$54*Inputs!$B$73))*(1+$I157)*IF(Inputs!$B$29=0,1,(MAX(CT156,0)/Inputs!$B$6)^Inputs!$B$29)</f>
        <v>22936.294169395253</v>
      </c>
      <c r="CR157" s="38">
        <f>Inputs!$B$32*CT156/Inputs!$B$6</f>
        <v>0</v>
      </c>
      <c r="CS157" s="38">
        <f>Inputs!$B$33</f>
        <v>2500</v>
      </c>
      <c r="CT157" s="38">
        <f t="shared" si="135"/>
        <v>0</v>
      </c>
      <c r="CU157" s="38">
        <f t="shared" si="136"/>
        <v>0</v>
      </c>
      <c r="CV157" s="38">
        <f>Inputs!$B$19*(1-Inputs!$C$73*$H157)+Inputs!$B$21+Inputs!$B$73*$J157</f>
        <v>583500</v>
      </c>
      <c r="CW157" s="38">
        <f t="shared" si="137"/>
        <v>-583500</v>
      </c>
      <c r="CX157" s="38">
        <f t="shared" si="138"/>
        <v>1</v>
      </c>
      <c r="CY157" s="38">
        <f>MAX(0,MIN(Inputs!$C$36,DD156,CZ157+DA157+DB157+Inputs!$C$6-DC156))</f>
        <v>0</v>
      </c>
      <c r="CZ157" s="38">
        <f>Inputs!$C$27*(1+Inputs!$C$28)^($A157/12)*IF(Inputs!$B$73=1,$G157,1)*(1-Inputs!$C$73*$H157*(1-Inputs!$E$54*Inputs!$B$73))*(1+$I157)*IF(Inputs!$C$29=0,1,(MAX(DC156,0)/Inputs!$C$6)^Inputs!$C$29)</f>
        <v>0</v>
      </c>
      <c r="DA157" s="38">
        <f>Inputs!$C$32*DC156/Inputs!$C$6</f>
        <v>0</v>
      </c>
      <c r="DB157" s="38">
        <f>Inputs!$C$33</f>
        <v>2000</v>
      </c>
      <c r="DC157" s="38">
        <f t="shared" si="139"/>
        <v>0</v>
      </c>
      <c r="DD157" s="38">
        <f t="shared" si="140"/>
        <v>0</v>
      </c>
      <c r="DE157" s="38">
        <f>Inputs!$C$19*(1-Inputs!$C$73*$H157)+Inputs!$C$21+Inputs!$B$73*$J157</f>
        <v>486000</v>
      </c>
      <c r="DF157" s="38">
        <f t="shared" si="141"/>
        <v>-486000</v>
      </c>
      <c r="DG157" s="38">
        <f t="shared" si="142"/>
        <v>1</v>
      </c>
      <c r="DH157" s="38">
        <f>MAX(0,MIN(Inputs!$D$36,DM156,DI157+DJ157+DK157+Inputs!$D$6-DL156))</f>
        <v>0</v>
      </c>
      <c r="DI157" s="38">
        <f>Inputs!$D$27*(1+Inputs!$D$28)^($A157/12)*IF(Inputs!$B$73=1,$G157,1)*(1-Inputs!$C$73*$H157*(1-Inputs!$E$54*Inputs!$B$73))*(1+$I157)*IF(Inputs!$D$29=0,1,(MAX(DL156,0)/Inputs!$D$6)^Inputs!$D$29)</f>
        <v>2206.9548570986362</v>
      </c>
      <c r="DJ157" s="38">
        <f>Inputs!$D$32*DL156/Inputs!$D$6</f>
        <v>1104.3407993192432</v>
      </c>
      <c r="DK157" s="38">
        <f>Inputs!$D$33</f>
        <v>1500</v>
      </c>
      <c r="DL157" s="38">
        <f t="shared" si="143"/>
        <v>226574.39562951878</v>
      </c>
      <c r="DM157" s="38">
        <f t="shared" si="144"/>
        <v>0</v>
      </c>
      <c r="DN157" s="38">
        <f>Inputs!$D$19*(1-Inputs!$C$73*$H157)+Inputs!$D$21+Inputs!$B$73*$J157</f>
        <v>398150</v>
      </c>
      <c r="DO157" s="38">
        <f t="shared" si="145"/>
        <v>-171575.60437048122</v>
      </c>
      <c r="DP157" s="38">
        <f t="shared" si="146"/>
        <v>1</v>
      </c>
    </row>
    <row r="158" spans="1:120" x14ac:dyDescent="0.35">
      <c r="A158" s="29">
        <v>153</v>
      </c>
      <c r="B158" s="34">
        <f>EDATE(Inputs!$B$67,$A158)</f>
        <v>50922</v>
      </c>
      <c r="C158" s="35">
        <f>IF(Inputs!$E$47&lt;=0,Inputs!$E$46,Inputs!$E$44+(Inputs!$E$46-Inputs!$E$44)*MIN($A158/Inputs!$E$47,1))</f>
        <v>0.7</v>
      </c>
      <c r="D158" s="35">
        <f>MIN(Inputs!$E$57,Inputs!$E$55*(1+Inputs!$E$56)^($A158/12))*Inputs!$E$58*(1+Inputs!$E$59)^($A158/12)/Inputs!$E$45</f>
        <v>1.5</v>
      </c>
      <c r="E158" s="35">
        <f>MAX(Inputs!$E$44,MIN(C158,D158))</f>
        <v>0.7</v>
      </c>
      <c r="F158" s="35">
        <f>IF(Inputs!$E$50&lt;=0,Inputs!$E$49,Inputs!$E$48+(Inputs!$E$49-Inputs!$E$48)*MIN($A158/Inputs!$E$50,1))</f>
        <v>0.12</v>
      </c>
      <c r="G158" s="36">
        <f>(Inputs!$E$41*(1-E158*Inputs!$E$51)+Inputs!$E$42*(1-F158*Inputs!$E$51))/(Inputs!$E$41*(1-Inputs!$E$44*Inputs!$E$51)+Inputs!$E$42*(1-Inputs!$E$48*Inputs!$E$51))</f>
        <v>0.8423127463863338</v>
      </c>
      <c r="H158" s="35">
        <f>IF(Inputs!$E$53&lt;=0,Inputs!$E$52,Inputs!$E$52*MIN($A158/Inputs!$E$53,1))</f>
        <v>0.1</v>
      </c>
      <c r="I158" s="35">
        <f>IF(Inputs!$E$64&lt;=0,Inputs!$E$63,Inputs!$E$62+(Inputs!$E$63-Inputs!$E$62)*MIN($A158/Inputs!$E$64,1))</f>
        <v>0.03</v>
      </c>
      <c r="J158" s="37">
        <f>(E158-Inputs!$E$44)*Inputs!$E$45/Inputs!$E$60*Inputs!$E$61</f>
        <v>5999.9999999999991</v>
      </c>
      <c r="K158" s="29">
        <f t="shared" si="98"/>
        <v>0</v>
      </c>
      <c r="L158" s="29"/>
      <c r="M158" s="38">
        <f>MAX(0,MIN(Inputs!$B$36,R157,N158+O158+P158+Inputs!$B$6-Q157))</f>
        <v>0</v>
      </c>
      <c r="N158" s="38">
        <f>Inputs!$B$27*(1+Inputs!$B$28)^($A158/12)*IF(Inputs!$B$70=1,$G158,1)*(1-Inputs!$C$70*$H158*(1-Inputs!$E$54*Inputs!$B$70))*(1+$I158)*IF(Inputs!$B$29=0,1,(MAX(Q157,0)/Inputs!$B$6)^Inputs!$B$29)</f>
        <v>28780.0833195097</v>
      </c>
      <c r="O158" s="38">
        <f>Inputs!$B$32*Q157/Inputs!$B$6</f>
        <v>0</v>
      </c>
      <c r="P158" s="38">
        <f>Inputs!$B$33</f>
        <v>2500</v>
      </c>
      <c r="Q158" s="38">
        <f t="shared" si="99"/>
        <v>0</v>
      </c>
      <c r="R158" s="38">
        <f t="shared" si="100"/>
        <v>0</v>
      </c>
      <c r="S158" s="38">
        <f>Inputs!$B$19*(1-Inputs!$C$70*$H158)+Inputs!$B$21+Inputs!$B$70*$J158</f>
        <v>595000</v>
      </c>
      <c r="T158" s="38">
        <f t="shared" si="101"/>
        <v>-595000</v>
      </c>
      <c r="U158" s="38">
        <f t="shared" si="102"/>
        <v>1</v>
      </c>
      <c r="V158" s="38">
        <f>MAX(0,MIN(Inputs!$C$36,AA157,W158+X158+Y158+Inputs!$C$6-Z157))</f>
        <v>0</v>
      </c>
      <c r="W158" s="38">
        <f>Inputs!$C$27*(1+Inputs!$C$28)^($A158/12)*IF(Inputs!$B$70=1,$G158,1)*(1-Inputs!$C$70*$H158*(1-Inputs!$E$54*Inputs!$B$70))*(1+$I158)*IF(Inputs!$C$29=0,1,(MAX(Z157,0)/Inputs!$C$6)^Inputs!$C$29)</f>
        <v>0</v>
      </c>
      <c r="X158" s="38">
        <f>Inputs!$C$32*Z157/Inputs!$C$6</f>
        <v>0</v>
      </c>
      <c r="Y158" s="38">
        <f>Inputs!$C$33</f>
        <v>2000</v>
      </c>
      <c r="Z158" s="38">
        <f t="shared" si="103"/>
        <v>0</v>
      </c>
      <c r="AA158" s="38">
        <f t="shared" si="104"/>
        <v>0</v>
      </c>
      <c r="AB158" s="38">
        <f>Inputs!$C$19*(1-Inputs!$C$70*$H158)+Inputs!$C$21+Inputs!$B$70*$J158</f>
        <v>495000</v>
      </c>
      <c r="AC158" s="38">
        <f t="shared" si="105"/>
        <v>-495000</v>
      </c>
      <c r="AD158" s="38">
        <f t="shared" si="106"/>
        <v>1</v>
      </c>
      <c r="AE158" s="38">
        <f>MAX(0,MIN(Inputs!$D$36,AJ157,AF158+AG158+AH158+Inputs!$D$6-AI157))</f>
        <v>0</v>
      </c>
      <c r="AF158" s="38">
        <f>Inputs!$D$27*(1+Inputs!$D$28)^($A158/12)*IF(Inputs!$B$70=1,$G158,1)*(1-Inputs!$C$70*$H158*(1-Inputs!$E$54*Inputs!$B$70))*(1+$I158)*IF(Inputs!$D$29=0,1,(MAX(AI157,0)/Inputs!$D$6)^Inputs!$D$29)</f>
        <v>2116.4617841311169</v>
      </c>
      <c r="AG158" s="38">
        <f>Inputs!$D$32*AI157/Inputs!$D$6</f>
        <v>655.90926904023206</v>
      </c>
      <c r="AH158" s="38">
        <f>Inputs!$D$33</f>
        <v>1500</v>
      </c>
      <c r="AI158" s="38">
        <f t="shared" si="107"/>
        <v>133156.23769811538</v>
      </c>
      <c r="AJ158" s="38">
        <f t="shared" si="108"/>
        <v>0</v>
      </c>
      <c r="AK158" s="38">
        <f>Inputs!$D$19*(1-Inputs!$C$70*$H158)+Inputs!$D$21+Inputs!$B$70*$J158</f>
        <v>404800</v>
      </c>
      <c r="AL158" s="38">
        <f t="shared" si="109"/>
        <v>-271643.76230188459</v>
      </c>
      <c r="AM158" s="38">
        <f t="shared" si="110"/>
        <v>1</v>
      </c>
      <c r="AN158" s="38">
        <f>MAX(0,MIN(Inputs!$B$36,AS157,AO158+AP158+AQ158+Inputs!$B$6-AR157))</f>
        <v>0</v>
      </c>
      <c r="AO158" s="38">
        <f>Inputs!$B$27*(1+Inputs!$B$28)^($A158/12)*IF(Inputs!$B$71=1,$G158,1)*(1-Inputs!$C$71*$H158*(1-Inputs!$E$54*Inputs!$B$71))*(1+$I158)*IF(Inputs!$B$29=0,1,(MAX(AR157,0)/Inputs!$B$6)^Inputs!$B$29)</f>
        <v>24241.83102208373</v>
      </c>
      <c r="AP158" s="38">
        <f>Inputs!$B$32*AR157/Inputs!$B$6</f>
        <v>0</v>
      </c>
      <c r="AQ158" s="38">
        <f>Inputs!$B$33</f>
        <v>2500</v>
      </c>
      <c r="AR158" s="38">
        <f t="shared" si="111"/>
        <v>0</v>
      </c>
      <c r="AS158" s="38">
        <f t="shared" si="112"/>
        <v>0</v>
      </c>
      <c r="AT158" s="38">
        <f>Inputs!$B$19*(1-Inputs!$C$71*$H158)+Inputs!$B$21+Inputs!$B$71*$J158</f>
        <v>601000</v>
      </c>
      <c r="AU158" s="38">
        <f t="shared" si="113"/>
        <v>-601000</v>
      </c>
      <c r="AV158" s="38">
        <f t="shared" si="114"/>
        <v>1</v>
      </c>
      <c r="AW158" s="38">
        <f>MAX(0,MIN(Inputs!$C$36,BB157,AX158+AY158+AZ158+Inputs!$C$6-BA157))</f>
        <v>0</v>
      </c>
      <c r="AX158" s="38">
        <f>Inputs!$C$27*(1+Inputs!$C$28)^($A158/12)*IF(Inputs!$B$71=1,$G158,1)*(1-Inputs!$C$71*$H158*(1-Inputs!$E$54*Inputs!$B$71))*(1+$I158)*IF(Inputs!$C$29=0,1,(MAX(BA157,0)/Inputs!$C$6)^Inputs!$C$29)</f>
        <v>0</v>
      </c>
      <c r="AY158" s="38">
        <f>Inputs!$C$32*BA157/Inputs!$C$6</f>
        <v>0</v>
      </c>
      <c r="AZ158" s="38">
        <f>Inputs!$C$33</f>
        <v>2000</v>
      </c>
      <c r="BA158" s="38">
        <f t="shared" si="115"/>
        <v>0</v>
      </c>
      <c r="BB158" s="38">
        <f t="shared" si="116"/>
        <v>0</v>
      </c>
      <c r="BC158" s="38">
        <f>Inputs!$C$19*(1-Inputs!$C$71*$H158)+Inputs!$C$21+Inputs!$B$71*$J158</f>
        <v>501000</v>
      </c>
      <c r="BD158" s="38">
        <f t="shared" si="117"/>
        <v>-501000</v>
      </c>
      <c r="BE158" s="38">
        <f t="shared" si="118"/>
        <v>1</v>
      </c>
      <c r="BF158" s="38">
        <f>MAX(0,MIN(Inputs!$D$36,BK157,BG158+BH158+BI158+Inputs!$D$6-BJ157))</f>
        <v>0</v>
      </c>
      <c r="BG158" s="38">
        <f>Inputs!$D$27*(1+Inputs!$D$28)^($A158/12)*IF(Inputs!$B$71=1,$G158,1)*(1-Inputs!$C$71*$H158*(1-Inputs!$E$54*Inputs!$B$71))*(1+$I158)*IF(Inputs!$D$29=0,1,(MAX(BJ157,0)/Inputs!$D$6)^Inputs!$D$29)</f>
        <v>2190.8970220713445</v>
      </c>
      <c r="BH158" s="38">
        <f>Inputs!$D$32*BJ157/Inputs!$D$6</f>
        <v>990.64965069135587</v>
      </c>
      <c r="BI158" s="38">
        <f>Inputs!$D$33</f>
        <v>1500</v>
      </c>
      <c r="BJ158" s="38">
        <f t="shared" si="119"/>
        <v>202883.14204352137</v>
      </c>
      <c r="BK158" s="38">
        <f t="shared" si="120"/>
        <v>0</v>
      </c>
      <c r="BL158" s="38">
        <f>Inputs!$D$19*(1-Inputs!$C$71*$H158)+Inputs!$D$21+Inputs!$B$71*$J158</f>
        <v>410800</v>
      </c>
      <c r="BM158" s="38">
        <f t="shared" si="121"/>
        <v>-207916.85795647863</v>
      </c>
      <c r="BN158" s="38">
        <f t="shared" si="122"/>
        <v>1</v>
      </c>
      <c r="BO158" s="38">
        <f>MAX(0,MIN(Inputs!$B$36,BT157,BP158+BQ158+BR158+Inputs!$B$6-BS157))</f>
        <v>0</v>
      </c>
      <c r="BP158" s="38">
        <f>Inputs!$B$27*(1+Inputs!$B$28)^($A158/12)*IF(Inputs!$B$72=1,$G158,1)*(1-Inputs!$C$72*$H158*(1-Inputs!$E$54*Inputs!$B$72))*(1+$I158)*IF(Inputs!$B$29=0,1,(MAX(BS157,0)/Inputs!$B$6)^Inputs!$B$29)</f>
        <v>25902.074987558728</v>
      </c>
      <c r="BQ158" s="38">
        <f>Inputs!$B$32*BS157/Inputs!$B$6</f>
        <v>0</v>
      </c>
      <c r="BR158" s="38">
        <f>Inputs!$B$33</f>
        <v>2500</v>
      </c>
      <c r="BS158" s="38">
        <f t="shared" si="123"/>
        <v>0</v>
      </c>
      <c r="BT158" s="38">
        <f t="shared" si="124"/>
        <v>0</v>
      </c>
      <c r="BU158" s="38">
        <f>Inputs!$B$19*(1-Inputs!$C$72*$H158)+Inputs!$B$21+Inputs!$B$72*$J158</f>
        <v>577500</v>
      </c>
      <c r="BV158" s="38">
        <f t="shared" si="125"/>
        <v>-577500</v>
      </c>
      <c r="BW158" s="38">
        <f t="shared" si="126"/>
        <v>1</v>
      </c>
      <c r="BX158" s="38">
        <f>MAX(0,MIN(Inputs!$C$36,CC157,BY158+BZ158+CA158+Inputs!$C$6-CB157))</f>
        <v>0</v>
      </c>
      <c r="BY158" s="38">
        <f>Inputs!$C$27*(1+Inputs!$C$28)^($A158/12)*IF(Inputs!$B$72=1,$G158,1)*(1-Inputs!$C$72*$H158*(1-Inputs!$E$54*Inputs!$B$72))*(1+$I158)*IF(Inputs!$C$29=0,1,(MAX(CB157,0)/Inputs!$C$6)^Inputs!$C$29)</f>
        <v>0</v>
      </c>
      <c r="BZ158" s="38">
        <f>Inputs!$C$32*CB157/Inputs!$C$6</f>
        <v>0</v>
      </c>
      <c r="CA158" s="38">
        <f>Inputs!$C$33</f>
        <v>2000</v>
      </c>
      <c r="CB158" s="38">
        <f t="shared" si="127"/>
        <v>0</v>
      </c>
      <c r="CC158" s="38">
        <f t="shared" si="128"/>
        <v>0</v>
      </c>
      <c r="CD158" s="38">
        <f>Inputs!$C$19*(1-Inputs!$C$72*$H158)+Inputs!$C$21+Inputs!$B$72*$J158</f>
        <v>480000</v>
      </c>
      <c r="CE158" s="38">
        <f t="shared" si="129"/>
        <v>-480000</v>
      </c>
      <c r="CF158" s="38">
        <f t="shared" si="130"/>
        <v>1</v>
      </c>
      <c r="CG158" s="38">
        <f>MAX(0,MIN(Inputs!$D$36,CL157,CH158+CI158+CJ158+Inputs!$D$6-CK157))</f>
        <v>0</v>
      </c>
      <c r="CH158" s="38">
        <f>Inputs!$D$27*(1+Inputs!$D$28)^($A158/12)*IF(Inputs!$B$72=1,$G158,1)*(1-Inputs!$C$72*$H158*(1-Inputs!$E$54*Inputs!$B$72))*(1+$I158)*IF(Inputs!$D$29=0,1,(MAX(CK157,0)/Inputs!$D$6)^Inputs!$D$29)</f>
        <v>2159.3278734357527</v>
      </c>
      <c r="CI158" s="38">
        <f>Inputs!$D$32*CK157/Inputs!$D$6</f>
        <v>842.89808841384138</v>
      </c>
      <c r="CJ158" s="38">
        <f>Inputs!$D$33</f>
        <v>1500</v>
      </c>
      <c r="CK158" s="38">
        <f t="shared" si="131"/>
        <v>172104.99256295527</v>
      </c>
      <c r="CL158" s="38">
        <f t="shared" si="132"/>
        <v>0</v>
      </c>
      <c r="CM158" s="38">
        <f>Inputs!$D$19*(1-Inputs!$C$72*$H158)+Inputs!$D$21+Inputs!$B$72*$J158</f>
        <v>392150</v>
      </c>
      <c r="CN158" s="38">
        <f t="shared" si="133"/>
        <v>-220045.00743704473</v>
      </c>
      <c r="CO158" s="38">
        <f t="shared" si="134"/>
        <v>1</v>
      </c>
      <c r="CP158" s="38">
        <f>MAX(0,MIN(Inputs!$B$36,CU157,CQ158+CR158+CS158+Inputs!$B$6-CT157))</f>
        <v>0</v>
      </c>
      <c r="CQ158" s="38">
        <f>Inputs!$B$27*(1+Inputs!$B$28)^($A158/12)*IF(Inputs!$B$73=1,$G158,1)*(1-Inputs!$C$73*$H158*(1-Inputs!$E$54*Inputs!$B$73))*(1+$I158)*IF(Inputs!$B$29=0,1,(MAX(CT157,0)/Inputs!$B$6)^Inputs!$B$29)</f>
        <v>23029.739470979544</v>
      </c>
      <c r="CR158" s="38">
        <f>Inputs!$B$32*CT157/Inputs!$B$6</f>
        <v>0</v>
      </c>
      <c r="CS158" s="38">
        <f>Inputs!$B$33</f>
        <v>2500</v>
      </c>
      <c r="CT158" s="38">
        <f t="shared" si="135"/>
        <v>0</v>
      </c>
      <c r="CU158" s="38">
        <f t="shared" si="136"/>
        <v>0</v>
      </c>
      <c r="CV158" s="38">
        <f>Inputs!$B$19*(1-Inputs!$C$73*$H158)+Inputs!$B$21+Inputs!$B$73*$J158</f>
        <v>583500</v>
      </c>
      <c r="CW158" s="38">
        <f t="shared" si="137"/>
        <v>-583500</v>
      </c>
      <c r="CX158" s="38">
        <f t="shared" si="138"/>
        <v>1</v>
      </c>
      <c r="CY158" s="38">
        <f>MAX(0,MIN(Inputs!$C$36,DD157,CZ158+DA158+DB158+Inputs!$C$6-DC157))</f>
        <v>0</v>
      </c>
      <c r="CZ158" s="38">
        <f>Inputs!$C$27*(1+Inputs!$C$28)^($A158/12)*IF(Inputs!$B$73=1,$G158,1)*(1-Inputs!$C$73*$H158*(1-Inputs!$E$54*Inputs!$B$73))*(1+$I158)*IF(Inputs!$C$29=0,1,(MAX(DC157,0)/Inputs!$C$6)^Inputs!$C$29)</f>
        <v>0</v>
      </c>
      <c r="DA158" s="38">
        <f>Inputs!$C$32*DC157/Inputs!$C$6</f>
        <v>0</v>
      </c>
      <c r="DB158" s="38">
        <f>Inputs!$C$33</f>
        <v>2000</v>
      </c>
      <c r="DC158" s="38">
        <f t="shared" si="139"/>
        <v>0</v>
      </c>
      <c r="DD158" s="38">
        <f t="shared" si="140"/>
        <v>0</v>
      </c>
      <c r="DE158" s="38">
        <f>Inputs!$C$19*(1-Inputs!$C$73*$H158)+Inputs!$C$21+Inputs!$B$73*$J158</f>
        <v>486000</v>
      </c>
      <c r="DF158" s="38">
        <f t="shared" si="141"/>
        <v>-486000</v>
      </c>
      <c r="DG158" s="38">
        <f t="shared" si="142"/>
        <v>1</v>
      </c>
      <c r="DH158" s="38">
        <f>MAX(0,MIN(Inputs!$D$36,DM157,DI158+DJ158+DK158+Inputs!$D$6-DL157))</f>
        <v>0</v>
      </c>
      <c r="DI158" s="38">
        <f>Inputs!$D$27*(1+Inputs!$D$28)^($A158/12)*IF(Inputs!$B$73=1,$G158,1)*(1-Inputs!$C$73*$H158*(1-Inputs!$E$54*Inputs!$B$73))*(1+$I158)*IF(Inputs!$D$29=0,1,(MAX(DL157,0)/Inputs!$D$6)^Inputs!$D$29)</f>
        <v>2174.5742907416998</v>
      </c>
      <c r="DJ158" s="38">
        <f>Inputs!$D$32*DL157/Inputs!$D$6</f>
        <v>1081.3777973227031</v>
      </c>
      <c r="DK158" s="38">
        <f>Inputs!$D$33</f>
        <v>1500</v>
      </c>
      <c r="DL158" s="38">
        <f t="shared" si="143"/>
        <v>221818.44354145438</v>
      </c>
      <c r="DM158" s="38">
        <f t="shared" si="144"/>
        <v>0</v>
      </c>
      <c r="DN158" s="38">
        <f>Inputs!$D$19*(1-Inputs!$C$73*$H158)+Inputs!$D$21+Inputs!$B$73*$J158</f>
        <v>398150</v>
      </c>
      <c r="DO158" s="38">
        <f t="shared" si="145"/>
        <v>-176331.55645854562</v>
      </c>
      <c r="DP158" s="38">
        <f t="shared" si="146"/>
        <v>1</v>
      </c>
    </row>
    <row r="159" spans="1:120" x14ac:dyDescent="0.35">
      <c r="A159" s="29">
        <v>154</v>
      </c>
      <c r="B159" s="34">
        <f>EDATE(Inputs!$B$67,$A159)</f>
        <v>50952</v>
      </c>
      <c r="C159" s="35">
        <f>IF(Inputs!$E$47&lt;=0,Inputs!$E$46,Inputs!$E$44+(Inputs!$E$46-Inputs!$E$44)*MIN($A159/Inputs!$E$47,1))</f>
        <v>0.7</v>
      </c>
      <c r="D159" s="35">
        <f>MIN(Inputs!$E$57,Inputs!$E$55*(1+Inputs!$E$56)^($A159/12))*Inputs!$E$58*(1+Inputs!$E$59)^($A159/12)/Inputs!$E$45</f>
        <v>1.5</v>
      </c>
      <c r="E159" s="35">
        <f>MAX(Inputs!$E$44,MIN(C159,D159))</f>
        <v>0.7</v>
      </c>
      <c r="F159" s="35">
        <f>IF(Inputs!$E$50&lt;=0,Inputs!$E$49,Inputs!$E$48+(Inputs!$E$49-Inputs!$E$48)*MIN($A159/Inputs!$E$50,1))</f>
        <v>0.12</v>
      </c>
      <c r="G159" s="36">
        <f>(Inputs!$E$41*(1-E159*Inputs!$E$51)+Inputs!$E$42*(1-F159*Inputs!$E$51))/(Inputs!$E$41*(1-Inputs!$E$44*Inputs!$E$51)+Inputs!$E$42*(1-Inputs!$E$48*Inputs!$E$51))</f>
        <v>0.8423127463863338</v>
      </c>
      <c r="H159" s="35">
        <f>IF(Inputs!$E$53&lt;=0,Inputs!$E$52,Inputs!$E$52*MIN($A159/Inputs!$E$53,1))</f>
        <v>0.1</v>
      </c>
      <c r="I159" s="35">
        <f>IF(Inputs!$E$64&lt;=0,Inputs!$E$63,Inputs!$E$62+(Inputs!$E$63-Inputs!$E$62)*MIN($A159/Inputs!$E$64,1))</f>
        <v>0.03</v>
      </c>
      <c r="J159" s="37">
        <f>(E159-Inputs!$E$44)*Inputs!$E$45/Inputs!$E$60*Inputs!$E$61</f>
        <v>5999.9999999999991</v>
      </c>
      <c r="K159" s="29">
        <f t="shared" si="98"/>
        <v>0</v>
      </c>
      <c r="L159" s="29"/>
      <c r="M159" s="38">
        <f>MAX(0,MIN(Inputs!$B$36,R158,N159+O159+P159+Inputs!$B$6-Q158))</f>
        <v>0</v>
      </c>
      <c r="N159" s="38">
        <f>Inputs!$B$27*(1+Inputs!$B$28)^($A159/12)*IF(Inputs!$B$70=1,$G159,1)*(1-Inputs!$C$70*$H159*(1-Inputs!$E$54*Inputs!$B$70))*(1+$I159)*IF(Inputs!$B$29=0,1,(MAX(Q158,0)/Inputs!$B$6)^Inputs!$B$29)</f>
        <v>28897.336941457099</v>
      </c>
      <c r="O159" s="38">
        <f>Inputs!$B$32*Q158/Inputs!$B$6</f>
        <v>0</v>
      </c>
      <c r="P159" s="38">
        <f>Inputs!$B$33</f>
        <v>2500</v>
      </c>
      <c r="Q159" s="38">
        <f t="shared" si="99"/>
        <v>0</v>
      </c>
      <c r="R159" s="38">
        <f t="shared" si="100"/>
        <v>0</v>
      </c>
      <c r="S159" s="38">
        <f>Inputs!$B$19*(1-Inputs!$C$70*$H159)+Inputs!$B$21+Inputs!$B$70*$J159</f>
        <v>595000</v>
      </c>
      <c r="T159" s="38">
        <f t="shared" si="101"/>
        <v>-595000</v>
      </c>
      <c r="U159" s="38">
        <f t="shared" si="102"/>
        <v>1</v>
      </c>
      <c r="V159" s="38">
        <f>MAX(0,MIN(Inputs!$C$36,AA158,W159+X159+Y159+Inputs!$C$6-Z158))</f>
        <v>0</v>
      </c>
      <c r="W159" s="38">
        <f>Inputs!$C$27*(1+Inputs!$C$28)^($A159/12)*IF(Inputs!$B$70=1,$G159,1)*(1-Inputs!$C$70*$H159*(1-Inputs!$E$54*Inputs!$B$70))*(1+$I159)*IF(Inputs!$C$29=0,1,(MAX(Z158,0)/Inputs!$C$6)^Inputs!$C$29)</f>
        <v>0</v>
      </c>
      <c r="X159" s="38">
        <f>Inputs!$C$32*Z158/Inputs!$C$6</f>
        <v>0</v>
      </c>
      <c r="Y159" s="38">
        <f>Inputs!$C$33</f>
        <v>2000</v>
      </c>
      <c r="Z159" s="38">
        <f t="shared" si="103"/>
        <v>0</v>
      </c>
      <c r="AA159" s="38">
        <f t="shared" si="104"/>
        <v>0</v>
      </c>
      <c r="AB159" s="38">
        <f>Inputs!$C$19*(1-Inputs!$C$70*$H159)+Inputs!$C$21+Inputs!$B$70*$J159</f>
        <v>495000</v>
      </c>
      <c r="AC159" s="38">
        <f t="shared" si="105"/>
        <v>-495000</v>
      </c>
      <c r="AD159" s="38">
        <f t="shared" si="106"/>
        <v>1</v>
      </c>
      <c r="AE159" s="38">
        <f>MAX(0,MIN(Inputs!$D$36,AJ158,AF159+AG159+AH159+Inputs!$D$6-AI158))</f>
        <v>0</v>
      </c>
      <c r="AF159" s="38">
        <f>Inputs!$D$27*(1+Inputs!$D$28)^($A159/12)*IF(Inputs!$B$70=1,$G159,1)*(1-Inputs!$C$70*$H159*(1-Inputs!$E$54*Inputs!$B$70))*(1+$I159)*IF(Inputs!$D$29=0,1,(MAX(AI158,0)/Inputs!$D$6)^Inputs!$D$29)</f>
        <v>2074.4178830098103</v>
      </c>
      <c r="AG159" s="38">
        <f>Inputs!$D$32*AI158/Inputs!$D$6</f>
        <v>635.51840719555059</v>
      </c>
      <c r="AH159" s="38">
        <f>Inputs!$D$33</f>
        <v>1500</v>
      </c>
      <c r="AI159" s="38">
        <f t="shared" si="107"/>
        <v>128946.30140791001</v>
      </c>
      <c r="AJ159" s="38">
        <f t="shared" si="108"/>
        <v>0</v>
      </c>
      <c r="AK159" s="38">
        <f>Inputs!$D$19*(1-Inputs!$C$70*$H159)+Inputs!$D$21+Inputs!$B$70*$J159</f>
        <v>404800</v>
      </c>
      <c r="AL159" s="38">
        <f t="shared" si="109"/>
        <v>-275853.69859208999</v>
      </c>
      <c r="AM159" s="38">
        <f t="shared" si="110"/>
        <v>1</v>
      </c>
      <c r="AN159" s="38">
        <f>MAX(0,MIN(Inputs!$B$36,AS158,AO159+AP159+AQ159+Inputs!$B$6-AR158))</f>
        <v>0</v>
      </c>
      <c r="AO159" s="38">
        <f>Inputs!$B$27*(1+Inputs!$B$28)^($A159/12)*IF(Inputs!$B$71=1,$G159,1)*(1-Inputs!$C$71*$H159*(1-Inputs!$E$54*Inputs!$B$71))*(1+$I159)*IF(Inputs!$B$29=0,1,(MAX(AR158,0)/Inputs!$B$6)^Inputs!$B$29)</f>
        <v>24340.595242409989</v>
      </c>
      <c r="AP159" s="38">
        <f>Inputs!$B$32*AR158/Inputs!$B$6</f>
        <v>0</v>
      </c>
      <c r="AQ159" s="38">
        <f>Inputs!$B$33</f>
        <v>2500</v>
      </c>
      <c r="AR159" s="38">
        <f t="shared" si="111"/>
        <v>0</v>
      </c>
      <c r="AS159" s="38">
        <f t="shared" si="112"/>
        <v>0</v>
      </c>
      <c r="AT159" s="38">
        <f>Inputs!$B$19*(1-Inputs!$C$71*$H159)+Inputs!$B$21+Inputs!$B$71*$J159</f>
        <v>601000</v>
      </c>
      <c r="AU159" s="38">
        <f t="shared" si="113"/>
        <v>-601000</v>
      </c>
      <c r="AV159" s="38">
        <f t="shared" si="114"/>
        <v>1</v>
      </c>
      <c r="AW159" s="38">
        <f>MAX(0,MIN(Inputs!$C$36,BB158,AX159+AY159+AZ159+Inputs!$C$6-BA158))</f>
        <v>0</v>
      </c>
      <c r="AX159" s="38">
        <f>Inputs!$C$27*(1+Inputs!$C$28)^($A159/12)*IF(Inputs!$B$71=1,$G159,1)*(1-Inputs!$C$71*$H159*(1-Inputs!$E$54*Inputs!$B$71))*(1+$I159)*IF(Inputs!$C$29=0,1,(MAX(BA158,0)/Inputs!$C$6)^Inputs!$C$29)</f>
        <v>0</v>
      </c>
      <c r="AY159" s="38">
        <f>Inputs!$C$32*BA158/Inputs!$C$6</f>
        <v>0</v>
      </c>
      <c r="AZ159" s="38">
        <f>Inputs!$C$33</f>
        <v>2000</v>
      </c>
      <c r="BA159" s="38">
        <f t="shared" si="115"/>
        <v>0</v>
      </c>
      <c r="BB159" s="38">
        <f t="shared" si="116"/>
        <v>0</v>
      </c>
      <c r="BC159" s="38">
        <f>Inputs!$C$19*(1-Inputs!$C$71*$H159)+Inputs!$C$21+Inputs!$B$71*$J159</f>
        <v>501000</v>
      </c>
      <c r="BD159" s="38">
        <f t="shared" si="117"/>
        <v>-501000</v>
      </c>
      <c r="BE159" s="38">
        <f t="shared" si="118"/>
        <v>1</v>
      </c>
      <c r="BF159" s="38">
        <f>MAX(0,MIN(Inputs!$D$36,BK158,BG159+BH159+BI159+Inputs!$D$6-BJ158))</f>
        <v>0</v>
      </c>
      <c r="BG159" s="38">
        <f>Inputs!$D$27*(1+Inputs!$D$28)^($A159/12)*IF(Inputs!$B$71=1,$G159,1)*(1-Inputs!$C$71*$H159*(1-Inputs!$E$54*Inputs!$B$71))*(1+$I159)*IF(Inputs!$D$29=0,1,(MAX(BJ158,0)/Inputs!$D$6)^Inputs!$D$29)</f>
        <v>2156.8097775466599</v>
      </c>
      <c r="BH159" s="38">
        <f>Inputs!$D$32*BJ158/Inputs!$D$6</f>
        <v>968.30590520771568</v>
      </c>
      <c r="BI159" s="38">
        <f>Inputs!$D$33</f>
        <v>1500</v>
      </c>
      <c r="BJ159" s="38">
        <f t="shared" si="119"/>
        <v>198258.02636076696</v>
      </c>
      <c r="BK159" s="38">
        <f t="shared" si="120"/>
        <v>0</v>
      </c>
      <c r="BL159" s="38">
        <f>Inputs!$D$19*(1-Inputs!$C$71*$H159)+Inputs!$D$21+Inputs!$B$71*$J159</f>
        <v>410800</v>
      </c>
      <c r="BM159" s="38">
        <f t="shared" si="121"/>
        <v>-212541.97363923304</v>
      </c>
      <c r="BN159" s="38">
        <f t="shared" si="122"/>
        <v>1</v>
      </c>
      <c r="BO159" s="38">
        <f>MAX(0,MIN(Inputs!$B$36,BT158,BP159+BQ159+BR159+Inputs!$B$6-BS158))</f>
        <v>0</v>
      </c>
      <c r="BP159" s="38">
        <f>Inputs!$B$27*(1+Inputs!$B$28)^($A159/12)*IF(Inputs!$B$72=1,$G159,1)*(1-Inputs!$C$72*$H159*(1-Inputs!$E$54*Inputs!$B$72))*(1+$I159)*IF(Inputs!$B$29=0,1,(MAX(BS158,0)/Inputs!$B$6)^Inputs!$B$29)</f>
        <v>26007.603247311388</v>
      </c>
      <c r="BQ159" s="38">
        <f>Inputs!$B$32*BS158/Inputs!$B$6</f>
        <v>0</v>
      </c>
      <c r="BR159" s="38">
        <f>Inputs!$B$33</f>
        <v>2500</v>
      </c>
      <c r="BS159" s="38">
        <f t="shared" si="123"/>
        <v>0</v>
      </c>
      <c r="BT159" s="38">
        <f t="shared" si="124"/>
        <v>0</v>
      </c>
      <c r="BU159" s="38">
        <f>Inputs!$B$19*(1-Inputs!$C$72*$H159)+Inputs!$B$21+Inputs!$B$72*$J159</f>
        <v>577500</v>
      </c>
      <c r="BV159" s="38">
        <f t="shared" si="125"/>
        <v>-577500</v>
      </c>
      <c r="BW159" s="38">
        <f t="shared" si="126"/>
        <v>1</v>
      </c>
      <c r="BX159" s="38">
        <f>MAX(0,MIN(Inputs!$C$36,CC158,BY159+BZ159+CA159+Inputs!$C$6-CB158))</f>
        <v>0</v>
      </c>
      <c r="BY159" s="38">
        <f>Inputs!$C$27*(1+Inputs!$C$28)^($A159/12)*IF(Inputs!$B$72=1,$G159,1)*(1-Inputs!$C$72*$H159*(1-Inputs!$E$54*Inputs!$B$72))*(1+$I159)*IF(Inputs!$C$29=0,1,(MAX(CB158,0)/Inputs!$C$6)^Inputs!$C$29)</f>
        <v>0</v>
      </c>
      <c r="BZ159" s="38">
        <f>Inputs!$C$32*CB158/Inputs!$C$6</f>
        <v>0</v>
      </c>
      <c r="CA159" s="38">
        <f>Inputs!$C$33</f>
        <v>2000</v>
      </c>
      <c r="CB159" s="38">
        <f t="shared" si="127"/>
        <v>0</v>
      </c>
      <c r="CC159" s="38">
        <f t="shared" si="128"/>
        <v>0</v>
      </c>
      <c r="CD159" s="38">
        <f>Inputs!$C$19*(1-Inputs!$C$72*$H159)+Inputs!$C$21+Inputs!$B$72*$J159</f>
        <v>480000</v>
      </c>
      <c r="CE159" s="38">
        <f t="shared" si="129"/>
        <v>-480000</v>
      </c>
      <c r="CF159" s="38">
        <f t="shared" si="130"/>
        <v>1</v>
      </c>
      <c r="CG159" s="38">
        <f>MAX(0,MIN(Inputs!$D$36,CL158,CH159+CI159+CJ159+Inputs!$D$6-CK158))</f>
        <v>0</v>
      </c>
      <c r="CH159" s="38">
        <f>Inputs!$D$27*(1+Inputs!$D$28)^($A159/12)*IF(Inputs!$B$72=1,$G159,1)*(1-Inputs!$C$72*$H159*(1-Inputs!$E$54*Inputs!$B$72))*(1+$I159)*IF(Inputs!$D$29=0,1,(MAX(CK158,0)/Inputs!$D$6)^Inputs!$D$29)</f>
        <v>2122.5343810168843</v>
      </c>
      <c r="CI159" s="38">
        <f>Inputs!$D$32*CK158/Inputs!$D$6</f>
        <v>821.41019177774115</v>
      </c>
      <c r="CJ159" s="38">
        <f>Inputs!$D$33</f>
        <v>1500</v>
      </c>
      <c r="CK159" s="38">
        <f t="shared" si="131"/>
        <v>167661.04799016064</v>
      </c>
      <c r="CL159" s="38">
        <f t="shared" si="132"/>
        <v>0</v>
      </c>
      <c r="CM159" s="38">
        <f>Inputs!$D$19*(1-Inputs!$C$72*$H159)+Inputs!$D$21+Inputs!$B$72*$J159</f>
        <v>392150</v>
      </c>
      <c r="CN159" s="38">
        <f t="shared" si="133"/>
        <v>-224488.95200983936</v>
      </c>
      <c r="CO159" s="38">
        <f t="shared" si="134"/>
        <v>1</v>
      </c>
      <c r="CP159" s="38">
        <f>MAX(0,MIN(Inputs!$B$36,CU158,CQ159+CR159+CS159+Inputs!$B$6-CT158))</f>
        <v>0</v>
      </c>
      <c r="CQ159" s="38">
        <f>Inputs!$B$27*(1+Inputs!$B$28)^($A159/12)*IF(Inputs!$B$73=1,$G159,1)*(1-Inputs!$C$73*$H159*(1-Inputs!$E$54*Inputs!$B$73))*(1+$I159)*IF(Inputs!$B$29=0,1,(MAX(CT158,0)/Inputs!$B$6)^Inputs!$B$29)</f>
        <v>23123.56548028949</v>
      </c>
      <c r="CR159" s="38">
        <f>Inputs!$B$32*CT158/Inputs!$B$6</f>
        <v>0</v>
      </c>
      <c r="CS159" s="38">
        <f>Inputs!$B$33</f>
        <v>2500</v>
      </c>
      <c r="CT159" s="38">
        <f t="shared" si="135"/>
        <v>0</v>
      </c>
      <c r="CU159" s="38">
        <f t="shared" si="136"/>
        <v>0</v>
      </c>
      <c r="CV159" s="38">
        <f>Inputs!$B$19*(1-Inputs!$C$73*$H159)+Inputs!$B$21+Inputs!$B$73*$J159</f>
        <v>583500</v>
      </c>
      <c r="CW159" s="38">
        <f t="shared" si="137"/>
        <v>-583500</v>
      </c>
      <c r="CX159" s="38">
        <f t="shared" si="138"/>
        <v>1</v>
      </c>
      <c r="CY159" s="38">
        <f>MAX(0,MIN(Inputs!$C$36,DD158,CZ159+DA159+DB159+Inputs!$C$6-DC158))</f>
        <v>0</v>
      </c>
      <c r="CZ159" s="38">
        <f>Inputs!$C$27*(1+Inputs!$C$28)^($A159/12)*IF(Inputs!$B$73=1,$G159,1)*(1-Inputs!$C$73*$H159*(1-Inputs!$E$54*Inputs!$B$73))*(1+$I159)*IF(Inputs!$C$29=0,1,(MAX(DC158,0)/Inputs!$C$6)^Inputs!$C$29)</f>
        <v>0</v>
      </c>
      <c r="DA159" s="38">
        <f>Inputs!$C$32*DC158/Inputs!$C$6</f>
        <v>0</v>
      </c>
      <c r="DB159" s="38">
        <f>Inputs!$C$33</f>
        <v>2000</v>
      </c>
      <c r="DC159" s="38">
        <f t="shared" si="139"/>
        <v>0</v>
      </c>
      <c r="DD159" s="38">
        <f t="shared" si="140"/>
        <v>0</v>
      </c>
      <c r="DE159" s="38">
        <f>Inputs!$C$19*(1-Inputs!$C$73*$H159)+Inputs!$C$21+Inputs!$B$73*$J159</f>
        <v>486000</v>
      </c>
      <c r="DF159" s="38">
        <f t="shared" si="141"/>
        <v>-486000</v>
      </c>
      <c r="DG159" s="38">
        <f t="shared" si="142"/>
        <v>1</v>
      </c>
      <c r="DH159" s="38">
        <f>MAX(0,MIN(Inputs!$D$36,DM158,DI159+DJ159+DK159+Inputs!$D$6-DL158))</f>
        <v>0</v>
      </c>
      <c r="DI159" s="38">
        <f>Inputs!$D$27*(1+Inputs!$D$28)^($A159/12)*IF(Inputs!$B$73=1,$G159,1)*(1-Inputs!$C$73*$H159*(1-Inputs!$E$54*Inputs!$B$73))*(1+$I159)*IF(Inputs!$D$29=0,1,(MAX(DL158,0)/Inputs!$D$6)^Inputs!$D$29)</f>
        <v>2142.4529570761151</v>
      </c>
      <c r="DJ159" s="38">
        <f>Inputs!$D$32*DL158/Inputs!$D$6</f>
        <v>1058.6789350842141</v>
      </c>
      <c r="DK159" s="38">
        <f>Inputs!$D$33</f>
        <v>1500</v>
      </c>
      <c r="DL159" s="38">
        <f t="shared" si="143"/>
        <v>217117.31164929408</v>
      </c>
      <c r="DM159" s="38">
        <f t="shared" si="144"/>
        <v>0</v>
      </c>
      <c r="DN159" s="38">
        <f>Inputs!$D$19*(1-Inputs!$C$73*$H159)+Inputs!$D$21+Inputs!$B$73*$J159</f>
        <v>398150</v>
      </c>
      <c r="DO159" s="38">
        <f t="shared" si="145"/>
        <v>-181032.68835070592</v>
      </c>
      <c r="DP159" s="38">
        <f t="shared" si="146"/>
        <v>1</v>
      </c>
    </row>
    <row r="160" spans="1:120" x14ac:dyDescent="0.35">
      <c r="A160" s="29">
        <v>155</v>
      </c>
      <c r="B160" s="34">
        <f>EDATE(Inputs!$B$67,$A160)</f>
        <v>50983</v>
      </c>
      <c r="C160" s="35">
        <f>IF(Inputs!$E$47&lt;=0,Inputs!$E$46,Inputs!$E$44+(Inputs!$E$46-Inputs!$E$44)*MIN($A160/Inputs!$E$47,1))</f>
        <v>0.7</v>
      </c>
      <c r="D160" s="35">
        <f>MIN(Inputs!$E$57,Inputs!$E$55*(1+Inputs!$E$56)^($A160/12))*Inputs!$E$58*(1+Inputs!$E$59)^($A160/12)/Inputs!$E$45</f>
        <v>1.5</v>
      </c>
      <c r="E160" s="35">
        <f>MAX(Inputs!$E$44,MIN(C160,D160))</f>
        <v>0.7</v>
      </c>
      <c r="F160" s="35">
        <f>IF(Inputs!$E$50&lt;=0,Inputs!$E$49,Inputs!$E$48+(Inputs!$E$49-Inputs!$E$48)*MIN($A160/Inputs!$E$50,1))</f>
        <v>0.12</v>
      </c>
      <c r="G160" s="36">
        <f>(Inputs!$E$41*(1-E160*Inputs!$E$51)+Inputs!$E$42*(1-F160*Inputs!$E$51))/(Inputs!$E$41*(1-Inputs!$E$44*Inputs!$E$51)+Inputs!$E$42*(1-Inputs!$E$48*Inputs!$E$51))</f>
        <v>0.8423127463863338</v>
      </c>
      <c r="H160" s="35">
        <f>IF(Inputs!$E$53&lt;=0,Inputs!$E$52,Inputs!$E$52*MIN($A160/Inputs!$E$53,1))</f>
        <v>0.1</v>
      </c>
      <c r="I160" s="35">
        <f>IF(Inputs!$E$64&lt;=0,Inputs!$E$63,Inputs!$E$62+(Inputs!$E$63-Inputs!$E$62)*MIN($A160/Inputs!$E$64,1))</f>
        <v>0.03</v>
      </c>
      <c r="J160" s="37">
        <f>(E160-Inputs!$E$44)*Inputs!$E$45/Inputs!$E$60*Inputs!$E$61</f>
        <v>5999.9999999999991</v>
      </c>
      <c r="K160" s="29">
        <f t="shared" si="98"/>
        <v>0</v>
      </c>
      <c r="L160" s="29"/>
      <c r="M160" s="38">
        <f>MAX(0,MIN(Inputs!$B$36,R159,N160+O160+P160+Inputs!$B$6-Q159))</f>
        <v>0</v>
      </c>
      <c r="N160" s="38">
        <f>Inputs!$B$27*(1+Inputs!$B$28)^($A160/12)*IF(Inputs!$B$70=1,$G160,1)*(1-Inputs!$C$70*$H160*(1-Inputs!$E$54*Inputs!$B$70))*(1+$I160)*IF(Inputs!$B$29=0,1,(MAX(Q159,0)/Inputs!$B$6)^Inputs!$B$29)</f>
        <v>29015.068269174386</v>
      </c>
      <c r="O160" s="38">
        <f>Inputs!$B$32*Q159/Inputs!$B$6</f>
        <v>0</v>
      </c>
      <c r="P160" s="38">
        <f>Inputs!$B$33</f>
        <v>2500</v>
      </c>
      <c r="Q160" s="38">
        <f t="shared" si="99"/>
        <v>0</v>
      </c>
      <c r="R160" s="38">
        <f t="shared" si="100"/>
        <v>0</v>
      </c>
      <c r="S160" s="38">
        <f>Inputs!$B$19*(1-Inputs!$C$70*$H160)+Inputs!$B$21+Inputs!$B$70*$J160</f>
        <v>595000</v>
      </c>
      <c r="T160" s="38">
        <f t="shared" si="101"/>
        <v>-595000</v>
      </c>
      <c r="U160" s="38">
        <f t="shared" si="102"/>
        <v>1</v>
      </c>
      <c r="V160" s="38">
        <f>MAX(0,MIN(Inputs!$C$36,AA159,W160+X160+Y160+Inputs!$C$6-Z159))</f>
        <v>0</v>
      </c>
      <c r="W160" s="38">
        <f>Inputs!$C$27*(1+Inputs!$C$28)^($A160/12)*IF(Inputs!$B$70=1,$G160,1)*(1-Inputs!$C$70*$H160*(1-Inputs!$E$54*Inputs!$B$70))*(1+$I160)*IF(Inputs!$C$29=0,1,(MAX(Z159,0)/Inputs!$C$6)^Inputs!$C$29)</f>
        <v>0</v>
      </c>
      <c r="X160" s="38">
        <f>Inputs!$C$32*Z159/Inputs!$C$6</f>
        <v>0</v>
      </c>
      <c r="Y160" s="38">
        <f>Inputs!$C$33</f>
        <v>2000</v>
      </c>
      <c r="Z160" s="38">
        <f t="shared" si="103"/>
        <v>0</v>
      </c>
      <c r="AA160" s="38">
        <f t="shared" si="104"/>
        <v>0</v>
      </c>
      <c r="AB160" s="38">
        <f>Inputs!$C$19*(1-Inputs!$C$70*$H160)+Inputs!$C$21+Inputs!$B$70*$J160</f>
        <v>495000</v>
      </c>
      <c r="AC160" s="38">
        <f t="shared" si="105"/>
        <v>-495000</v>
      </c>
      <c r="AD160" s="38">
        <f t="shared" si="106"/>
        <v>1</v>
      </c>
      <c r="AE160" s="38">
        <f>MAX(0,MIN(Inputs!$D$36,AJ159,AF160+AG160+AH160+Inputs!$D$6-AI159))</f>
        <v>0</v>
      </c>
      <c r="AF160" s="38">
        <f>Inputs!$D$27*(1+Inputs!$D$28)^($A160/12)*IF(Inputs!$B$70=1,$G160,1)*(1-Inputs!$C$70*$H160*(1-Inputs!$E$54*Inputs!$B$70))*(1+$I160)*IF(Inputs!$D$29=0,1,(MAX(AI159,0)/Inputs!$D$6)^Inputs!$D$29)</f>
        <v>2032.6545124406921</v>
      </c>
      <c r="AG160" s="38">
        <f>Inputs!$D$32*AI159/Inputs!$D$6</f>
        <v>615.42552944684326</v>
      </c>
      <c r="AH160" s="38">
        <f>Inputs!$D$33</f>
        <v>1500</v>
      </c>
      <c r="AI160" s="38">
        <f t="shared" si="107"/>
        <v>124798.22136602247</v>
      </c>
      <c r="AJ160" s="38">
        <f t="shared" si="108"/>
        <v>0</v>
      </c>
      <c r="AK160" s="38">
        <f>Inputs!$D$19*(1-Inputs!$C$70*$H160)+Inputs!$D$21+Inputs!$B$70*$J160</f>
        <v>404800</v>
      </c>
      <c r="AL160" s="38">
        <f t="shared" si="109"/>
        <v>-280001.77863397752</v>
      </c>
      <c r="AM160" s="38">
        <f t="shared" si="110"/>
        <v>1</v>
      </c>
      <c r="AN160" s="38">
        <f>MAX(0,MIN(Inputs!$B$36,AS159,AO160+AP160+AQ160+Inputs!$B$6-AR159))</f>
        <v>0</v>
      </c>
      <c r="AO160" s="38">
        <f>Inputs!$B$27*(1+Inputs!$B$28)^($A160/12)*IF(Inputs!$B$71=1,$G160,1)*(1-Inputs!$C$71*$H160*(1-Inputs!$E$54*Inputs!$B$71))*(1+$I160)*IF(Inputs!$B$29=0,1,(MAX(AR159,0)/Inputs!$B$6)^Inputs!$B$29)</f>
        <v>24439.761840395244</v>
      </c>
      <c r="AP160" s="38">
        <f>Inputs!$B$32*AR159/Inputs!$B$6</f>
        <v>0</v>
      </c>
      <c r="AQ160" s="38">
        <f>Inputs!$B$33</f>
        <v>2500</v>
      </c>
      <c r="AR160" s="38">
        <f t="shared" si="111"/>
        <v>0</v>
      </c>
      <c r="AS160" s="38">
        <f t="shared" si="112"/>
        <v>0</v>
      </c>
      <c r="AT160" s="38">
        <f>Inputs!$B$19*(1-Inputs!$C$71*$H160)+Inputs!$B$21+Inputs!$B$71*$J160</f>
        <v>601000</v>
      </c>
      <c r="AU160" s="38">
        <f t="shared" si="113"/>
        <v>-601000</v>
      </c>
      <c r="AV160" s="38">
        <f t="shared" si="114"/>
        <v>1</v>
      </c>
      <c r="AW160" s="38">
        <f>MAX(0,MIN(Inputs!$C$36,BB159,AX160+AY160+AZ160+Inputs!$C$6-BA159))</f>
        <v>0</v>
      </c>
      <c r="AX160" s="38">
        <f>Inputs!$C$27*(1+Inputs!$C$28)^($A160/12)*IF(Inputs!$B$71=1,$G160,1)*(1-Inputs!$C$71*$H160*(1-Inputs!$E$54*Inputs!$B$71))*(1+$I160)*IF(Inputs!$C$29=0,1,(MAX(BA159,0)/Inputs!$C$6)^Inputs!$C$29)</f>
        <v>0</v>
      </c>
      <c r="AY160" s="38">
        <f>Inputs!$C$32*BA159/Inputs!$C$6</f>
        <v>0</v>
      </c>
      <c r="AZ160" s="38">
        <f>Inputs!$C$33</f>
        <v>2000</v>
      </c>
      <c r="BA160" s="38">
        <f t="shared" si="115"/>
        <v>0</v>
      </c>
      <c r="BB160" s="38">
        <f t="shared" si="116"/>
        <v>0</v>
      </c>
      <c r="BC160" s="38">
        <f>Inputs!$C$19*(1-Inputs!$C$71*$H160)+Inputs!$C$21+Inputs!$B$71*$J160</f>
        <v>501000</v>
      </c>
      <c r="BD160" s="38">
        <f t="shared" si="117"/>
        <v>-501000</v>
      </c>
      <c r="BE160" s="38">
        <f t="shared" si="118"/>
        <v>1</v>
      </c>
      <c r="BF160" s="38">
        <f>MAX(0,MIN(Inputs!$D$36,BK159,BG160+BH160+BI160+Inputs!$D$6-BJ159))</f>
        <v>0</v>
      </c>
      <c r="BG160" s="38">
        <f>Inputs!$D$27*(1+Inputs!$D$28)^($A160/12)*IF(Inputs!$B$71=1,$G160,1)*(1-Inputs!$C$71*$H160*(1-Inputs!$E$54*Inputs!$B$71))*(1+$I160)*IF(Inputs!$D$29=0,1,(MAX(BJ159,0)/Inputs!$D$6)^Inputs!$D$29)</f>
        <v>2122.9896925930757</v>
      </c>
      <c r="BH160" s="38">
        <f>Inputs!$D$32*BJ159/Inputs!$D$6</f>
        <v>946.23148944911509</v>
      </c>
      <c r="BI160" s="38">
        <f>Inputs!$D$33</f>
        <v>1500</v>
      </c>
      <c r="BJ160" s="38">
        <f t="shared" si="119"/>
        <v>193688.80517872475</v>
      </c>
      <c r="BK160" s="38">
        <f t="shared" si="120"/>
        <v>0</v>
      </c>
      <c r="BL160" s="38">
        <f>Inputs!$D$19*(1-Inputs!$C$71*$H160)+Inputs!$D$21+Inputs!$B$71*$J160</f>
        <v>410800</v>
      </c>
      <c r="BM160" s="38">
        <f t="shared" si="121"/>
        <v>-217111.19482127525</v>
      </c>
      <c r="BN160" s="38">
        <f t="shared" si="122"/>
        <v>1</v>
      </c>
      <c r="BO160" s="38">
        <f>MAX(0,MIN(Inputs!$B$36,BT159,BP160+BQ160+BR160+Inputs!$B$6-BS159))</f>
        <v>0</v>
      </c>
      <c r="BP160" s="38">
        <f>Inputs!$B$27*(1+Inputs!$B$28)^($A160/12)*IF(Inputs!$B$72=1,$G160,1)*(1-Inputs!$C$72*$H160*(1-Inputs!$E$54*Inputs!$B$72))*(1+$I160)*IF(Inputs!$B$29=0,1,(MAX(BS159,0)/Inputs!$B$6)^Inputs!$B$29)</f>
        <v>26113.561442256949</v>
      </c>
      <c r="BQ160" s="38">
        <f>Inputs!$B$32*BS159/Inputs!$B$6</f>
        <v>0</v>
      </c>
      <c r="BR160" s="38">
        <f>Inputs!$B$33</f>
        <v>2500</v>
      </c>
      <c r="BS160" s="38">
        <f t="shared" si="123"/>
        <v>0</v>
      </c>
      <c r="BT160" s="38">
        <f t="shared" si="124"/>
        <v>0</v>
      </c>
      <c r="BU160" s="38">
        <f>Inputs!$B$19*(1-Inputs!$C$72*$H160)+Inputs!$B$21+Inputs!$B$72*$J160</f>
        <v>577500</v>
      </c>
      <c r="BV160" s="38">
        <f t="shared" si="125"/>
        <v>-577500</v>
      </c>
      <c r="BW160" s="38">
        <f t="shared" si="126"/>
        <v>1</v>
      </c>
      <c r="BX160" s="38">
        <f>MAX(0,MIN(Inputs!$C$36,CC159,BY160+BZ160+CA160+Inputs!$C$6-CB159))</f>
        <v>0</v>
      </c>
      <c r="BY160" s="38">
        <f>Inputs!$C$27*(1+Inputs!$C$28)^($A160/12)*IF(Inputs!$B$72=1,$G160,1)*(1-Inputs!$C$72*$H160*(1-Inputs!$E$54*Inputs!$B$72))*(1+$I160)*IF(Inputs!$C$29=0,1,(MAX(CB159,0)/Inputs!$C$6)^Inputs!$C$29)</f>
        <v>0</v>
      </c>
      <c r="BZ160" s="38">
        <f>Inputs!$C$32*CB159/Inputs!$C$6</f>
        <v>0</v>
      </c>
      <c r="CA160" s="38">
        <f>Inputs!$C$33</f>
        <v>2000</v>
      </c>
      <c r="CB160" s="38">
        <f t="shared" si="127"/>
        <v>0</v>
      </c>
      <c r="CC160" s="38">
        <f t="shared" si="128"/>
        <v>0</v>
      </c>
      <c r="CD160" s="38">
        <f>Inputs!$C$19*(1-Inputs!$C$72*$H160)+Inputs!$C$21+Inputs!$B$72*$J160</f>
        <v>480000</v>
      </c>
      <c r="CE160" s="38">
        <f t="shared" si="129"/>
        <v>-480000</v>
      </c>
      <c r="CF160" s="38">
        <f t="shared" si="130"/>
        <v>1</v>
      </c>
      <c r="CG160" s="38">
        <f>MAX(0,MIN(Inputs!$D$36,CL159,CH160+CI160+CJ160+Inputs!$D$6-CK159))</f>
        <v>0</v>
      </c>
      <c r="CH160" s="38">
        <f>Inputs!$D$27*(1+Inputs!$D$28)^($A160/12)*IF(Inputs!$B$72=1,$G160,1)*(1-Inputs!$C$72*$H160*(1-Inputs!$E$54*Inputs!$B$72))*(1+$I160)*IF(Inputs!$D$29=0,1,(MAX(CK159,0)/Inputs!$D$6)^Inputs!$D$29)</f>
        <v>2086.0164134685092</v>
      </c>
      <c r="CI160" s="38">
        <f>Inputs!$D$32*CK159/Inputs!$D$6</f>
        <v>800.20045631667574</v>
      </c>
      <c r="CJ160" s="38">
        <f>Inputs!$D$33</f>
        <v>1500</v>
      </c>
      <c r="CK160" s="38">
        <f t="shared" si="131"/>
        <v>163274.83112037546</v>
      </c>
      <c r="CL160" s="38">
        <f t="shared" si="132"/>
        <v>0</v>
      </c>
      <c r="CM160" s="38">
        <f>Inputs!$D$19*(1-Inputs!$C$72*$H160)+Inputs!$D$21+Inputs!$B$72*$J160</f>
        <v>392150</v>
      </c>
      <c r="CN160" s="38">
        <f t="shared" si="133"/>
        <v>-228875.16887962454</v>
      </c>
      <c r="CO160" s="38">
        <f t="shared" si="134"/>
        <v>1</v>
      </c>
      <c r="CP160" s="38">
        <f>MAX(0,MIN(Inputs!$B$36,CU159,CQ160+CR160+CS160+Inputs!$B$6-CT159))</f>
        <v>0</v>
      </c>
      <c r="CQ160" s="38">
        <f>Inputs!$B$27*(1+Inputs!$B$28)^($A160/12)*IF(Inputs!$B$73=1,$G160,1)*(1-Inputs!$C$73*$H160*(1-Inputs!$E$54*Inputs!$B$73))*(1+$I160)*IF(Inputs!$B$29=0,1,(MAX(CT159,0)/Inputs!$B$6)^Inputs!$B$29)</f>
        <v>23217.773748375479</v>
      </c>
      <c r="CR160" s="38">
        <f>Inputs!$B$32*CT159/Inputs!$B$6</f>
        <v>0</v>
      </c>
      <c r="CS160" s="38">
        <f>Inputs!$B$33</f>
        <v>2500</v>
      </c>
      <c r="CT160" s="38">
        <f t="shared" si="135"/>
        <v>0</v>
      </c>
      <c r="CU160" s="38">
        <f t="shared" si="136"/>
        <v>0</v>
      </c>
      <c r="CV160" s="38">
        <f>Inputs!$B$19*(1-Inputs!$C$73*$H160)+Inputs!$B$21+Inputs!$B$73*$J160</f>
        <v>583500</v>
      </c>
      <c r="CW160" s="38">
        <f t="shared" si="137"/>
        <v>-583500</v>
      </c>
      <c r="CX160" s="38">
        <f t="shared" si="138"/>
        <v>1</v>
      </c>
      <c r="CY160" s="38">
        <f>MAX(0,MIN(Inputs!$C$36,DD159,CZ160+DA160+DB160+Inputs!$C$6-DC159))</f>
        <v>0</v>
      </c>
      <c r="CZ160" s="38">
        <f>Inputs!$C$27*(1+Inputs!$C$28)^($A160/12)*IF(Inputs!$B$73=1,$G160,1)*(1-Inputs!$C$73*$H160*(1-Inputs!$E$54*Inputs!$B$73))*(1+$I160)*IF(Inputs!$C$29=0,1,(MAX(DC159,0)/Inputs!$C$6)^Inputs!$C$29)</f>
        <v>0</v>
      </c>
      <c r="DA160" s="38">
        <f>Inputs!$C$32*DC159/Inputs!$C$6</f>
        <v>0</v>
      </c>
      <c r="DB160" s="38">
        <f>Inputs!$C$33</f>
        <v>2000</v>
      </c>
      <c r="DC160" s="38">
        <f t="shared" si="139"/>
        <v>0</v>
      </c>
      <c r="DD160" s="38">
        <f t="shared" si="140"/>
        <v>0</v>
      </c>
      <c r="DE160" s="38">
        <f>Inputs!$C$19*(1-Inputs!$C$73*$H160)+Inputs!$C$21+Inputs!$B$73*$J160</f>
        <v>486000</v>
      </c>
      <c r="DF160" s="38">
        <f t="shared" si="141"/>
        <v>-486000</v>
      </c>
      <c r="DG160" s="38">
        <f t="shared" si="142"/>
        <v>1</v>
      </c>
      <c r="DH160" s="38">
        <f>MAX(0,MIN(Inputs!$D$36,DM159,DI160+DJ160+DK160+Inputs!$D$6-DL159))</f>
        <v>0</v>
      </c>
      <c r="DI160" s="38">
        <f>Inputs!$D$27*(1+Inputs!$D$28)^($A160/12)*IF(Inputs!$B$73=1,$G160,1)*(1-Inputs!$C$73*$H160*(1-Inputs!$E$54*Inputs!$B$73))*(1+$I160)*IF(Inputs!$D$29=0,1,(MAX(DL159,0)/Inputs!$D$6)^Inputs!$D$29)</f>
        <v>2110.587336752244</v>
      </c>
      <c r="DJ160" s="38">
        <f>Inputs!$D$32*DL159/Inputs!$D$6</f>
        <v>1036.2417146898126</v>
      </c>
      <c r="DK160" s="38">
        <f>Inputs!$D$33</f>
        <v>1500</v>
      </c>
      <c r="DL160" s="38">
        <f t="shared" si="143"/>
        <v>212470.48259785201</v>
      </c>
      <c r="DM160" s="38">
        <f t="shared" si="144"/>
        <v>0</v>
      </c>
      <c r="DN160" s="38">
        <f>Inputs!$D$19*(1-Inputs!$C$73*$H160)+Inputs!$D$21+Inputs!$B$73*$J160</f>
        <v>398150</v>
      </c>
      <c r="DO160" s="38">
        <f t="shared" si="145"/>
        <v>-185679.51740214799</v>
      </c>
      <c r="DP160" s="38">
        <f t="shared" si="146"/>
        <v>1</v>
      </c>
    </row>
    <row r="161" spans="1:120" x14ac:dyDescent="0.35">
      <c r="A161" s="29">
        <v>156</v>
      </c>
      <c r="B161" s="34">
        <f>EDATE(Inputs!$B$67,$A161)</f>
        <v>51014</v>
      </c>
      <c r="C161" s="35">
        <f>IF(Inputs!$E$47&lt;=0,Inputs!$E$46,Inputs!$E$44+(Inputs!$E$46-Inputs!$E$44)*MIN($A161/Inputs!$E$47,1))</f>
        <v>0.7</v>
      </c>
      <c r="D161" s="35">
        <f>MIN(Inputs!$E$57,Inputs!$E$55*(1+Inputs!$E$56)^($A161/12))*Inputs!$E$58*(1+Inputs!$E$59)^($A161/12)/Inputs!$E$45</f>
        <v>1.5</v>
      </c>
      <c r="E161" s="35">
        <f>MAX(Inputs!$E$44,MIN(C161,D161))</f>
        <v>0.7</v>
      </c>
      <c r="F161" s="35">
        <f>IF(Inputs!$E$50&lt;=0,Inputs!$E$49,Inputs!$E$48+(Inputs!$E$49-Inputs!$E$48)*MIN($A161/Inputs!$E$50,1))</f>
        <v>0.12</v>
      </c>
      <c r="G161" s="36">
        <f>(Inputs!$E$41*(1-E161*Inputs!$E$51)+Inputs!$E$42*(1-F161*Inputs!$E$51))/(Inputs!$E$41*(1-Inputs!$E$44*Inputs!$E$51)+Inputs!$E$42*(1-Inputs!$E$48*Inputs!$E$51))</f>
        <v>0.8423127463863338</v>
      </c>
      <c r="H161" s="35">
        <f>IF(Inputs!$E$53&lt;=0,Inputs!$E$52,Inputs!$E$52*MIN($A161/Inputs!$E$53,1))</f>
        <v>0.1</v>
      </c>
      <c r="I161" s="35">
        <f>IF(Inputs!$E$64&lt;=0,Inputs!$E$63,Inputs!$E$62+(Inputs!$E$63-Inputs!$E$62)*MIN($A161/Inputs!$E$64,1))</f>
        <v>0.03</v>
      </c>
      <c r="J161" s="37">
        <f>(E161-Inputs!$E$44)*Inputs!$E$45/Inputs!$E$60*Inputs!$E$61</f>
        <v>5999.9999999999991</v>
      </c>
      <c r="K161" s="29">
        <f t="shared" si="98"/>
        <v>0</v>
      </c>
      <c r="L161" s="29"/>
      <c r="M161" s="38">
        <f>MAX(0,MIN(Inputs!$B$36,R160,N161+O161+P161+Inputs!$B$6-Q160))</f>
        <v>0</v>
      </c>
      <c r="N161" s="38">
        <f>Inputs!$B$27*(1+Inputs!$B$28)^($A161/12)*IF(Inputs!$B$70=1,$G161,1)*(1-Inputs!$C$70*$H161*(1-Inputs!$E$54*Inputs!$B$70))*(1+$I161)*IF(Inputs!$B$29=0,1,(MAX(Q160,0)/Inputs!$B$6)^Inputs!$B$29)</f>
        <v>29133.279248893996</v>
      </c>
      <c r="O161" s="38">
        <f>Inputs!$B$32*Q160/Inputs!$B$6</f>
        <v>0</v>
      </c>
      <c r="P161" s="38">
        <f>Inputs!$B$33</f>
        <v>2500</v>
      </c>
      <c r="Q161" s="38">
        <f t="shared" si="99"/>
        <v>0</v>
      </c>
      <c r="R161" s="38">
        <f t="shared" si="100"/>
        <v>0</v>
      </c>
      <c r="S161" s="38">
        <f>Inputs!$B$19*(1-Inputs!$C$70*$H161)+Inputs!$B$21+Inputs!$B$70*$J161</f>
        <v>595000</v>
      </c>
      <c r="T161" s="38">
        <f t="shared" si="101"/>
        <v>-595000</v>
      </c>
      <c r="U161" s="38">
        <f t="shared" si="102"/>
        <v>1</v>
      </c>
      <c r="V161" s="38">
        <f>MAX(0,MIN(Inputs!$C$36,AA160,W161+X161+Y161+Inputs!$C$6-Z160))</f>
        <v>0</v>
      </c>
      <c r="W161" s="38">
        <f>Inputs!$C$27*(1+Inputs!$C$28)^($A161/12)*IF(Inputs!$B$70=1,$G161,1)*(1-Inputs!$C$70*$H161*(1-Inputs!$E$54*Inputs!$B$70))*(1+$I161)*IF(Inputs!$C$29=0,1,(MAX(Z160,0)/Inputs!$C$6)^Inputs!$C$29)</f>
        <v>0</v>
      </c>
      <c r="X161" s="38">
        <f>Inputs!$C$32*Z160/Inputs!$C$6</f>
        <v>0</v>
      </c>
      <c r="Y161" s="38">
        <f>Inputs!$C$33</f>
        <v>2000</v>
      </c>
      <c r="Z161" s="38">
        <f t="shared" si="103"/>
        <v>0</v>
      </c>
      <c r="AA161" s="38">
        <f t="shared" si="104"/>
        <v>0</v>
      </c>
      <c r="AB161" s="38">
        <f>Inputs!$C$19*(1-Inputs!$C$70*$H161)+Inputs!$C$21+Inputs!$B$70*$J161</f>
        <v>495000</v>
      </c>
      <c r="AC161" s="38">
        <f t="shared" si="105"/>
        <v>-495000</v>
      </c>
      <c r="AD161" s="38">
        <f t="shared" si="106"/>
        <v>1</v>
      </c>
      <c r="AE161" s="38">
        <f>MAX(0,MIN(Inputs!$D$36,AJ160,AF161+AG161+AH161+Inputs!$D$6-AI160))</f>
        <v>0</v>
      </c>
      <c r="AF161" s="38">
        <f>Inputs!$D$27*(1+Inputs!$D$28)^($A161/12)*IF(Inputs!$B$70=1,$G161,1)*(1-Inputs!$C$70*$H161*(1-Inputs!$E$54*Inputs!$B$70))*(1+$I161)*IF(Inputs!$D$29=0,1,(MAX(AI160,0)/Inputs!$D$6)^Inputs!$D$29)</f>
        <v>1991.1636497204195</v>
      </c>
      <c r="AG161" s="38">
        <f>Inputs!$D$32*AI160/Inputs!$D$6</f>
        <v>595.62787470147089</v>
      </c>
      <c r="AH161" s="38">
        <f>Inputs!$D$33</f>
        <v>1500</v>
      </c>
      <c r="AI161" s="38">
        <f t="shared" si="107"/>
        <v>120711.42984160058</v>
      </c>
      <c r="AJ161" s="38">
        <f t="shared" si="108"/>
        <v>0</v>
      </c>
      <c r="AK161" s="38">
        <f>Inputs!$D$19*(1-Inputs!$C$70*$H161)+Inputs!$D$21+Inputs!$B$70*$J161</f>
        <v>404800</v>
      </c>
      <c r="AL161" s="38">
        <f t="shared" si="109"/>
        <v>-284088.57015839941</v>
      </c>
      <c r="AM161" s="38">
        <f t="shared" si="110"/>
        <v>1</v>
      </c>
      <c r="AN161" s="38">
        <f>MAX(0,MIN(Inputs!$B$36,AS160,AO161+AP161+AQ161+Inputs!$B$6-AR160))</f>
        <v>0</v>
      </c>
      <c r="AO161" s="38">
        <f>Inputs!$B$27*(1+Inputs!$B$28)^($A161/12)*IF(Inputs!$B$71=1,$G161,1)*(1-Inputs!$C$71*$H161*(1-Inputs!$E$54*Inputs!$B$71))*(1+$I161)*IF(Inputs!$B$29=0,1,(MAX(AR160,0)/Inputs!$B$6)^Inputs!$B$29)</f>
        <v>24539.33245537589</v>
      </c>
      <c r="AP161" s="38">
        <f>Inputs!$B$32*AR160/Inputs!$B$6</f>
        <v>0</v>
      </c>
      <c r="AQ161" s="38">
        <f>Inputs!$B$33</f>
        <v>2500</v>
      </c>
      <c r="AR161" s="38">
        <f t="shared" si="111"/>
        <v>0</v>
      </c>
      <c r="AS161" s="38">
        <f t="shared" si="112"/>
        <v>0</v>
      </c>
      <c r="AT161" s="38">
        <f>Inputs!$B$19*(1-Inputs!$C$71*$H161)+Inputs!$B$21+Inputs!$B$71*$J161</f>
        <v>601000</v>
      </c>
      <c r="AU161" s="38">
        <f t="shared" si="113"/>
        <v>-601000</v>
      </c>
      <c r="AV161" s="38">
        <f t="shared" si="114"/>
        <v>1</v>
      </c>
      <c r="AW161" s="38">
        <f>MAX(0,MIN(Inputs!$C$36,BB160,AX161+AY161+AZ161+Inputs!$C$6-BA160))</f>
        <v>0</v>
      </c>
      <c r="AX161" s="38">
        <f>Inputs!$C$27*(1+Inputs!$C$28)^($A161/12)*IF(Inputs!$B$71=1,$G161,1)*(1-Inputs!$C$71*$H161*(1-Inputs!$E$54*Inputs!$B$71))*(1+$I161)*IF(Inputs!$C$29=0,1,(MAX(BA160,0)/Inputs!$C$6)^Inputs!$C$29)</f>
        <v>0</v>
      </c>
      <c r="AY161" s="38">
        <f>Inputs!$C$32*BA160/Inputs!$C$6</f>
        <v>0</v>
      </c>
      <c r="AZ161" s="38">
        <f>Inputs!$C$33</f>
        <v>2000</v>
      </c>
      <c r="BA161" s="38">
        <f t="shared" si="115"/>
        <v>0</v>
      </c>
      <c r="BB161" s="38">
        <f t="shared" si="116"/>
        <v>0</v>
      </c>
      <c r="BC161" s="38">
        <f>Inputs!$C$19*(1-Inputs!$C$71*$H161)+Inputs!$C$21+Inputs!$B$71*$J161</f>
        <v>501000</v>
      </c>
      <c r="BD161" s="38">
        <f t="shared" si="117"/>
        <v>-501000</v>
      </c>
      <c r="BE161" s="38">
        <f t="shared" si="118"/>
        <v>1</v>
      </c>
      <c r="BF161" s="38">
        <f>MAX(0,MIN(Inputs!$D$36,BK160,BG161+BH161+BI161+Inputs!$D$6-BJ160))</f>
        <v>0</v>
      </c>
      <c r="BG161" s="38">
        <f>Inputs!$D$27*(1+Inputs!$D$28)^($A161/12)*IF(Inputs!$B$71=1,$G161,1)*(1-Inputs!$C$71*$H161*(1-Inputs!$E$54*Inputs!$B$71))*(1+$I161)*IF(Inputs!$D$29=0,1,(MAX(BJ160,0)/Inputs!$D$6)^Inputs!$D$29)</f>
        <v>2089.4327143088271</v>
      </c>
      <c r="BH161" s="38">
        <f>Inputs!$D$32*BJ160/Inputs!$D$6</f>
        <v>924.42384289845904</v>
      </c>
      <c r="BI161" s="38">
        <f>Inputs!$D$33</f>
        <v>1500</v>
      </c>
      <c r="BJ161" s="38">
        <f t="shared" si="119"/>
        <v>189174.94862151748</v>
      </c>
      <c r="BK161" s="38">
        <f t="shared" si="120"/>
        <v>0</v>
      </c>
      <c r="BL161" s="38">
        <f>Inputs!$D$19*(1-Inputs!$C$71*$H161)+Inputs!$D$21+Inputs!$B$71*$J161</f>
        <v>410800</v>
      </c>
      <c r="BM161" s="38">
        <f t="shared" si="121"/>
        <v>-221625.05137848252</v>
      </c>
      <c r="BN161" s="38">
        <f t="shared" si="122"/>
        <v>1</v>
      </c>
      <c r="BO161" s="38">
        <f>MAX(0,MIN(Inputs!$B$36,BT160,BP161+BQ161+BR161+Inputs!$B$6-BS160))</f>
        <v>0</v>
      </c>
      <c r="BP161" s="38">
        <f>Inputs!$B$27*(1+Inputs!$B$28)^($A161/12)*IF(Inputs!$B$72=1,$G161,1)*(1-Inputs!$C$72*$H161*(1-Inputs!$E$54*Inputs!$B$72))*(1+$I161)*IF(Inputs!$B$29=0,1,(MAX(BS160,0)/Inputs!$B$6)^Inputs!$B$29)</f>
        <v>26219.951324004596</v>
      </c>
      <c r="BQ161" s="38">
        <f>Inputs!$B$32*BS160/Inputs!$B$6</f>
        <v>0</v>
      </c>
      <c r="BR161" s="38">
        <f>Inputs!$B$33</f>
        <v>2500</v>
      </c>
      <c r="BS161" s="38">
        <f t="shared" si="123"/>
        <v>0</v>
      </c>
      <c r="BT161" s="38">
        <f t="shared" si="124"/>
        <v>0</v>
      </c>
      <c r="BU161" s="38">
        <f>Inputs!$B$19*(1-Inputs!$C$72*$H161)+Inputs!$B$21+Inputs!$B$72*$J161</f>
        <v>577500</v>
      </c>
      <c r="BV161" s="38">
        <f t="shared" si="125"/>
        <v>-577500</v>
      </c>
      <c r="BW161" s="38">
        <f t="shared" si="126"/>
        <v>1</v>
      </c>
      <c r="BX161" s="38">
        <f>MAX(0,MIN(Inputs!$C$36,CC160,BY161+BZ161+CA161+Inputs!$C$6-CB160))</f>
        <v>0</v>
      </c>
      <c r="BY161" s="38">
        <f>Inputs!$C$27*(1+Inputs!$C$28)^($A161/12)*IF(Inputs!$B$72=1,$G161,1)*(1-Inputs!$C$72*$H161*(1-Inputs!$E$54*Inputs!$B$72))*(1+$I161)*IF(Inputs!$C$29=0,1,(MAX(CB160,0)/Inputs!$C$6)^Inputs!$C$29)</f>
        <v>0</v>
      </c>
      <c r="BZ161" s="38">
        <f>Inputs!$C$32*CB160/Inputs!$C$6</f>
        <v>0</v>
      </c>
      <c r="CA161" s="38">
        <f>Inputs!$C$33</f>
        <v>2000</v>
      </c>
      <c r="CB161" s="38">
        <f t="shared" si="127"/>
        <v>0</v>
      </c>
      <c r="CC161" s="38">
        <f t="shared" si="128"/>
        <v>0</v>
      </c>
      <c r="CD161" s="38">
        <f>Inputs!$C$19*(1-Inputs!$C$72*$H161)+Inputs!$C$21+Inputs!$B$72*$J161</f>
        <v>480000</v>
      </c>
      <c r="CE161" s="38">
        <f t="shared" si="129"/>
        <v>-480000</v>
      </c>
      <c r="CF161" s="38">
        <f t="shared" si="130"/>
        <v>1</v>
      </c>
      <c r="CG161" s="38">
        <f>MAX(0,MIN(Inputs!$D$36,CL160,CH161+CI161+CJ161+Inputs!$D$6-CK160))</f>
        <v>0</v>
      </c>
      <c r="CH161" s="38">
        <f>Inputs!$D$27*(1+Inputs!$D$28)^($A161/12)*IF(Inputs!$B$72=1,$G161,1)*(1-Inputs!$C$72*$H161*(1-Inputs!$E$54*Inputs!$B$72))*(1+$I161)*IF(Inputs!$D$29=0,1,(MAX(CK160,0)/Inputs!$D$6)^Inputs!$D$29)</f>
        <v>2049.7688476204657</v>
      </c>
      <c r="CI161" s="38">
        <f>Inputs!$D$32*CK160/Inputs!$D$6</f>
        <v>779.26623943815559</v>
      </c>
      <c r="CJ161" s="38">
        <f>Inputs!$D$33</f>
        <v>1500</v>
      </c>
      <c r="CK161" s="38">
        <f t="shared" si="131"/>
        <v>158945.79603331684</v>
      </c>
      <c r="CL161" s="38">
        <f t="shared" si="132"/>
        <v>0</v>
      </c>
      <c r="CM161" s="38">
        <f>Inputs!$D$19*(1-Inputs!$C$72*$H161)+Inputs!$D$21+Inputs!$B$72*$J161</f>
        <v>392150</v>
      </c>
      <c r="CN161" s="38">
        <f t="shared" si="133"/>
        <v>-233204.20396668316</v>
      </c>
      <c r="CO161" s="38">
        <f t="shared" si="134"/>
        <v>1</v>
      </c>
      <c r="CP161" s="38">
        <f>MAX(0,MIN(Inputs!$B$36,CU160,CQ161+CR161+CS161+Inputs!$B$6-CT160))</f>
        <v>0</v>
      </c>
      <c r="CQ161" s="38">
        <f>Inputs!$B$27*(1+Inputs!$B$28)^($A161/12)*IF(Inputs!$B$73=1,$G161,1)*(1-Inputs!$C$73*$H161*(1-Inputs!$E$54*Inputs!$B$73))*(1+$I161)*IF(Inputs!$B$29=0,1,(MAX(CT160,0)/Inputs!$B$6)^Inputs!$B$29)</f>
        <v>23312.365832607094</v>
      </c>
      <c r="CR161" s="38">
        <f>Inputs!$B$32*CT160/Inputs!$B$6</f>
        <v>0</v>
      </c>
      <c r="CS161" s="38">
        <f>Inputs!$B$33</f>
        <v>2500</v>
      </c>
      <c r="CT161" s="38">
        <f t="shared" si="135"/>
        <v>0</v>
      </c>
      <c r="CU161" s="38">
        <f t="shared" si="136"/>
        <v>0</v>
      </c>
      <c r="CV161" s="38">
        <f>Inputs!$B$19*(1-Inputs!$C$73*$H161)+Inputs!$B$21+Inputs!$B$73*$J161</f>
        <v>583500</v>
      </c>
      <c r="CW161" s="38">
        <f t="shared" si="137"/>
        <v>-583500</v>
      </c>
      <c r="CX161" s="38">
        <f t="shared" si="138"/>
        <v>1</v>
      </c>
      <c r="CY161" s="38">
        <f>MAX(0,MIN(Inputs!$C$36,DD160,CZ161+DA161+DB161+Inputs!$C$6-DC160))</f>
        <v>0</v>
      </c>
      <c r="CZ161" s="38">
        <f>Inputs!$C$27*(1+Inputs!$C$28)^($A161/12)*IF(Inputs!$B$73=1,$G161,1)*(1-Inputs!$C$73*$H161*(1-Inputs!$E$54*Inputs!$B$73))*(1+$I161)*IF(Inputs!$C$29=0,1,(MAX(DC160,0)/Inputs!$C$6)^Inputs!$C$29)</f>
        <v>0</v>
      </c>
      <c r="DA161" s="38">
        <f>Inputs!$C$32*DC160/Inputs!$C$6</f>
        <v>0</v>
      </c>
      <c r="DB161" s="38">
        <f>Inputs!$C$33</f>
        <v>2000</v>
      </c>
      <c r="DC161" s="38">
        <f t="shared" si="139"/>
        <v>0</v>
      </c>
      <c r="DD161" s="38">
        <f t="shared" si="140"/>
        <v>0</v>
      </c>
      <c r="DE161" s="38">
        <f>Inputs!$C$19*(1-Inputs!$C$73*$H161)+Inputs!$C$21+Inputs!$B$73*$J161</f>
        <v>486000</v>
      </c>
      <c r="DF161" s="38">
        <f t="shared" si="141"/>
        <v>-486000</v>
      </c>
      <c r="DG161" s="38">
        <f t="shared" si="142"/>
        <v>1</v>
      </c>
      <c r="DH161" s="38">
        <f>MAX(0,MIN(Inputs!$D$36,DM160,DI161+DJ161+DK161+Inputs!$D$6-DL160))</f>
        <v>0</v>
      </c>
      <c r="DI161" s="38">
        <f>Inputs!$D$27*(1+Inputs!$D$28)^($A161/12)*IF(Inputs!$B$73=1,$G161,1)*(1-Inputs!$C$73*$H161*(1-Inputs!$E$54*Inputs!$B$73))*(1+$I161)*IF(Inputs!$D$29=0,1,(MAX(DL160,0)/Inputs!$D$6)^Inputs!$D$29)</f>
        <v>2078.9739022772992</v>
      </c>
      <c r="DJ161" s="38">
        <f>Inputs!$D$32*DL160/Inputs!$D$6</f>
        <v>1014.0636669442937</v>
      </c>
      <c r="DK161" s="38">
        <f>Inputs!$D$33</f>
        <v>1500</v>
      </c>
      <c r="DL161" s="38">
        <f t="shared" si="143"/>
        <v>207877.44502863041</v>
      </c>
      <c r="DM161" s="38">
        <f t="shared" si="144"/>
        <v>0</v>
      </c>
      <c r="DN161" s="38">
        <f>Inputs!$D$19*(1-Inputs!$C$73*$H161)+Inputs!$D$21+Inputs!$B$73*$J161</f>
        <v>398150</v>
      </c>
      <c r="DO161" s="38">
        <f t="shared" si="145"/>
        <v>-190272.55497136959</v>
      </c>
      <c r="DP161" s="38">
        <f t="shared" si="146"/>
        <v>1</v>
      </c>
    </row>
    <row r="162" spans="1:120" x14ac:dyDescent="0.35">
      <c r="A162" s="29">
        <v>157</v>
      </c>
      <c r="B162" s="34">
        <f>EDATE(Inputs!$B$67,$A162)</f>
        <v>51044</v>
      </c>
      <c r="C162" s="35">
        <f>IF(Inputs!$E$47&lt;=0,Inputs!$E$46,Inputs!$E$44+(Inputs!$E$46-Inputs!$E$44)*MIN($A162/Inputs!$E$47,1))</f>
        <v>0.7</v>
      </c>
      <c r="D162" s="35">
        <f>MIN(Inputs!$E$57,Inputs!$E$55*(1+Inputs!$E$56)^($A162/12))*Inputs!$E$58*(1+Inputs!$E$59)^($A162/12)/Inputs!$E$45</f>
        <v>1.5</v>
      </c>
      <c r="E162" s="35">
        <f>MAX(Inputs!$E$44,MIN(C162,D162))</f>
        <v>0.7</v>
      </c>
      <c r="F162" s="35">
        <f>IF(Inputs!$E$50&lt;=0,Inputs!$E$49,Inputs!$E$48+(Inputs!$E$49-Inputs!$E$48)*MIN($A162/Inputs!$E$50,1))</f>
        <v>0.12</v>
      </c>
      <c r="G162" s="36">
        <f>(Inputs!$E$41*(1-E162*Inputs!$E$51)+Inputs!$E$42*(1-F162*Inputs!$E$51))/(Inputs!$E$41*(1-Inputs!$E$44*Inputs!$E$51)+Inputs!$E$42*(1-Inputs!$E$48*Inputs!$E$51))</f>
        <v>0.8423127463863338</v>
      </c>
      <c r="H162" s="35">
        <f>IF(Inputs!$E$53&lt;=0,Inputs!$E$52,Inputs!$E$52*MIN($A162/Inputs!$E$53,1))</f>
        <v>0.1</v>
      </c>
      <c r="I162" s="35">
        <f>IF(Inputs!$E$64&lt;=0,Inputs!$E$63,Inputs!$E$62+(Inputs!$E$63-Inputs!$E$62)*MIN($A162/Inputs!$E$64,1))</f>
        <v>0.03</v>
      </c>
      <c r="J162" s="37">
        <f>(E162-Inputs!$E$44)*Inputs!$E$45/Inputs!$E$60*Inputs!$E$61</f>
        <v>5999.9999999999991</v>
      </c>
      <c r="K162" s="29">
        <f t="shared" si="98"/>
        <v>0</v>
      </c>
      <c r="L162" s="29"/>
      <c r="M162" s="38">
        <f>MAX(0,MIN(Inputs!$B$36,R161,N162+O162+P162+Inputs!$B$6-Q161))</f>
        <v>0</v>
      </c>
      <c r="N162" s="38">
        <f>Inputs!$B$27*(1+Inputs!$B$28)^($A162/12)*IF(Inputs!$B$70=1,$G162,1)*(1-Inputs!$C$70*$H162*(1-Inputs!$E$54*Inputs!$B$70))*(1+$I162)*IF(Inputs!$B$29=0,1,(MAX(Q161,0)/Inputs!$B$6)^Inputs!$B$29)</f>
        <v>29251.971834777596</v>
      </c>
      <c r="O162" s="38">
        <f>Inputs!$B$32*Q161/Inputs!$B$6</f>
        <v>0</v>
      </c>
      <c r="P162" s="38">
        <f>Inputs!$B$33</f>
        <v>2500</v>
      </c>
      <c r="Q162" s="38">
        <f t="shared" si="99"/>
        <v>0</v>
      </c>
      <c r="R162" s="38">
        <f t="shared" si="100"/>
        <v>0</v>
      </c>
      <c r="S162" s="38">
        <f>Inputs!$B$19*(1-Inputs!$C$70*$H162)+Inputs!$B$21+Inputs!$B$70*$J162</f>
        <v>595000</v>
      </c>
      <c r="T162" s="38">
        <f t="shared" si="101"/>
        <v>-595000</v>
      </c>
      <c r="U162" s="38">
        <f t="shared" si="102"/>
        <v>1</v>
      </c>
      <c r="V162" s="38">
        <f>MAX(0,MIN(Inputs!$C$36,AA161,W162+X162+Y162+Inputs!$C$6-Z161))</f>
        <v>0</v>
      </c>
      <c r="W162" s="38">
        <f>Inputs!$C$27*(1+Inputs!$C$28)^($A162/12)*IF(Inputs!$B$70=1,$G162,1)*(1-Inputs!$C$70*$H162*(1-Inputs!$E$54*Inputs!$B$70))*(1+$I162)*IF(Inputs!$C$29=0,1,(MAX(Z161,0)/Inputs!$C$6)^Inputs!$C$29)</f>
        <v>0</v>
      </c>
      <c r="X162" s="38">
        <f>Inputs!$C$32*Z161/Inputs!$C$6</f>
        <v>0</v>
      </c>
      <c r="Y162" s="38">
        <f>Inputs!$C$33</f>
        <v>2000</v>
      </c>
      <c r="Z162" s="38">
        <f t="shared" si="103"/>
        <v>0</v>
      </c>
      <c r="AA162" s="38">
        <f t="shared" si="104"/>
        <v>0</v>
      </c>
      <c r="AB162" s="38">
        <f>Inputs!$C$19*(1-Inputs!$C$70*$H162)+Inputs!$C$21+Inputs!$B$70*$J162</f>
        <v>495000</v>
      </c>
      <c r="AC162" s="38">
        <f t="shared" si="105"/>
        <v>-495000</v>
      </c>
      <c r="AD162" s="38">
        <f t="shared" si="106"/>
        <v>1</v>
      </c>
      <c r="AE162" s="38">
        <f>MAX(0,MIN(Inputs!$D$36,AJ161,AF162+AG162+AH162+Inputs!$D$6-AI161))</f>
        <v>0</v>
      </c>
      <c r="AF162" s="38">
        <f>Inputs!$D$27*(1+Inputs!$D$28)^($A162/12)*IF(Inputs!$B$70=1,$G162,1)*(1-Inputs!$C$70*$H162*(1-Inputs!$E$54*Inputs!$B$70))*(1+$I162)*IF(Inputs!$D$29=0,1,(MAX(AI161,0)/Inputs!$D$6)^Inputs!$D$29)</f>
        <v>1949.9370367630265</v>
      </c>
      <c r="AG162" s="38">
        <f>Inputs!$D$32*AI161/Inputs!$D$6</f>
        <v>576.1227333349118</v>
      </c>
      <c r="AH162" s="38">
        <f>Inputs!$D$33</f>
        <v>1500</v>
      </c>
      <c r="AI162" s="38">
        <f t="shared" si="107"/>
        <v>116685.37007150264</v>
      </c>
      <c r="AJ162" s="38">
        <f t="shared" si="108"/>
        <v>0</v>
      </c>
      <c r="AK162" s="38">
        <f>Inputs!$D$19*(1-Inputs!$C$70*$H162)+Inputs!$D$21+Inputs!$B$70*$J162</f>
        <v>404800</v>
      </c>
      <c r="AL162" s="38">
        <f t="shared" si="109"/>
        <v>-288114.62992849736</v>
      </c>
      <c r="AM162" s="38">
        <f t="shared" si="110"/>
        <v>1</v>
      </c>
      <c r="AN162" s="38">
        <f>MAX(0,MIN(Inputs!$B$36,AS161,AO162+AP162+AQ162+Inputs!$B$6-AR161))</f>
        <v>0</v>
      </c>
      <c r="AO162" s="38">
        <f>Inputs!$B$27*(1+Inputs!$B$28)^($A162/12)*IF(Inputs!$B$71=1,$G162,1)*(1-Inputs!$C$71*$H162*(1-Inputs!$E$54*Inputs!$B$71))*(1+$I162)*IF(Inputs!$B$29=0,1,(MAX(AR161,0)/Inputs!$B$6)^Inputs!$B$29)</f>
        <v>24639.308733367197</v>
      </c>
      <c r="AP162" s="38">
        <f>Inputs!$B$32*AR161/Inputs!$B$6</f>
        <v>0</v>
      </c>
      <c r="AQ162" s="38">
        <f>Inputs!$B$33</f>
        <v>2500</v>
      </c>
      <c r="AR162" s="38">
        <f t="shared" si="111"/>
        <v>0</v>
      </c>
      <c r="AS162" s="38">
        <f t="shared" si="112"/>
        <v>0</v>
      </c>
      <c r="AT162" s="38">
        <f>Inputs!$B$19*(1-Inputs!$C$71*$H162)+Inputs!$B$21+Inputs!$B$71*$J162</f>
        <v>601000</v>
      </c>
      <c r="AU162" s="38">
        <f t="shared" si="113"/>
        <v>-601000</v>
      </c>
      <c r="AV162" s="38">
        <f t="shared" si="114"/>
        <v>1</v>
      </c>
      <c r="AW162" s="38">
        <f>MAX(0,MIN(Inputs!$C$36,BB161,AX162+AY162+AZ162+Inputs!$C$6-BA161))</f>
        <v>0</v>
      </c>
      <c r="AX162" s="38">
        <f>Inputs!$C$27*(1+Inputs!$C$28)^($A162/12)*IF(Inputs!$B$71=1,$G162,1)*(1-Inputs!$C$71*$H162*(1-Inputs!$E$54*Inputs!$B$71))*(1+$I162)*IF(Inputs!$C$29=0,1,(MAX(BA161,0)/Inputs!$C$6)^Inputs!$C$29)</f>
        <v>0</v>
      </c>
      <c r="AY162" s="38">
        <f>Inputs!$C$32*BA161/Inputs!$C$6</f>
        <v>0</v>
      </c>
      <c r="AZ162" s="38">
        <f>Inputs!$C$33</f>
        <v>2000</v>
      </c>
      <c r="BA162" s="38">
        <f t="shared" si="115"/>
        <v>0</v>
      </c>
      <c r="BB162" s="38">
        <f t="shared" si="116"/>
        <v>0</v>
      </c>
      <c r="BC162" s="38">
        <f>Inputs!$C$19*(1-Inputs!$C$71*$H162)+Inputs!$C$21+Inputs!$B$71*$J162</f>
        <v>501000</v>
      </c>
      <c r="BD162" s="38">
        <f t="shared" si="117"/>
        <v>-501000</v>
      </c>
      <c r="BE162" s="38">
        <f t="shared" si="118"/>
        <v>1</v>
      </c>
      <c r="BF162" s="38">
        <f>MAX(0,MIN(Inputs!$D$36,BK161,BG162+BH162+BI162+Inputs!$D$6-BJ161))</f>
        <v>0</v>
      </c>
      <c r="BG162" s="38">
        <f>Inputs!$D$27*(1+Inputs!$D$28)^($A162/12)*IF(Inputs!$B$71=1,$G162,1)*(1-Inputs!$C$71*$H162*(1-Inputs!$E$54*Inputs!$B$71))*(1+$I162)*IF(Inputs!$D$29=0,1,(MAX(BJ161,0)/Inputs!$D$6)^Inputs!$D$29)</f>
        <v>2056.1347653940447</v>
      </c>
      <c r="BH162" s="38">
        <f>Inputs!$D$32*BJ161/Inputs!$D$6</f>
        <v>902.88043660269705</v>
      </c>
      <c r="BI162" s="38">
        <f>Inputs!$D$33</f>
        <v>1500</v>
      </c>
      <c r="BJ162" s="38">
        <f t="shared" si="119"/>
        <v>184715.93341952076</v>
      </c>
      <c r="BK162" s="38">
        <f t="shared" si="120"/>
        <v>0</v>
      </c>
      <c r="BL162" s="38">
        <f>Inputs!$D$19*(1-Inputs!$C$71*$H162)+Inputs!$D$21+Inputs!$B$71*$J162</f>
        <v>410800</v>
      </c>
      <c r="BM162" s="38">
        <f t="shared" si="121"/>
        <v>-226084.06658047924</v>
      </c>
      <c r="BN162" s="38">
        <f t="shared" si="122"/>
        <v>1</v>
      </c>
      <c r="BO162" s="38">
        <f>MAX(0,MIN(Inputs!$B$36,BT161,BP162+BQ162+BR162+Inputs!$B$6-BS161))</f>
        <v>0</v>
      </c>
      <c r="BP162" s="38">
        <f>Inputs!$B$27*(1+Inputs!$B$28)^($A162/12)*IF(Inputs!$B$72=1,$G162,1)*(1-Inputs!$C$72*$H162*(1-Inputs!$E$54*Inputs!$B$72))*(1+$I162)*IF(Inputs!$B$29=0,1,(MAX(BS161,0)/Inputs!$B$6)^Inputs!$B$29)</f>
        <v>26326.774651299838</v>
      </c>
      <c r="BQ162" s="38">
        <f>Inputs!$B$32*BS161/Inputs!$B$6</f>
        <v>0</v>
      </c>
      <c r="BR162" s="38">
        <f>Inputs!$B$33</f>
        <v>2500</v>
      </c>
      <c r="BS162" s="38">
        <f t="shared" si="123"/>
        <v>0</v>
      </c>
      <c r="BT162" s="38">
        <f t="shared" si="124"/>
        <v>0</v>
      </c>
      <c r="BU162" s="38">
        <f>Inputs!$B$19*(1-Inputs!$C$72*$H162)+Inputs!$B$21+Inputs!$B$72*$J162</f>
        <v>577500</v>
      </c>
      <c r="BV162" s="38">
        <f t="shared" si="125"/>
        <v>-577500</v>
      </c>
      <c r="BW162" s="38">
        <f t="shared" si="126"/>
        <v>1</v>
      </c>
      <c r="BX162" s="38">
        <f>MAX(0,MIN(Inputs!$C$36,CC161,BY162+BZ162+CA162+Inputs!$C$6-CB161))</f>
        <v>0</v>
      </c>
      <c r="BY162" s="38">
        <f>Inputs!$C$27*(1+Inputs!$C$28)^($A162/12)*IF(Inputs!$B$72=1,$G162,1)*(1-Inputs!$C$72*$H162*(1-Inputs!$E$54*Inputs!$B$72))*(1+$I162)*IF(Inputs!$C$29=0,1,(MAX(CB161,0)/Inputs!$C$6)^Inputs!$C$29)</f>
        <v>0</v>
      </c>
      <c r="BZ162" s="38">
        <f>Inputs!$C$32*CB161/Inputs!$C$6</f>
        <v>0</v>
      </c>
      <c r="CA162" s="38">
        <f>Inputs!$C$33</f>
        <v>2000</v>
      </c>
      <c r="CB162" s="38">
        <f t="shared" si="127"/>
        <v>0</v>
      </c>
      <c r="CC162" s="38">
        <f t="shared" si="128"/>
        <v>0</v>
      </c>
      <c r="CD162" s="38">
        <f>Inputs!$C$19*(1-Inputs!$C$72*$H162)+Inputs!$C$21+Inputs!$B$72*$J162</f>
        <v>480000</v>
      </c>
      <c r="CE162" s="38">
        <f t="shared" si="129"/>
        <v>-480000</v>
      </c>
      <c r="CF162" s="38">
        <f t="shared" si="130"/>
        <v>1</v>
      </c>
      <c r="CG162" s="38">
        <f>MAX(0,MIN(Inputs!$D$36,CL161,CH162+CI162+CJ162+Inputs!$D$6-CK161))</f>
        <v>0</v>
      </c>
      <c r="CH162" s="38">
        <f>Inputs!$D$27*(1+Inputs!$D$28)^($A162/12)*IF(Inputs!$B$72=1,$G162,1)*(1-Inputs!$C$72*$H162*(1-Inputs!$E$54*Inputs!$B$72))*(1+$I162)*IF(Inputs!$D$29=0,1,(MAX(CK161,0)/Inputs!$D$6)^Inputs!$D$29)</f>
        <v>2013.7864923390252</v>
      </c>
      <c r="CI162" s="38">
        <f>Inputs!$D$32*CK161/Inputs!$D$6</f>
        <v>758.6049356135577</v>
      </c>
      <c r="CJ162" s="38">
        <f>Inputs!$D$33</f>
        <v>1500</v>
      </c>
      <c r="CK162" s="38">
        <f t="shared" si="131"/>
        <v>154673.40460536428</v>
      </c>
      <c r="CL162" s="38">
        <f t="shared" si="132"/>
        <v>0</v>
      </c>
      <c r="CM162" s="38">
        <f>Inputs!$D$19*(1-Inputs!$C$72*$H162)+Inputs!$D$21+Inputs!$B$72*$J162</f>
        <v>392150</v>
      </c>
      <c r="CN162" s="38">
        <f t="shared" si="133"/>
        <v>-237476.59539463572</v>
      </c>
      <c r="CO162" s="38">
        <f t="shared" si="134"/>
        <v>1</v>
      </c>
      <c r="CP162" s="38">
        <f>MAX(0,MIN(Inputs!$B$36,CU161,CQ162+CR162+CS162+Inputs!$B$6-CT161))</f>
        <v>0</v>
      </c>
      <c r="CQ162" s="38">
        <f>Inputs!$B$27*(1+Inputs!$B$28)^($A162/12)*IF(Inputs!$B$73=1,$G162,1)*(1-Inputs!$C$73*$H162*(1-Inputs!$E$54*Inputs!$B$73))*(1+$I162)*IF(Inputs!$B$29=0,1,(MAX(CT161,0)/Inputs!$B$6)^Inputs!$B$29)</f>
        <v>23407.34329669884</v>
      </c>
      <c r="CR162" s="38">
        <f>Inputs!$B$32*CT161/Inputs!$B$6</f>
        <v>0</v>
      </c>
      <c r="CS162" s="38">
        <f>Inputs!$B$33</f>
        <v>2500</v>
      </c>
      <c r="CT162" s="38">
        <f t="shared" si="135"/>
        <v>0</v>
      </c>
      <c r="CU162" s="38">
        <f t="shared" si="136"/>
        <v>0</v>
      </c>
      <c r="CV162" s="38">
        <f>Inputs!$B$19*(1-Inputs!$C$73*$H162)+Inputs!$B$21+Inputs!$B$73*$J162</f>
        <v>583500</v>
      </c>
      <c r="CW162" s="38">
        <f t="shared" si="137"/>
        <v>-583500</v>
      </c>
      <c r="CX162" s="38">
        <f t="shared" si="138"/>
        <v>1</v>
      </c>
      <c r="CY162" s="38">
        <f>MAX(0,MIN(Inputs!$C$36,DD161,CZ162+DA162+DB162+Inputs!$C$6-DC161))</f>
        <v>0</v>
      </c>
      <c r="CZ162" s="38">
        <f>Inputs!$C$27*(1+Inputs!$C$28)^($A162/12)*IF(Inputs!$B$73=1,$G162,1)*(1-Inputs!$C$73*$H162*(1-Inputs!$E$54*Inputs!$B$73))*(1+$I162)*IF(Inputs!$C$29=0,1,(MAX(DC161,0)/Inputs!$C$6)^Inputs!$C$29)</f>
        <v>0</v>
      </c>
      <c r="DA162" s="38">
        <f>Inputs!$C$32*DC161/Inputs!$C$6</f>
        <v>0</v>
      </c>
      <c r="DB162" s="38">
        <f>Inputs!$C$33</f>
        <v>2000</v>
      </c>
      <c r="DC162" s="38">
        <f t="shared" si="139"/>
        <v>0</v>
      </c>
      <c r="DD162" s="38">
        <f t="shared" si="140"/>
        <v>0</v>
      </c>
      <c r="DE162" s="38">
        <f>Inputs!$C$19*(1-Inputs!$C$73*$H162)+Inputs!$C$21+Inputs!$B$73*$J162</f>
        <v>486000</v>
      </c>
      <c r="DF162" s="38">
        <f t="shared" si="141"/>
        <v>-486000</v>
      </c>
      <c r="DG162" s="38">
        <f t="shared" si="142"/>
        <v>1</v>
      </c>
      <c r="DH162" s="38">
        <f>MAX(0,MIN(Inputs!$D$36,DM161,DI162+DJ162+DK162+Inputs!$D$6-DL161))</f>
        <v>0</v>
      </c>
      <c r="DI162" s="38">
        <f>Inputs!$D$27*(1+Inputs!$D$28)^($A162/12)*IF(Inputs!$B$73=1,$G162,1)*(1-Inputs!$C$73*$H162*(1-Inputs!$E$54*Inputs!$B$73))*(1+$I162)*IF(Inputs!$D$29=0,1,(MAX(DL161,0)/Inputs!$D$6)^Inputs!$D$29)</f>
        <v>2047.6091160611631</v>
      </c>
      <c r="DJ162" s="38">
        <f>Inputs!$D$32*DL161/Inputs!$D$6</f>
        <v>992.14235127300879</v>
      </c>
      <c r="DK162" s="38">
        <f>Inputs!$D$33</f>
        <v>1500</v>
      </c>
      <c r="DL162" s="38">
        <f t="shared" si="143"/>
        <v>203337.69356129624</v>
      </c>
      <c r="DM162" s="38">
        <f t="shared" si="144"/>
        <v>0</v>
      </c>
      <c r="DN162" s="38">
        <f>Inputs!$D$19*(1-Inputs!$C$73*$H162)+Inputs!$D$21+Inputs!$B$73*$J162</f>
        <v>398150</v>
      </c>
      <c r="DO162" s="38">
        <f t="shared" si="145"/>
        <v>-194812.30643870376</v>
      </c>
      <c r="DP162" s="38">
        <f t="shared" si="146"/>
        <v>1</v>
      </c>
    </row>
    <row r="163" spans="1:120" x14ac:dyDescent="0.35">
      <c r="A163" s="29">
        <v>158</v>
      </c>
      <c r="B163" s="34">
        <f>EDATE(Inputs!$B$67,$A163)</f>
        <v>51075</v>
      </c>
      <c r="C163" s="35">
        <f>IF(Inputs!$E$47&lt;=0,Inputs!$E$46,Inputs!$E$44+(Inputs!$E$46-Inputs!$E$44)*MIN($A163/Inputs!$E$47,1))</f>
        <v>0.7</v>
      </c>
      <c r="D163" s="35">
        <f>MIN(Inputs!$E$57,Inputs!$E$55*(1+Inputs!$E$56)^($A163/12))*Inputs!$E$58*(1+Inputs!$E$59)^($A163/12)/Inputs!$E$45</f>
        <v>1.5</v>
      </c>
      <c r="E163" s="35">
        <f>MAX(Inputs!$E$44,MIN(C163,D163))</f>
        <v>0.7</v>
      </c>
      <c r="F163" s="35">
        <f>IF(Inputs!$E$50&lt;=0,Inputs!$E$49,Inputs!$E$48+(Inputs!$E$49-Inputs!$E$48)*MIN($A163/Inputs!$E$50,1))</f>
        <v>0.12</v>
      </c>
      <c r="G163" s="36">
        <f>(Inputs!$E$41*(1-E163*Inputs!$E$51)+Inputs!$E$42*(1-F163*Inputs!$E$51))/(Inputs!$E$41*(1-Inputs!$E$44*Inputs!$E$51)+Inputs!$E$42*(1-Inputs!$E$48*Inputs!$E$51))</f>
        <v>0.8423127463863338</v>
      </c>
      <c r="H163" s="35">
        <f>IF(Inputs!$E$53&lt;=0,Inputs!$E$52,Inputs!$E$52*MIN($A163/Inputs!$E$53,1))</f>
        <v>0.1</v>
      </c>
      <c r="I163" s="35">
        <f>IF(Inputs!$E$64&lt;=0,Inputs!$E$63,Inputs!$E$62+(Inputs!$E$63-Inputs!$E$62)*MIN($A163/Inputs!$E$64,1))</f>
        <v>0.03</v>
      </c>
      <c r="J163" s="37">
        <f>(E163-Inputs!$E$44)*Inputs!$E$45/Inputs!$E$60*Inputs!$E$61</f>
        <v>5999.9999999999991</v>
      </c>
      <c r="K163" s="29">
        <f t="shared" si="98"/>
        <v>0</v>
      </c>
      <c r="L163" s="29"/>
      <c r="M163" s="38">
        <f>MAX(0,MIN(Inputs!$B$36,R162,N163+O163+P163+Inputs!$B$6-Q162))</f>
        <v>0</v>
      </c>
      <c r="N163" s="38">
        <f>Inputs!$B$27*(1+Inputs!$B$28)^($A163/12)*IF(Inputs!$B$70=1,$G163,1)*(1-Inputs!$C$70*$H163*(1-Inputs!$E$54*Inputs!$B$70))*(1+$I163)*IF(Inputs!$B$29=0,1,(MAX(Q162,0)/Inputs!$B$6)^Inputs!$B$29)</f>
        <v>29371.147988948276</v>
      </c>
      <c r="O163" s="38">
        <f>Inputs!$B$32*Q162/Inputs!$B$6</f>
        <v>0</v>
      </c>
      <c r="P163" s="38">
        <f>Inputs!$B$33</f>
        <v>2500</v>
      </c>
      <c r="Q163" s="38">
        <f t="shared" si="99"/>
        <v>0</v>
      </c>
      <c r="R163" s="38">
        <f t="shared" si="100"/>
        <v>0</v>
      </c>
      <c r="S163" s="38">
        <f>Inputs!$B$19*(1-Inputs!$C$70*$H163)+Inputs!$B$21+Inputs!$B$70*$J163</f>
        <v>595000</v>
      </c>
      <c r="T163" s="38">
        <f t="shared" si="101"/>
        <v>-595000</v>
      </c>
      <c r="U163" s="38">
        <f t="shared" si="102"/>
        <v>1</v>
      </c>
      <c r="V163" s="38">
        <f>MAX(0,MIN(Inputs!$C$36,AA162,W163+X163+Y163+Inputs!$C$6-Z162))</f>
        <v>0</v>
      </c>
      <c r="W163" s="38">
        <f>Inputs!$C$27*(1+Inputs!$C$28)^($A163/12)*IF(Inputs!$B$70=1,$G163,1)*(1-Inputs!$C$70*$H163*(1-Inputs!$E$54*Inputs!$B$70))*(1+$I163)*IF(Inputs!$C$29=0,1,(MAX(Z162,0)/Inputs!$C$6)^Inputs!$C$29)</f>
        <v>0</v>
      </c>
      <c r="X163" s="38">
        <f>Inputs!$C$32*Z162/Inputs!$C$6</f>
        <v>0</v>
      </c>
      <c r="Y163" s="38">
        <f>Inputs!$C$33</f>
        <v>2000</v>
      </c>
      <c r="Z163" s="38">
        <f t="shared" si="103"/>
        <v>0</v>
      </c>
      <c r="AA163" s="38">
        <f t="shared" si="104"/>
        <v>0</v>
      </c>
      <c r="AB163" s="38">
        <f>Inputs!$C$19*(1-Inputs!$C$70*$H163)+Inputs!$C$21+Inputs!$B$70*$J163</f>
        <v>495000</v>
      </c>
      <c r="AC163" s="38">
        <f t="shared" si="105"/>
        <v>-495000</v>
      </c>
      <c r="AD163" s="38">
        <f t="shared" si="106"/>
        <v>1</v>
      </c>
      <c r="AE163" s="38">
        <f>MAX(0,MIN(Inputs!$D$36,AJ162,AF163+AG163+AH163+Inputs!$D$6-AI162))</f>
        <v>0</v>
      </c>
      <c r="AF163" s="38">
        <f>Inputs!$D$27*(1+Inputs!$D$28)^($A163/12)*IF(Inputs!$B$70=1,$G163,1)*(1-Inputs!$C$70*$H163*(1-Inputs!$E$54*Inputs!$B$70))*(1+$I163)*IF(Inputs!$D$29=0,1,(MAX(AI162,0)/Inputs!$D$6)^Inputs!$D$29)</f>
        <v>1908.9661561204796</v>
      </c>
      <c r="AG163" s="38">
        <f>Inputs!$D$32*AI162/Inputs!$D$6</f>
        <v>556.90744806853536</v>
      </c>
      <c r="AH163" s="38">
        <f>Inputs!$D$33</f>
        <v>1500</v>
      </c>
      <c r="AI163" s="38">
        <f t="shared" si="107"/>
        <v>112719.49646731361</v>
      </c>
      <c r="AJ163" s="38">
        <f t="shared" si="108"/>
        <v>0</v>
      </c>
      <c r="AK163" s="38">
        <f>Inputs!$D$19*(1-Inputs!$C$70*$H163)+Inputs!$D$21+Inputs!$B$70*$J163</f>
        <v>404800</v>
      </c>
      <c r="AL163" s="38">
        <f t="shared" si="109"/>
        <v>-292080.50353268639</v>
      </c>
      <c r="AM163" s="38">
        <f t="shared" si="110"/>
        <v>1</v>
      </c>
      <c r="AN163" s="38">
        <f>MAX(0,MIN(Inputs!$B$36,AS162,AO163+AP163+AQ163+Inputs!$B$6-AR162))</f>
        <v>0</v>
      </c>
      <c r="AO163" s="38">
        <f>Inputs!$B$27*(1+Inputs!$B$28)^($A163/12)*IF(Inputs!$B$71=1,$G163,1)*(1-Inputs!$C$71*$H163*(1-Inputs!$E$54*Inputs!$B$71))*(1+$I163)*IF(Inputs!$B$29=0,1,(MAX(AR162,0)/Inputs!$B$6)^Inputs!$B$29)</f>
        <v>24739.692327090466</v>
      </c>
      <c r="AP163" s="38">
        <f>Inputs!$B$32*AR162/Inputs!$B$6</f>
        <v>0</v>
      </c>
      <c r="AQ163" s="38">
        <f>Inputs!$B$33</f>
        <v>2500</v>
      </c>
      <c r="AR163" s="38">
        <f t="shared" si="111"/>
        <v>0</v>
      </c>
      <c r="AS163" s="38">
        <f t="shared" si="112"/>
        <v>0</v>
      </c>
      <c r="AT163" s="38">
        <f>Inputs!$B$19*(1-Inputs!$C$71*$H163)+Inputs!$B$21+Inputs!$B$71*$J163</f>
        <v>601000</v>
      </c>
      <c r="AU163" s="38">
        <f t="shared" si="113"/>
        <v>-601000</v>
      </c>
      <c r="AV163" s="38">
        <f t="shared" si="114"/>
        <v>1</v>
      </c>
      <c r="AW163" s="38">
        <f>MAX(0,MIN(Inputs!$C$36,BB162,AX163+AY163+AZ163+Inputs!$C$6-BA162))</f>
        <v>0</v>
      </c>
      <c r="AX163" s="38">
        <f>Inputs!$C$27*(1+Inputs!$C$28)^($A163/12)*IF(Inputs!$B$71=1,$G163,1)*(1-Inputs!$C$71*$H163*(1-Inputs!$E$54*Inputs!$B$71))*(1+$I163)*IF(Inputs!$C$29=0,1,(MAX(BA162,0)/Inputs!$C$6)^Inputs!$C$29)</f>
        <v>0</v>
      </c>
      <c r="AY163" s="38">
        <f>Inputs!$C$32*BA162/Inputs!$C$6</f>
        <v>0</v>
      </c>
      <c r="AZ163" s="38">
        <f>Inputs!$C$33</f>
        <v>2000</v>
      </c>
      <c r="BA163" s="38">
        <f t="shared" si="115"/>
        <v>0</v>
      </c>
      <c r="BB163" s="38">
        <f t="shared" si="116"/>
        <v>0</v>
      </c>
      <c r="BC163" s="38">
        <f>Inputs!$C$19*(1-Inputs!$C$71*$H163)+Inputs!$C$21+Inputs!$B$71*$J163</f>
        <v>501000</v>
      </c>
      <c r="BD163" s="38">
        <f t="shared" si="117"/>
        <v>-501000</v>
      </c>
      <c r="BE163" s="38">
        <f t="shared" si="118"/>
        <v>1</v>
      </c>
      <c r="BF163" s="38">
        <f>MAX(0,MIN(Inputs!$D$36,BK162,BG163+BH163+BI163+Inputs!$D$6-BJ162))</f>
        <v>0</v>
      </c>
      <c r="BG163" s="38">
        <f>Inputs!$D$27*(1+Inputs!$D$28)^($A163/12)*IF(Inputs!$B$71=1,$G163,1)*(1-Inputs!$C$71*$H163*(1-Inputs!$E$54*Inputs!$B$71))*(1+$I163)*IF(Inputs!$D$29=0,1,(MAX(BJ162,0)/Inputs!$D$6)^Inputs!$D$29)</f>
        <v>2023.0917409238607</v>
      </c>
      <c r="BH163" s="38">
        <f>Inputs!$D$32*BJ162/Inputs!$D$6</f>
        <v>881.59877313862182</v>
      </c>
      <c r="BI163" s="38">
        <f>Inputs!$D$33</f>
        <v>1500</v>
      </c>
      <c r="BJ163" s="38">
        <f t="shared" si="119"/>
        <v>180311.24290545829</v>
      </c>
      <c r="BK163" s="38">
        <f t="shared" si="120"/>
        <v>0</v>
      </c>
      <c r="BL163" s="38">
        <f>Inputs!$D$19*(1-Inputs!$C$71*$H163)+Inputs!$D$21+Inputs!$B$71*$J163</f>
        <v>410800</v>
      </c>
      <c r="BM163" s="38">
        <f t="shared" si="121"/>
        <v>-230488.75709454171</v>
      </c>
      <c r="BN163" s="38">
        <f t="shared" si="122"/>
        <v>1</v>
      </c>
      <c r="BO163" s="38">
        <f>MAX(0,MIN(Inputs!$B$36,BT162,BP163+BQ163+BR163+Inputs!$B$6-BS162))</f>
        <v>0</v>
      </c>
      <c r="BP163" s="38">
        <f>Inputs!$B$27*(1+Inputs!$B$28)^($A163/12)*IF(Inputs!$B$72=1,$G163,1)*(1-Inputs!$C$72*$H163*(1-Inputs!$E$54*Inputs!$B$72))*(1+$I163)*IF(Inputs!$B$29=0,1,(MAX(BS162,0)/Inputs!$B$6)^Inputs!$B$29)</f>
        <v>26434.033190053447</v>
      </c>
      <c r="BQ163" s="38">
        <f>Inputs!$B$32*BS162/Inputs!$B$6</f>
        <v>0</v>
      </c>
      <c r="BR163" s="38">
        <f>Inputs!$B$33</f>
        <v>2500</v>
      </c>
      <c r="BS163" s="38">
        <f t="shared" si="123"/>
        <v>0</v>
      </c>
      <c r="BT163" s="38">
        <f t="shared" si="124"/>
        <v>0</v>
      </c>
      <c r="BU163" s="38">
        <f>Inputs!$B$19*(1-Inputs!$C$72*$H163)+Inputs!$B$21+Inputs!$B$72*$J163</f>
        <v>577500</v>
      </c>
      <c r="BV163" s="38">
        <f t="shared" si="125"/>
        <v>-577500</v>
      </c>
      <c r="BW163" s="38">
        <f t="shared" si="126"/>
        <v>1</v>
      </c>
      <c r="BX163" s="38">
        <f>MAX(0,MIN(Inputs!$C$36,CC162,BY163+BZ163+CA163+Inputs!$C$6-CB162))</f>
        <v>0</v>
      </c>
      <c r="BY163" s="38">
        <f>Inputs!$C$27*(1+Inputs!$C$28)^($A163/12)*IF(Inputs!$B$72=1,$G163,1)*(1-Inputs!$C$72*$H163*(1-Inputs!$E$54*Inputs!$B$72))*(1+$I163)*IF(Inputs!$C$29=0,1,(MAX(CB162,0)/Inputs!$C$6)^Inputs!$C$29)</f>
        <v>0</v>
      </c>
      <c r="BZ163" s="38">
        <f>Inputs!$C$32*CB162/Inputs!$C$6</f>
        <v>0</v>
      </c>
      <c r="CA163" s="38">
        <f>Inputs!$C$33</f>
        <v>2000</v>
      </c>
      <c r="CB163" s="38">
        <f t="shared" si="127"/>
        <v>0</v>
      </c>
      <c r="CC163" s="38">
        <f t="shared" si="128"/>
        <v>0</v>
      </c>
      <c r="CD163" s="38">
        <f>Inputs!$C$19*(1-Inputs!$C$72*$H163)+Inputs!$C$21+Inputs!$B$72*$J163</f>
        <v>480000</v>
      </c>
      <c r="CE163" s="38">
        <f t="shared" si="129"/>
        <v>-480000</v>
      </c>
      <c r="CF163" s="38">
        <f t="shared" si="130"/>
        <v>1</v>
      </c>
      <c r="CG163" s="38">
        <f>MAX(0,MIN(Inputs!$D$36,CL162,CH163+CI163+CJ163+Inputs!$D$6-CK162))</f>
        <v>0</v>
      </c>
      <c r="CH163" s="38">
        <f>Inputs!$D$27*(1+Inputs!$D$28)^($A163/12)*IF(Inputs!$B$72=1,$G163,1)*(1-Inputs!$C$72*$H163*(1-Inputs!$E$54*Inputs!$B$72))*(1+$I163)*IF(Inputs!$D$29=0,1,(MAX(CK162,0)/Inputs!$D$6)^Inputs!$D$29)</f>
        <v>1978.0640815900897</v>
      </c>
      <c r="CI163" s="38">
        <f>Inputs!$D$32*CK162/Inputs!$D$6</f>
        <v>738.21397652560233</v>
      </c>
      <c r="CJ163" s="38">
        <f>Inputs!$D$33</f>
        <v>1500</v>
      </c>
      <c r="CK163" s="38">
        <f t="shared" si="131"/>
        <v>150457.12654724857</v>
      </c>
      <c r="CL163" s="38">
        <f t="shared" si="132"/>
        <v>0</v>
      </c>
      <c r="CM163" s="38">
        <f>Inputs!$D$19*(1-Inputs!$C$72*$H163)+Inputs!$D$21+Inputs!$B$72*$J163</f>
        <v>392150</v>
      </c>
      <c r="CN163" s="38">
        <f t="shared" si="133"/>
        <v>-241692.87345275143</v>
      </c>
      <c r="CO163" s="38">
        <f t="shared" si="134"/>
        <v>1</v>
      </c>
      <c r="CP163" s="38">
        <f>MAX(0,MIN(Inputs!$B$36,CU162,CQ163+CR163+CS163+Inputs!$B$6-CT162))</f>
        <v>0</v>
      </c>
      <c r="CQ163" s="38">
        <f>Inputs!$B$27*(1+Inputs!$B$28)^($A163/12)*IF(Inputs!$B$73=1,$G163,1)*(1-Inputs!$C$73*$H163*(1-Inputs!$E$54*Inputs!$B$73))*(1+$I163)*IF(Inputs!$B$29=0,1,(MAX(CT162,0)/Inputs!$B$6)^Inputs!$B$29)</f>
        <v>23502.70771073594</v>
      </c>
      <c r="CR163" s="38">
        <f>Inputs!$B$32*CT162/Inputs!$B$6</f>
        <v>0</v>
      </c>
      <c r="CS163" s="38">
        <f>Inputs!$B$33</f>
        <v>2500</v>
      </c>
      <c r="CT163" s="38">
        <f t="shared" si="135"/>
        <v>0</v>
      </c>
      <c r="CU163" s="38">
        <f t="shared" si="136"/>
        <v>0</v>
      </c>
      <c r="CV163" s="38">
        <f>Inputs!$B$19*(1-Inputs!$C$73*$H163)+Inputs!$B$21+Inputs!$B$73*$J163</f>
        <v>583500</v>
      </c>
      <c r="CW163" s="38">
        <f t="shared" si="137"/>
        <v>-583500</v>
      </c>
      <c r="CX163" s="38">
        <f t="shared" si="138"/>
        <v>1</v>
      </c>
      <c r="CY163" s="38">
        <f>MAX(0,MIN(Inputs!$C$36,DD162,CZ163+DA163+DB163+Inputs!$C$6-DC162))</f>
        <v>0</v>
      </c>
      <c r="CZ163" s="38">
        <f>Inputs!$C$27*(1+Inputs!$C$28)^($A163/12)*IF(Inputs!$B$73=1,$G163,1)*(1-Inputs!$C$73*$H163*(1-Inputs!$E$54*Inputs!$B$73))*(1+$I163)*IF(Inputs!$C$29=0,1,(MAX(DC162,0)/Inputs!$C$6)^Inputs!$C$29)</f>
        <v>0</v>
      </c>
      <c r="DA163" s="38">
        <f>Inputs!$C$32*DC162/Inputs!$C$6</f>
        <v>0</v>
      </c>
      <c r="DB163" s="38">
        <f>Inputs!$C$33</f>
        <v>2000</v>
      </c>
      <c r="DC163" s="38">
        <f t="shared" si="139"/>
        <v>0</v>
      </c>
      <c r="DD163" s="38">
        <f t="shared" si="140"/>
        <v>0</v>
      </c>
      <c r="DE163" s="38">
        <f>Inputs!$C$19*(1-Inputs!$C$73*$H163)+Inputs!$C$21+Inputs!$B$73*$J163</f>
        <v>486000</v>
      </c>
      <c r="DF163" s="38">
        <f t="shared" si="141"/>
        <v>-486000</v>
      </c>
      <c r="DG163" s="38">
        <f t="shared" si="142"/>
        <v>1</v>
      </c>
      <c r="DH163" s="38">
        <f>MAX(0,MIN(Inputs!$D$36,DM162,DI163+DJ163+DK163+Inputs!$D$6-DL162))</f>
        <v>0</v>
      </c>
      <c r="DI163" s="38">
        <f>Inputs!$D$27*(1+Inputs!$D$28)^($A163/12)*IF(Inputs!$B$73=1,$G163,1)*(1-Inputs!$C$73*$H163*(1-Inputs!$E$54*Inputs!$B$73))*(1+$I163)*IF(Inputs!$D$29=0,1,(MAX(DL162,0)/Inputs!$D$6)^Inputs!$D$29)</f>
        <v>2016.4894283454523</v>
      </c>
      <c r="DJ163" s="38">
        <f>Inputs!$D$32*DL162/Inputs!$D$6</f>
        <v>970.47535563345934</v>
      </c>
      <c r="DK163" s="38">
        <f>Inputs!$D$33</f>
        <v>1500</v>
      </c>
      <c r="DL163" s="38">
        <f t="shared" si="143"/>
        <v>198850.72877731733</v>
      </c>
      <c r="DM163" s="38">
        <f t="shared" si="144"/>
        <v>0</v>
      </c>
      <c r="DN163" s="38">
        <f>Inputs!$D$19*(1-Inputs!$C$73*$H163)+Inputs!$D$21+Inputs!$B$73*$J163</f>
        <v>398150</v>
      </c>
      <c r="DO163" s="38">
        <f t="shared" si="145"/>
        <v>-199299.27122268267</v>
      </c>
      <c r="DP163" s="38">
        <f t="shared" si="146"/>
        <v>1</v>
      </c>
    </row>
    <row r="164" spans="1:120" x14ac:dyDescent="0.35">
      <c r="A164" s="29">
        <v>159</v>
      </c>
      <c r="B164" s="34">
        <f>EDATE(Inputs!$B$67,$A164)</f>
        <v>51105</v>
      </c>
      <c r="C164" s="35">
        <f>IF(Inputs!$E$47&lt;=0,Inputs!$E$46,Inputs!$E$44+(Inputs!$E$46-Inputs!$E$44)*MIN($A164/Inputs!$E$47,1))</f>
        <v>0.7</v>
      </c>
      <c r="D164" s="35">
        <f>MIN(Inputs!$E$57,Inputs!$E$55*(1+Inputs!$E$56)^($A164/12))*Inputs!$E$58*(1+Inputs!$E$59)^($A164/12)/Inputs!$E$45</f>
        <v>1.5</v>
      </c>
      <c r="E164" s="35">
        <f>MAX(Inputs!$E$44,MIN(C164,D164))</f>
        <v>0.7</v>
      </c>
      <c r="F164" s="35">
        <f>IF(Inputs!$E$50&lt;=0,Inputs!$E$49,Inputs!$E$48+(Inputs!$E$49-Inputs!$E$48)*MIN($A164/Inputs!$E$50,1))</f>
        <v>0.12</v>
      </c>
      <c r="G164" s="36">
        <f>(Inputs!$E$41*(1-E164*Inputs!$E$51)+Inputs!$E$42*(1-F164*Inputs!$E$51))/(Inputs!$E$41*(1-Inputs!$E$44*Inputs!$E$51)+Inputs!$E$42*(1-Inputs!$E$48*Inputs!$E$51))</f>
        <v>0.8423127463863338</v>
      </c>
      <c r="H164" s="35">
        <f>IF(Inputs!$E$53&lt;=0,Inputs!$E$52,Inputs!$E$52*MIN($A164/Inputs!$E$53,1))</f>
        <v>0.1</v>
      </c>
      <c r="I164" s="35">
        <f>IF(Inputs!$E$64&lt;=0,Inputs!$E$63,Inputs!$E$62+(Inputs!$E$63-Inputs!$E$62)*MIN($A164/Inputs!$E$64,1))</f>
        <v>0.03</v>
      </c>
      <c r="J164" s="37">
        <f>(E164-Inputs!$E$44)*Inputs!$E$45/Inputs!$E$60*Inputs!$E$61</f>
        <v>5999.9999999999991</v>
      </c>
      <c r="K164" s="29">
        <f t="shared" si="98"/>
        <v>0</v>
      </c>
      <c r="L164" s="29"/>
      <c r="M164" s="38">
        <f>MAX(0,MIN(Inputs!$B$36,R163,N164+O164+P164+Inputs!$B$6-Q163))</f>
        <v>0</v>
      </c>
      <c r="N164" s="38">
        <f>Inputs!$B$27*(1+Inputs!$B$28)^($A164/12)*IF(Inputs!$B$70=1,$G164,1)*(1-Inputs!$C$70*$H164*(1-Inputs!$E$54*Inputs!$B$70))*(1+$I164)*IF(Inputs!$B$29=0,1,(MAX(Q163,0)/Inputs!$B$6)^Inputs!$B$29)</f>
        <v>29490.8096815231</v>
      </c>
      <c r="O164" s="38">
        <f>Inputs!$B$32*Q163/Inputs!$B$6</f>
        <v>0</v>
      </c>
      <c r="P164" s="38">
        <f>Inputs!$B$33</f>
        <v>2500</v>
      </c>
      <c r="Q164" s="38">
        <f t="shared" si="99"/>
        <v>0</v>
      </c>
      <c r="R164" s="38">
        <f t="shared" si="100"/>
        <v>0</v>
      </c>
      <c r="S164" s="38">
        <f>Inputs!$B$19*(1-Inputs!$C$70*$H164)+Inputs!$B$21+Inputs!$B$70*$J164</f>
        <v>595000</v>
      </c>
      <c r="T164" s="38">
        <f t="shared" si="101"/>
        <v>-595000</v>
      </c>
      <c r="U164" s="38">
        <f t="shared" si="102"/>
        <v>1</v>
      </c>
      <c r="V164" s="38">
        <f>MAX(0,MIN(Inputs!$C$36,AA163,W164+X164+Y164+Inputs!$C$6-Z163))</f>
        <v>0</v>
      </c>
      <c r="W164" s="38">
        <f>Inputs!$C$27*(1+Inputs!$C$28)^($A164/12)*IF(Inputs!$B$70=1,$G164,1)*(1-Inputs!$C$70*$H164*(1-Inputs!$E$54*Inputs!$B$70))*(1+$I164)*IF(Inputs!$C$29=0,1,(MAX(Z163,0)/Inputs!$C$6)^Inputs!$C$29)</f>
        <v>0</v>
      </c>
      <c r="X164" s="38">
        <f>Inputs!$C$32*Z163/Inputs!$C$6</f>
        <v>0</v>
      </c>
      <c r="Y164" s="38">
        <f>Inputs!$C$33</f>
        <v>2000</v>
      </c>
      <c r="Z164" s="38">
        <f t="shared" si="103"/>
        <v>0</v>
      </c>
      <c r="AA164" s="38">
        <f t="shared" si="104"/>
        <v>0</v>
      </c>
      <c r="AB164" s="38">
        <f>Inputs!$C$19*(1-Inputs!$C$70*$H164)+Inputs!$C$21+Inputs!$B$70*$J164</f>
        <v>495000</v>
      </c>
      <c r="AC164" s="38">
        <f t="shared" si="105"/>
        <v>-495000</v>
      </c>
      <c r="AD164" s="38">
        <f t="shared" si="106"/>
        <v>1</v>
      </c>
      <c r="AE164" s="38">
        <f>MAX(0,MIN(Inputs!$D$36,AJ163,AF164+AG164+AH164+Inputs!$D$6-AI163))</f>
        <v>0</v>
      </c>
      <c r="AF164" s="38">
        <f>Inputs!$D$27*(1+Inputs!$D$28)^($A164/12)*IF(Inputs!$B$70=1,$G164,1)*(1-Inputs!$C$70*$H164*(1-Inputs!$E$54*Inputs!$B$70))*(1+$I164)*IF(Inputs!$D$29=0,1,(MAX(AI163,0)/Inputs!$D$6)^Inputs!$D$29)</f>
        <v>1868.2422043156296</v>
      </c>
      <c r="AG164" s="38">
        <f>Inputs!$D$32*AI163/Inputs!$D$6</f>
        <v>537.97941495763314</v>
      </c>
      <c r="AH164" s="38">
        <f>Inputs!$D$33</f>
        <v>1500</v>
      </c>
      <c r="AI164" s="38">
        <f t="shared" si="107"/>
        <v>108813.27484804035</v>
      </c>
      <c r="AJ164" s="38">
        <f t="shared" si="108"/>
        <v>0</v>
      </c>
      <c r="AK164" s="38">
        <f>Inputs!$D$19*(1-Inputs!$C$70*$H164)+Inputs!$D$21+Inputs!$B$70*$J164</f>
        <v>404800</v>
      </c>
      <c r="AL164" s="38">
        <f t="shared" si="109"/>
        <v>-295986.72515195963</v>
      </c>
      <c r="AM164" s="38">
        <f t="shared" si="110"/>
        <v>1</v>
      </c>
      <c r="AN164" s="38">
        <f>MAX(0,MIN(Inputs!$B$36,AS163,AO164+AP164+AQ164+Inputs!$B$6-AR163))</f>
        <v>0</v>
      </c>
      <c r="AO164" s="38">
        <f>Inputs!$B$27*(1+Inputs!$B$28)^($A164/12)*IF(Inputs!$B$71=1,$G164,1)*(1-Inputs!$C$71*$H164*(1-Inputs!$E$54*Inputs!$B$71))*(1+$I164)*IF(Inputs!$B$29=0,1,(MAX(AR163,0)/Inputs!$B$6)^Inputs!$B$29)</f>
        <v>24840.484896000406</v>
      </c>
      <c r="AP164" s="38">
        <f>Inputs!$B$32*AR163/Inputs!$B$6</f>
        <v>0</v>
      </c>
      <c r="AQ164" s="38">
        <f>Inputs!$B$33</f>
        <v>2500</v>
      </c>
      <c r="AR164" s="38">
        <f t="shared" si="111"/>
        <v>0</v>
      </c>
      <c r="AS164" s="38">
        <f t="shared" si="112"/>
        <v>0</v>
      </c>
      <c r="AT164" s="38">
        <f>Inputs!$B$19*(1-Inputs!$C$71*$H164)+Inputs!$B$21+Inputs!$B$71*$J164</f>
        <v>601000</v>
      </c>
      <c r="AU164" s="38">
        <f t="shared" si="113"/>
        <v>-601000</v>
      </c>
      <c r="AV164" s="38">
        <f t="shared" si="114"/>
        <v>1</v>
      </c>
      <c r="AW164" s="38">
        <f>MAX(0,MIN(Inputs!$C$36,BB163,AX164+AY164+AZ164+Inputs!$C$6-BA163))</f>
        <v>0</v>
      </c>
      <c r="AX164" s="38">
        <f>Inputs!$C$27*(1+Inputs!$C$28)^($A164/12)*IF(Inputs!$B$71=1,$G164,1)*(1-Inputs!$C$71*$H164*(1-Inputs!$E$54*Inputs!$B$71))*(1+$I164)*IF(Inputs!$C$29=0,1,(MAX(BA163,0)/Inputs!$C$6)^Inputs!$C$29)</f>
        <v>0</v>
      </c>
      <c r="AY164" s="38">
        <f>Inputs!$C$32*BA163/Inputs!$C$6</f>
        <v>0</v>
      </c>
      <c r="AZ164" s="38">
        <f>Inputs!$C$33</f>
        <v>2000</v>
      </c>
      <c r="BA164" s="38">
        <f t="shared" si="115"/>
        <v>0</v>
      </c>
      <c r="BB164" s="38">
        <f t="shared" si="116"/>
        <v>0</v>
      </c>
      <c r="BC164" s="38">
        <f>Inputs!$C$19*(1-Inputs!$C$71*$H164)+Inputs!$C$21+Inputs!$B$71*$J164</f>
        <v>501000</v>
      </c>
      <c r="BD164" s="38">
        <f t="shared" si="117"/>
        <v>-501000</v>
      </c>
      <c r="BE164" s="38">
        <f t="shared" si="118"/>
        <v>1</v>
      </c>
      <c r="BF164" s="38">
        <f>MAX(0,MIN(Inputs!$D$36,BK163,BG164+BH164+BI164+Inputs!$D$6-BJ163))</f>
        <v>0</v>
      </c>
      <c r="BG164" s="38">
        <f>Inputs!$D$27*(1+Inputs!$D$28)^($A164/12)*IF(Inputs!$B$71=1,$G164,1)*(1-Inputs!$C$71*$H164*(1-Inputs!$E$54*Inputs!$B$71))*(1+$I164)*IF(Inputs!$D$29=0,1,(MAX(BJ163,0)/Inputs!$D$6)^Inputs!$D$29)</f>
        <v>1990.2995048970365</v>
      </c>
      <c r="BH164" s="38">
        <f>Inputs!$D$32*BJ163/Inputs!$D$6</f>
        <v>860.57638659423276</v>
      </c>
      <c r="BI164" s="38">
        <f>Inputs!$D$33</f>
        <v>1500</v>
      </c>
      <c r="BJ164" s="38">
        <f t="shared" si="119"/>
        <v>175960.36701396701</v>
      </c>
      <c r="BK164" s="38">
        <f t="shared" si="120"/>
        <v>0</v>
      </c>
      <c r="BL164" s="38">
        <f>Inputs!$D$19*(1-Inputs!$C$71*$H164)+Inputs!$D$21+Inputs!$B$71*$J164</f>
        <v>410800</v>
      </c>
      <c r="BM164" s="38">
        <f t="shared" si="121"/>
        <v>-234839.63298603299</v>
      </c>
      <c r="BN164" s="38">
        <f t="shared" si="122"/>
        <v>1</v>
      </c>
      <c r="BO164" s="38">
        <f>MAX(0,MIN(Inputs!$B$36,BT163,BP164+BQ164+BR164+Inputs!$B$6-BS163))</f>
        <v>0</v>
      </c>
      <c r="BP164" s="38">
        <f>Inputs!$B$27*(1+Inputs!$B$28)^($A164/12)*IF(Inputs!$B$72=1,$G164,1)*(1-Inputs!$C$72*$H164*(1-Inputs!$E$54*Inputs!$B$72))*(1+$I164)*IF(Inputs!$B$29=0,1,(MAX(BS163,0)/Inputs!$B$6)^Inputs!$B$29)</f>
        <v>26541.728713370791</v>
      </c>
      <c r="BQ164" s="38">
        <f>Inputs!$B$32*BS163/Inputs!$B$6</f>
        <v>0</v>
      </c>
      <c r="BR164" s="38">
        <f>Inputs!$B$33</f>
        <v>2500</v>
      </c>
      <c r="BS164" s="38">
        <f t="shared" si="123"/>
        <v>0</v>
      </c>
      <c r="BT164" s="38">
        <f t="shared" si="124"/>
        <v>0</v>
      </c>
      <c r="BU164" s="38">
        <f>Inputs!$B$19*(1-Inputs!$C$72*$H164)+Inputs!$B$21+Inputs!$B$72*$J164</f>
        <v>577500</v>
      </c>
      <c r="BV164" s="38">
        <f t="shared" si="125"/>
        <v>-577500</v>
      </c>
      <c r="BW164" s="38">
        <f t="shared" si="126"/>
        <v>1</v>
      </c>
      <c r="BX164" s="38">
        <f>MAX(0,MIN(Inputs!$C$36,CC163,BY164+BZ164+CA164+Inputs!$C$6-CB163))</f>
        <v>0</v>
      </c>
      <c r="BY164" s="38">
        <f>Inputs!$C$27*(1+Inputs!$C$28)^($A164/12)*IF(Inputs!$B$72=1,$G164,1)*(1-Inputs!$C$72*$H164*(1-Inputs!$E$54*Inputs!$B$72))*(1+$I164)*IF(Inputs!$C$29=0,1,(MAX(CB163,0)/Inputs!$C$6)^Inputs!$C$29)</f>
        <v>0</v>
      </c>
      <c r="BZ164" s="38">
        <f>Inputs!$C$32*CB163/Inputs!$C$6</f>
        <v>0</v>
      </c>
      <c r="CA164" s="38">
        <f>Inputs!$C$33</f>
        <v>2000</v>
      </c>
      <c r="CB164" s="38">
        <f t="shared" si="127"/>
        <v>0</v>
      </c>
      <c r="CC164" s="38">
        <f t="shared" si="128"/>
        <v>0</v>
      </c>
      <c r="CD164" s="38">
        <f>Inputs!$C$19*(1-Inputs!$C$72*$H164)+Inputs!$C$21+Inputs!$B$72*$J164</f>
        <v>480000</v>
      </c>
      <c r="CE164" s="38">
        <f t="shared" si="129"/>
        <v>-480000</v>
      </c>
      <c r="CF164" s="38">
        <f t="shared" si="130"/>
        <v>1</v>
      </c>
      <c r="CG164" s="38">
        <f>MAX(0,MIN(Inputs!$D$36,CL163,CH164+CI164+CJ164+Inputs!$D$6-CK163))</f>
        <v>0</v>
      </c>
      <c r="CH164" s="38">
        <f>Inputs!$D$27*(1+Inputs!$D$28)^($A164/12)*IF(Inputs!$B$72=1,$G164,1)*(1-Inputs!$C$72*$H164*(1-Inputs!$E$54*Inputs!$B$72))*(1+$I164)*IF(Inputs!$D$29=0,1,(MAX(CK163,0)/Inputs!$D$6)^Inputs!$D$29)</f>
        <v>1942.5962669145811</v>
      </c>
      <c r="CI164" s="38">
        <f>Inputs!$D$32*CK163/Inputs!$D$6</f>
        <v>718.09083124823178</v>
      </c>
      <c r="CJ164" s="38">
        <f>Inputs!$D$33</f>
        <v>1500</v>
      </c>
      <c r="CK164" s="38">
        <f t="shared" si="131"/>
        <v>146296.43944908577</v>
      </c>
      <c r="CL164" s="38">
        <f t="shared" si="132"/>
        <v>0</v>
      </c>
      <c r="CM164" s="38">
        <f>Inputs!$D$19*(1-Inputs!$C$72*$H164)+Inputs!$D$21+Inputs!$B$72*$J164</f>
        <v>392150</v>
      </c>
      <c r="CN164" s="38">
        <f t="shared" si="133"/>
        <v>-245853.56055091423</v>
      </c>
      <c r="CO164" s="38">
        <f t="shared" si="134"/>
        <v>1</v>
      </c>
      <c r="CP164" s="38">
        <f>MAX(0,MIN(Inputs!$B$36,CU163,CQ164+CR164+CS164+Inputs!$B$6-CT163))</f>
        <v>0</v>
      </c>
      <c r="CQ164" s="38">
        <f>Inputs!$B$27*(1+Inputs!$B$28)^($A164/12)*IF(Inputs!$B$73=1,$G164,1)*(1-Inputs!$C$73*$H164*(1-Inputs!$E$54*Inputs!$B$73))*(1+$I164)*IF(Inputs!$B$29=0,1,(MAX(CT163,0)/Inputs!$B$6)^Inputs!$B$29)</f>
        <v>23598.460651200385</v>
      </c>
      <c r="CR164" s="38">
        <f>Inputs!$B$32*CT163/Inputs!$B$6</f>
        <v>0</v>
      </c>
      <c r="CS164" s="38">
        <f>Inputs!$B$33</f>
        <v>2500</v>
      </c>
      <c r="CT164" s="38">
        <f t="shared" si="135"/>
        <v>0</v>
      </c>
      <c r="CU164" s="38">
        <f t="shared" si="136"/>
        <v>0</v>
      </c>
      <c r="CV164" s="38">
        <f>Inputs!$B$19*(1-Inputs!$C$73*$H164)+Inputs!$B$21+Inputs!$B$73*$J164</f>
        <v>583500</v>
      </c>
      <c r="CW164" s="38">
        <f t="shared" si="137"/>
        <v>-583500</v>
      </c>
      <c r="CX164" s="38">
        <f t="shared" si="138"/>
        <v>1</v>
      </c>
      <c r="CY164" s="38">
        <f>MAX(0,MIN(Inputs!$C$36,DD163,CZ164+DA164+DB164+Inputs!$C$6-DC163))</f>
        <v>0</v>
      </c>
      <c r="CZ164" s="38">
        <f>Inputs!$C$27*(1+Inputs!$C$28)^($A164/12)*IF(Inputs!$B$73=1,$G164,1)*(1-Inputs!$C$73*$H164*(1-Inputs!$E$54*Inputs!$B$73))*(1+$I164)*IF(Inputs!$C$29=0,1,(MAX(DC163,0)/Inputs!$C$6)^Inputs!$C$29)</f>
        <v>0</v>
      </c>
      <c r="DA164" s="38">
        <f>Inputs!$C$32*DC163/Inputs!$C$6</f>
        <v>0</v>
      </c>
      <c r="DB164" s="38">
        <f>Inputs!$C$33</f>
        <v>2000</v>
      </c>
      <c r="DC164" s="38">
        <f t="shared" si="139"/>
        <v>0</v>
      </c>
      <c r="DD164" s="38">
        <f t="shared" si="140"/>
        <v>0</v>
      </c>
      <c r="DE164" s="38">
        <f>Inputs!$C$19*(1-Inputs!$C$73*$H164)+Inputs!$C$21+Inputs!$B$73*$J164</f>
        <v>486000</v>
      </c>
      <c r="DF164" s="38">
        <f t="shared" si="141"/>
        <v>-486000</v>
      </c>
      <c r="DG164" s="38">
        <f t="shared" si="142"/>
        <v>1</v>
      </c>
      <c r="DH164" s="38">
        <f>MAX(0,MIN(Inputs!$D$36,DM163,DI164+DJ164+DK164+Inputs!$D$6-DL163))</f>
        <v>0</v>
      </c>
      <c r="DI164" s="38">
        <f>Inputs!$D$27*(1+Inputs!$D$28)^($A164/12)*IF(Inputs!$B$73=1,$G164,1)*(1-Inputs!$C$73*$H164*(1-Inputs!$E$54*Inputs!$B$73))*(1+$I164)*IF(Inputs!$D$29=0,1,(MAX(DL163,0)/Inputs!$D$6)^Inputs!$D$29)</f>
        <v>1985.6112750058514</v>
      </c>
      <c r="DJ164" s="38">
        <f>Inputs!$D$32*DL163/Inputs!$D$6</f>
        <v>949.06029643719626</v>
      </c>
      <c r="DK164" s="38">
        <f>Inputs!$D$33</f>
        <v>1500</v>
      </c>
      <c r="DL164" s="38">
        <f t="shared" si="143"/>
        <v>194416.05720587427</v>
      </c>
      <c r="DM164" s="38">
        <f t="shared" si="144"/>
        <v>0</v>
      </c>
      <c r="DN164" s="38">
        <f>Inputs!$D$19*(1-Inputs!$C$73*$H164)+Inputs!$D$21+Inputs!$B$73*$J164</f>
        <v>398150</v>
      </c>
      <c r="DO164" s="38">
        <f t="shared" si="145"/>
        <v>-203733.94279412573</v>
      </c>
      <c r="DP164" s="38">
        <f t="shared" si="146"/>
        <v>1</v>
      </c>
    </row>
    <row r="165" spans="1:120" x14ac:dyDescent="0.35">
      <c r="A165" s="29">
        <v>160</v>
      </c>
      <c r="B165" s="34">
        <f>EDATE(Inputs!$B$67,$A165)</f>
        <v>51136</v>
      </c>
      <c r="C165" s="35">
        <f>IF(Inputs!$E$47&lt;=0,Inputs!$E$46,Inputs!$E$44+(Inputs!$E$46-Inputs!$E$44)*MIN($A165/Inputs!$E$47,1))</f>
        <v>0.7</v>
      </c>
      <c r="D165" s="35">
        <f>MIN(Inputs!$E$57,Inputs!$E$55*(1+Inputs!$E$56)^($A165/12))*Inputs!$E$58*(1+Inputs!$E$59)^($A165/12)/Inputs!$E$45</f>
        <v>1.5</v>
      </c>
      <c r="E165" s="35">
        <f>MAX(Inputs!$E$44,MIN(C165,D165))</f>
        <v>0.7</v>
      </c>
      <c r="F165" s="35">
        <f>IF(Inputs!$E$50&lt;=0,Inputs!$E$49,Inputs!$E$48+(Inputs!$E$49-Inputs!$E$48)*MIN($A165/Inputs!$E$50,1))</f>
        <v>0.12</v>
      </c>
      <c r="G165" s="36">
        <f>(Inputs!$E$41*(1-E165*Inputs!$E$51)+Inputs!$E$42*(1-F165*Inputs!$E$51))/(Inputs!$E$41*(1-Inputs!$E$44*Inputs!$E$51)+Inputs!$E$42*(1-Inputs!$E$48*Inputs!$E$51))</f>
        <v>0.8423127463863338</v>
      </c>
      <c r="H165" s="35">
        <f>IF(Inputs!$E$53&lt;=0,Inputs!$E$52,Inputs!$E$52*MIN($A165/Inputs!$E$53,1))</f>
        <v>0.1</v>
      </c>
      <c r="I165" s="35">
        <f>IF(Inputs!$E$64&lt;=0,Inputs!$E$63,Inputs!$E$62+(Inputs!$E$63-Inputs!$E$62)*MIN($A165/Inputs!$E$64,1))</f>
        <v>0.03</v>
      </c>
      <c r="J165" s="37">
        <f>(E165-Inputs!$E$44)*Inputs!$E$45/Inputs!$E$60*Inputs!$E$61</f>
        <v>5999.9999999999991</v>
      </c>
      <c r="K165" s="29">
        <f t="shared" si="98"/>
        <v>0</v>
      </c>
      <c r="L165" s="29"/>
      <c r="M165" s="38">
        <f>MAX(0,MIN(Inputs!$B$36,R164,N165+O165+P165+Inputs!$B$6-Q164))</f>
        <v>0</v>
      </c>
      <c r="N165" s="38">
        <f>Inputs!$B$27*(1+Inputs!$B$28)^($A165/12)*IF(Inputs!$B$70=1,$G165,1)*(1-Inputs!$C$70*$H165*(1-Inputs!$E$54*Inputs!$B$70))*(1+$I165)*IF(Inputs!$B$29=0,1,(MAX(Q164,0)/Inputs!$B$6)^Inputs!$B$29)</f>
        <v>29610.958890645645</v>
      </c>
      <c r="O165" s="38">
        <f>Inputs!$B$32*Q164/Inputs!$B$6</f>
        <v>0</v>
      </c>
      <c r="P165" s="38">
        <f>Inputs!$B$33</f>
        <v>2500</v>
      </c>
      <c r="Q165" s="38">
        <f t="shared" si="99"/>
        <v>0</v>
      </c>
      <c r="R165" s="38">
        <f t="shared" si="100"/>
        <v>0</v>
      </c>
      <c r="S165" s="38">
        <f>Inputs!$B$19*(1-Inputs!$C$70*$H165)+Inputs!$B$21+Inputs!$B$70*$J165</f>
        <v>595000</v>
      </c>
      <c r="T165" s="38">
        <f t="shared" si="101"/>
        <v>-595000</v>
      </c>
      <c r="U165" s="38">
        <f t="shared" si="102"/>
        <v>1</v>
      </c>
      <c r="V165" s="38">
        <f>MAX(0,MIN(Inputs!$C$36,AA164,W165+X165+Y165+Inputs!$C$6-Z164))</f>
        <v>0</v>
      </c>
      <c r="W165" s="38">
        <f>Inputs!$C$27*(1+Inputs!$C$28)^($A165/12)*IF(Inputs!$B$70=1,$G165,1)*(1-Inputs!$C$70*$H165*(1-Inputs!$E$54*Inputs!$B$70))*(1+$I165)*IF(Inputs!$C$29=0,1,(MAX(Z164,0)/Inputs!$C$6)^Inputs!$C$29)</f>
        <v>0</v>
      </c>
      <c r="X165" s="38">
        <f>Inputs!$C$32*Z164/Inputs!$C$6</f>
        <v>0</v>
      </c>
      <c r="Y165" s="38">
        <f>Inputs!$C$33</f>
        <v>2000</v>
      </c>
      <c r="Z165" s="38">
        <f t="shared" si="103"/>
        <v>0</v>
      </c>
      <c r="AA165" s="38">
        <f t="shared" si="104"/>
        <v>0</v>
      </c>
      <c r="AB165" s="38">
        <f>Inputs!$C$19*(1-Inputs!$C$70*$H165)+Inputs!$C$21+Inputs!$B$70*$J165</f>
        <v>495000</v>
      </c>
      <c r="AC165" s="38">
        <f t="shared" si="105"/>
        <v>-495000</v>
      </c>
      <c r="AD165" s="38">
        <f t="shared" si="106"/>
        <v>1</v>
      </c>
      <c r="AE165" s="38">
        <f>MAX(0,MIN(Inputs!$D$36,AJ164,AF165+AG165+AH165+Inputs!$D$6-AI164))</f>
        <v>0</v>
      </c>
      <c r="AF165" s="38">
        <f>Inputs!$D$27*(1+Inputs!$D$28)^($A165/12)*IF(Inputs!$B$70=1,$G165,1)*(1-Inputs!$C$70*$H165*(1-Inputs!$E$54*Inputs!$B$70))*(1+$I165)*IF(Inputs!$D$29=0,1,(MAX(AI164,0)/Inputs!$D$6)^Inputs!$D$29)</f>
        <v>1827.7560621069642</v>
      </c>
      <c r="AG165" s="38">
        <f>Inputs!$D$32*AI164/Inputs!$D$6</f>
        <v>519.33608450201075</v>
      </c>
      <c r="AH165" s="38">
        <f>Inputs!$D$33</f>
        <v>1500</v>
      </c>
      <c r="AI165" s="38">
        <f t="shared" si="107"/>
        <v>104966.18270143137</v>
      </c>
      <c r="AJ165" s="38">
        <f t="shared" si="108"/>
        <v>0</v>
      </c>
      <c r="AK165" s="38">
        <f>Inputs!$D$19*(1-Inputs!$C$70*$H165)+Inputs!$D$21+Inputs!$B$70*$J165</f>
        <v>404800</v>
      </c>
      <c r="AL165" s="38">
        <f t="shared" si="109"/>
        <v>-299833.81729856861</v>
      </c>
      <c r="AM165" s="38">
        <f t="shared" si="110"/>
        <v>1</v>
      </c>
      <c r="AN165" s="38">
        <f>MAX(0,MIN(Inputs!$B$36,AS164,AO165+AP165+AQ165+Inputs!$B$6-AR164))</f>
        <v>0</v>
      </c>
      <c r="AO165" s="38">
        <f>Inputs!$B$27*(1+Inputs!$B$28)^($A165/12)*IF(Inputs!$B$71=1,$G165,1)*(1-Inputs!$C$71*$H165*(1-Inputs!$E$54*Inputs!$B$71))*(1+$I165)*IF(Inputs!$B$29=0,1,(MAX(AR164,0)/Inputs!$B$6)^Inputs!$B$29)</f>
        <v>24941.688106312558</v>
      </c>
      <c r="AP165" s="38">
        <f>Inputs!$B$32*AR164/Inputs!$B$6</f>
        <v>0</v>
      </c>
      <c r="AQ165" s="38">
        <f>Inputs!$B$33</f>
        <v>2500</v>
      </c>
      <c r="AR165" s="38">
        <f t="shared" si="111"/>
        <v>0</v>
      </c>
      <c r="AS165" s="38">
        <f t="shared" si="112"/>
        <v>0</v>
      </c>
      <c r="AT165" s="38">
        <f>Inputs!$B$19*(1-Inputs!$C$71*$H165)+Inputs!$B$21+Inputs!$B$71*$J165</f>
        <v>601000</v>
      </c>
      <c r="AU165" s="38">
        <f t="shared" si="113"/>
        <v>-601000</v>
      </c>
      <c r="AV165" s="38">
        <f t="shared" si="114"/>
        <v>1</v>
      </c>
      <c r="AW165" s="38">
        <f>MAX(0,MIN(Inputs!$C$36,BB164,AX165+AY165+AZ165+Inputs!$C$6-BA164))</f>
        <v>0</v>
      </c>
      <c r="AX165" s="38">
        <f>Inputs!$C$27*(1+Inputs!$C$28)^($A165/12)*IF(Inputs!$B$71=1,$G165,1)*(1-Inputs!$C$71*$H165*(1-Inputs!$E$54*Inputs!$B$71))*(1+$I165)*IF(Inputs!$C$29=0,1,(MAX(BA164,0)/Inputs!$C$6)^Inputs!$C$29)</f>
        <v>0</v>
      </c>
      <c r="AY165" s="38">
        <f>Inputs!$C$32*BA164/Inputs!$C$6</f>
        <v>0</v>
      </c>
      <c r="AZ165" s="38">
        <f>Inputs!$C$33</f>
        <v>2000</v>
      </c>
      <c r="BA165" s="38">
        <f t="shared" si="115"/>
        <v>0</v>
      </c>
      <c r="BB165" s="38">
        <f t="shared" si="116"/>
        <v>0</v>
      </c>
      <c r="BC165" s="38">
        <f>Inputs!$C$19*(1-Inputs!$C$71*$H165)+Inputs!$C$21+Inputs!$B$71*$J165</f>
        <v>501000</v>
      </c>
      <c r="BD165" s="38">
        <f t="shared" si="117"/>
        <v>-501000</v>
      </c>
      <c r="BE165" s="38">
        <f t="shared" si="118"/>
        <v>1</v>
      </c>
      <c r="BF165" s="38">
        <f>MAX(0,MIN(Inputs!$D$36,BK164,BG165+BH165+BI165+Inputs!$D$6-BJ164))</f>
        <v>0</v>
      </c>
      <c r="BG165" s="38">
        <f>Inputs!$D$27*(1+Inputs!$D$28)^($A165/12)*IF(Inputs!$B$71=1,$G165,1)*(1-Inputs!$C$71*$H165*(1-Inputs!$E$54*Inputs!$B$71))*(1+$I165)*IF(Inputs!$D$29=0,1,(MAX(BJ164,0)/Inputs!$D$6)^Inputs!$D$29)</f>
        <v>1957.753886539022</v>
      </c>
      <c r="BH165" s="38">
        <f>Inputs!$D$32*BJ164/Inputs!$D$6</f>
        <v>839.81084256666077</v>
      </c>
      <c r="BI165" s="38">
        <f>Inputs!$D$33</f>
        <v>1500</v>
      </c>
      <c r="BJ165" s="38">
        <f t="shared" si="119"/>
        <v>171662.80228486133</v>
      </c>
      <c r="BK165" s="38">
        <f t="shared" si="120"/>
        <v>0</v>
      </c>
      <c r="BL165" s="38">
        <f>Inputs!$D$19*(1-Inputs!$C$71*$H165)+Inputs!$D$21+Inputs!$B$71*$J165</f>
        <v>410800</v>
      </c>
      <c r="BM165" s="38">
        <f t="shared" si="121"/>
        <v>-239137.19771513867</v>
      </c>
      <c r="BN165" s="38">
        <f t="shared" si="122"/>
        <v>1</v>
      </c>
      <c r="BO165" s="38">
        <f>MAX(0,MIN(Inputs!$B$36,BT164,BP165+BQ165+BR165+Inputs!$B$6-BS164))</f>
        <v>0</v>
      </c>
      <c r="BP165" s="38">
        <f>Inputs!$B$27*(1+Inputs!$B$28)^($A165/12)*IF(Inputs!$B$72=1,$G165,1)*(1-Inputs!$C$72*$H165*(1-Inputs!$E$54*Inputs!$B$72))*(1+$I165)*IF(Inputs!$B$29=0,1,(MAX(BS164,0)/Inputs!$B$6)^Inputs!$B$29)</f>
        <v>26649.863001581081</v>
      </c>
      <c r="BQ165" s="38">
        <f>Inputs!$B$32*BS164/Inputs!$B$6</f>
        <v>0</v>
      </c>
      <c r="BR165" s="38">
        <f>Inputs!$B$33</f>
        <v>2500</v>
      </c>
      <c r="BS165" s="38">
        <f t="shared" si="123"/>
        <v>0</v>
      </c>
      <c r="BT165" s="38">
        <f t="shared" si="124"/>
        <v>0</v>
      </c>
      <c r="BU165" s="38">
        <f>Inputs!$B$19*(1-Inputs!$C$72*$H165)+Inputs!$B$21+Inputs!$B$72*$J165</f>
        <v>577500</v>
      </c>
      <c r="BV165" s="38">
        <f t="shared" si="125"/>
        <v>-577500</v>
      </c>
      <c r="BW165" s="38">
        <f t="shared" si="126"/>
        <v>1</v>
      </c>
      <c r="BX165" s="38">
        <f>MAX(0,MIN(Inputs!$C$36,CC164,BY165+BZ165+CA165+Inputs!$C$6-CB164))</f>
        <v>0</v>
      </c>
      <c r="BY165" s="38">
        <f>Inputs!$C$27*(1+Inputs!$C$28)^($A165/12)*IF(Inputs!$B$72=1,$G165,1)*(1-Inputs!$C$72*$H165*(1-Inputs!$E$54*Inputs!$B$72))*(1+$I165)*IF(Inputs!$C$29=0,1,(MAX(CB164,0)/Inputs!$C$6)^Inputs!$C$29)</f>
        <v>0</v>
      </c>
      <c r="BZ165" s="38">
        <f>Inputs!$C$32*CB164/Inputs!$C$6</f>
        <v>0</v>
      </c>
      <c r="CA165" s="38">
        <f>Inputs!$C$33</f>
        <v>2000</v>
      </c>
      <c r="CB165" s="38">
        <f t="shared" si="127"/>
        <v>0</v>
      </c>
      <c r="CC165" s="38">
        <f t="shared" si="128"/>
        <v>0</v>
      </c>
      <c r="CD165" s="38">
        <f>Inputs!$C$19*(1-Inputs!$C$72*$H165)+Inputs!$C$21+Inputs!$B$72*$J165</f>
        <v>480000</v>
      </c>
      <c r="CE165" s="38">
        <f t="shared" si="129"/>
        <v>-480000</v>
      </c>
      <c r="CF165" s="38">
        <f t="shared" si="130"/>
        <v>1</v>
      </c>
      <c r="CG165" s="38">
        <f>MAX(0,MIN(Inputs!$D$36,CL164,CH165+CI165+CJ165+Inputs!$D$6-CK164))</f>
        <v>0</v>
      </c>
      <c r="CH165" s="38">
        <f>Inputs!$D$27*(1+Inputs!$D$28)^($A165/12)*IF(Inputs!$B$72=1,$G165,1)*(1-Inputs!$C$72*$H165*(1-Inputs!$E$54*Inputs!$B$72))*(1+$I165)*IF(Inputs!$D$29=0,1,(MAX(CK164,0)/Inputs!$D$6)^Inputs!$D$29)</f>
        <v>1907.3776092515238</v>
      </c>
      <c r="CI165" s="38">
        <f>Inputs!$D$32*CK164/Inputs!$D$6</f>
        <v>698.23300646154564</v>
      </c>
      <c r="CJ165" s="38">
        <f>Inputs!$D$33</f>
        <v>1500</v>
      </c>
      <c r="CK165" s="38">
        <f t="shared" si="131"/>
        <v>142190.82883337268</v>
      </c>
      <c r="CL165" s="38">
        <f t="shared" si="132"/>
        <v>0</v>
      </c>
      <c r="CM165" s="38">
        <f>Inputs!$D$19*(1-Inputs!$C$72*$H165)+Inputs!$D$21+Inputs!$B$72*$J165</f>
        <v>392150</v>
      </c>
      <c r="CN165" s="38">
        <f t="shared" si="133"/>
        <v>-249959.17116662732</v>
      </c>
      <c r="CO165" s="38">
        <f t="shared" si="134"/>
        <v>1</v>
      </c>
      <c r="CP165" s="38">
        <f>MAX(0,MIN(Inputs!$B$36,CU164,CQ165+CR165+CS165+Inputs!$B$6-CT164))</f>
        <v>0</v>
      </c>
      <c r="CQ165" s="38">
        <f>Inputs!$B$27*(1+Inputs!$B$28)^($A165/12)*IF(Inputs!$B$73=1,$G165,1)*(1-Inputs!$C$73*$H165*(1-Inputs!$E$54*Inputs!$B$73))*(1+$I165)*IF(Inputs!$B$29=0,1,(MAX(CT164,0)/Inputs!$B$6)^Inputs!$B$29)</f>
        <v>23694.60370099693</v>
      </c>
      <c r="CR165" s="38">
        <f>Inputs!$B$32*CT164/Inputs!$B$6</f>
        <v>0</v>
      </c>
      <c r="CS165" s="38">
        <f>Inputs!$B$33</f>
        <v>2500</v>
      </c>
      <c r="CT165" s="38">
        <f t="shared" si="135"/>
        <v>0</v>
      </c>
      <c r="CU165" s="38">
        <f t="shared" si="136"/>
        <v>0</v>
      </c>
      <c r="CV165" s="38">
        <f>Inputs!$B$19*(1-Inputs!$C$73*$H165)+Inputs!$B$21+Inputs!$B$73*$J165</f>
        <v>583500</v>
      </c>
      <c r="CW165" s="38">
        <f t="shared" si="137"/>
        <v>-583500</v>
      </c>
      <c r="CX165" s="38">
        <f t="shared" si="138"/>
        <v>1</v>
      </c>
      <c r="CY165" s="38">
        <f>MAX(0,MIN(Inputs!$C$36,DD164,CZ165+DA165+DB165+Inputs!$C$6-DC164))</f>
        <v>0</v>
      </c>
      <c r="CZ165" s="38">
        <f>Inputs!$C$27*(1+Inputs!$C$28)^($A165/12)*IF(Inputs!$B$73=1,$G165,1)*(1-Inputs!$C$73*$H165*(1-Inputs!$E$54*Inputs!$B$73))*(1+$I165)*IF(Inputs!$C$29=0,1,(MAX(DC164,0)/Inputs!$C$6)^Inputs!$C$29)</f>
        <v>0</v>
      </c>
      <c r="DA165" s="38">
        <f>Inputs!$C$32*DC164/Inputs!$C$6</f>
        <v>0</v>
      </c>
      <c r="DB165" s="38">
        <f>Inputs!$C$33</f>
        <v>2000</v>
      </c>
      <c r="DC165" s="38">
        <f t="shared" si="139"/>
        <v>0</v>
      </c>
      <c r="DD165" s="38">
        <f t="shared" si="140"/>
        <v>0</v>
      </c>
      <c r="DE165" s="38">
        <f>Inputs!$C$19*(1-Inputs!$C$73*$H165)+Inputs!$C$21+Inputs!$B$73*$J165</f>
        <v>486000</v>
      </c>
      <c r="DF165" s="38">
        <f t="shared" si="141"/>
        <v>-486000</v>
      </c>
      <c r="DG165" s="38">
        <f t="shared" si="142"/>
        <v>1</v>
      </c>
      <c r="DH165" s="38">
        <f>MAX(0,MIN(Inputs!$D$36,DM164,DI165+DJ165+DK165+Inputs!$D$6-DL164))</f>
        <v>0</v>
      </c>
      <c r="DI165" s="38">
        <f>Inputs!$D$27*(1+Inputs!$D$28)^($A165/12)*IF(Inputs!$B$73=1,$G165,1)*(1-Inputs!$C$73*$H165*(1-Inputs!$E$54*Inputs!$B$73))*(1+$I165)*IF(Inputs!$D$29=0,1,(MAX(DL164,0)/Inputs!$D$6)^Inputs!$D$29)</f>
        <v>1954.9710752167696</v>
      </c>
      <c r="DJ165" s="38">
        <f>Inputs!$D$32*DL164/Inputs!$D$6</f>
        <v>927.89481848258174</v>
      </c>
      <c r="DK165" s="38">
        <f>Inputs!$D$33</f>
        <v>1500</v>
      </c>
      <c r="DL165" s="38">
        <f t="shared" si="143"/>
        <v>190033.19131217492</v>
      </c>
      <c r="DM165" s="38">
        <f t="shared" si="144"/>
        <v>0</v>
      </c>
      <c r="DN165" s="38">
        <f>Inputs!$D$19*(1-Inputs!$C$73*$H165)+Inputs!$D$21+Inputs!$B$73*$J165</f>
        <v>398150</v>
      </c>
      <c r="DO165" s="38">
        <f t="shared" si="145"/>
        <v>-208116.80868782508</v>
      </c>
      <c r="DP165" s="38">
        <f t="shared" si="146"/>
        <v>1</v>
      </c>
    </row>
    <row r="166" spans="1:120" x14ac:dyDescent="0.35">
      <c r="A166" s="29">
        <v>161</v>
      </c>
      <c r="B166" s="34">
        <f>EDATE(Inputs!$B$67,$A166)</f>
        <v>51167</v>
      </c>
      <c r="C166" s="35">
        <f>IF(Inputs!$E$47&lt;=0,Inputs!$E$46,Inputs!$E$44+(Inputs!$E$46-Inputs!$E$44)*MIN($A166/Inputs!$E$47,1))</f>
        <v>0.7</v>
      </c>
      <c r="D166" s="35">
        <f>MIN(Inputs!$E$57,Inputs!$E$55*(1+Inputs!$E$56)^($A166/12))*Inputs!$E$58*(1+Inputs!$E$59)^($A166/12)/Inputs!$E$45</f>
        <v>1.5</v>
      </c>
      <c r="E166" s="35">
        <f>MAX(Inputs!$E$44,MIN(C166,D166))</f>
        <v>0.7</v>
      </c>
      <c r="F166" s="35">
        <f>IF(Inputs!$E$50&lt;=0,Inputs!$E$49,Inputs!$E$48+(Inputs!$E$49-Inputs!$E$48)*MIN($A166/Inputs!$E$50,1))</f>
        <v>0.12</v>
      </c>
      <c r="G166" s="36">
        <f>(Inputs!$E$41*(1-E166*Inputs!$E$51)+Inputs!$E$42*(1-F166*Inputs!$E$51))/(Inputs!$E$41*(1-Inputs!$E$44*Inputs!$E$51)+Inputs!$E$42*(1-Inputs!$E$48*Inputs!$E$51))</f>
        <v>0.8423127463863338</v>
      </c>
      <c r="H166" s="35">
        <f>IF(Inputs!$E$53&lt;=0,Inputs!$E$52,Inputs!$E$52*MIN($A166/Inputs!$E$53,1))</f>
        <v>0.1</v>
      </c>
      <c r="I166" s="35">
        <f>IF(Inputs!$E$64&lt;=0,Inputs!$E$63,Inputs!$E$62+(Inputs!$E$63-Inputs!$E$62)*MIN($A166/Inputs!$E$64,1))</f>
        <v>0.03</v>
      </c>
      <c r="J166" s="37">
        <f>(E166-Inputs!$E$44)*Inputs!$E$45/Inputs!$E$60*Inputs!$E$61</f>
        <v>5999.9999999999991</v>
      </c>
      <c r="K166" s="29">
        <f t="shared" si="98"/>
        <v>0</v>
      </c>
      <c r="L166" s="29"/>
      <c r="M166" s="38">
        <f>MAX(0,MIN(Inputs!$B$36,R165,N166+O166+P166+Inputs!$B$6-Q165))</f>
        <v>0</v>
      </c>
      <c r="N166" s="38">
        <f>Inputs!$B$27*(1+Inputs!$B$28)^($A166/12)*IF(Inputs!$B$70=1,$G166,1)*(1-Inputs!$C$70*$H166*(1-Inputs!$E$54*Inputs!$B$70))*(1+$I166)*IF(Inputs!$B$29=0,1,(MAX(Q165,0)/Inputs!$B$6)^Inputs!$B$29)</f>
        <v>29731.597602518654</v>
      </c>
      <c r="O166" s="38">
        <f>Inputs!$B$32*Q165/Inputs!$B$6</f>
        <v>0</v>
      </c>
      <c r="P166" s="38">
        <f>Inputs!$B$33</f>
        <v>2500</v>
      </c>
      <c r="Q166" s="38">
        <f t="shared" si="99"/>
        <v>0</v>
      </c>
      <c r="R166" s="38">
        <f t="shared" si="100"/>
        <v>0</v>
      </c>
      <c r="S166" s="38">
        <f>Inputs!$B$19*(1-Inputs!$C$70*$H166)+Inputs!$B$21+Inputs!$B$70*$J166</f>
        <v>595000</v>
      </c>
      <c r="T166" s="38">
        <f t="shared" si="101"/>
        <v>-595000</v>
      </c>
      <c r="U166" s="38">
        <f t="shared" si="102"/>
        <v>1</v>
      </c>
      <c r="V166" s="38">
        <f>MAX(0,MIN(Inputs!$C$36,AA165,W166+X166+Y166+Inputs!$C$6-Z165))</f>
        <v>0</v>
      </c>
      <c r="W166" s="38">
        <f>Inputs!$C$27*(1+Inputs!$C$28)^($A166/12)*IF(Inputs!$B$70=1,$G166,1)*(1-Inputs!$C$70*$H166*(1-Inputs!$E$54*Inputs!$B$70))*(1+$I166)*IF(Inputs!$C$29=0,1,(MAX(Z165,0)/Inputs!$C$6)^Inputs!$C$29)</f>
        <v>0</v>
      </c>
      <c r="X166" s="38">
        <f>Inputs!$C$32*Z165/Inputs!$C$6</f>
        <v>0</v>
      </c>
      <c r="Y166" s="38">
        <f>Inputs!$C$33</f>
        <v>2000</v>
      </c>
      <c r="Z166" s="38">
        <f t="shared" si="103"/>
        <v>0</v>
      </c>
      <c r="AA166" s="38">
        <f t="shared" si="104"/>
        <v>0</v>
      </c>
      <c r="AB166" s="38">
        <f>Inputs!$C$19*(1-Inputs!$C$70*$H166)+Inputs!$C$21+Inputs!$B$70*$J166</f>
        <v>495000</v>
      </c>
      <c r="AC166" s="38">
        <f t="shared" si="105"/>
        <v>-495000</v>
      </c>
      <c r="AD166" s="38">
        <f t="shared" si="106"/>
        <v>1</v>
      </c>
      <c r="AE166" s="38">
        <f>MAX(0,MIN(Inputs!$D$36,AJ165,AF166+AG166+AH166+Inputs!$D$6-AI165))</f>
        <v>0</v>
      </c>
      <c r="AF166" s="38">
        <f>Inputs!$D$27*(1+Inputs!$D$28)^($A166/12)*IF(Inputs!$B$70=1,$G166,1)*(1-Inputs!$C$70*$H166*(1-Inputs!$E$54*Inputs!$B$70))*(1+$I166)*IF(Inputs!$D$29=0,1,(MAX(AI165,0)/Inputs!$D$6)^Inputs!$D$29)</f>
        <v>1787.4982612394992</v>
      </c>
      <c r="AG166" s="38">
        <f>Inputs!$D$32*AI165/Inputs!$D$6</f>
        <v>500.9749628931952</v>
      </c>
      <c r="AH166" s="38">
        <f>Inputs!$D$33</f>
        <v>1500</v>
      </c>
      <c r="AI166" s="38">
        <f t="shared" si="107"/>
        <v>101177.70947729869</v>
      </c>
      <c r="AJ166" s="38">
        <f t="shared" si="108"/>
        <v>0</v>
      </c>
      <c r="AK166" s="38">
        <f>Inputs!$D$19*(1-Inputs!$C$70*$H166)+Inputs!$D$21+Inputs!$B$70*$J166</f>
        <v>404800</v>
      </c>
      <c r="AL166" s="38">
        <f t="shared" si="109"/>
        <v>-303622.29052270134</v>
      </c>
      <c r="AM166" s="38">
        <f t="shared" si="110"/>
        <v>1</v>
      </c>
      <c r="AN166" s="38">
        <f>MAX(0,MIN(Inputs!$B$36,AS165,AO166+AP166+AQ166+Inputs!$B$6-AR165))</f>
        <v>0</v>
      </c>
      <c r="AO166" s="38">
        <f>Inputs!$B$27*(1+Inputs!$B$28)^($A166/12)*IF(Inputs!$B$71=1,$G166,1)*(1-Inputs!$C$71*$H166*(1-Inputs!$E$54*Inputs!$B$71))*(1+$I166)*IF(Inputs!$B$29=0,1,(MAX(AR165,0)/Inputs!$B$6)^Inputs!$B$29)</f>
        <v>25043.303631030823</v>
      </c>
      <c r="AP166" s="38">
        <f>Inputs!$B$32*AR165/Inputs!$B$6</f>
        <v>0</v>
      </c>
      <c r="AQ166" s="38">
        <f>Inputs!$B$33</f>
        <v>2500</v>
      </c>
      <c r="AR166" s="38">
        <f t="shared" si="111"/>
        <v>0</v>
      </c>
      <c r="AS166" s="38">
        <f t="shared" si="112"/>
        <v>0</v>
      </c>
      <c r="AT166" s="38">
        <f>Inputs!$B$19*(1-Inputs!$C$71*$H166)+Inputs!$B$21+Inputs!$B$71*$J166</f>
        <v>601000</v>
      </c>
      <c r="AU166" s="38">
        <f t="shared" si="113"/>
        <v>-601000</v>
      </c>
      <c r="AV166" s="38">
        <f t="shared" si="114"/>
        <v>1</v>
      </c>
      <c r="AW166" s="38">
        <f>MAX(0,MIN(Inputs!$C$36,BB165,AX166+AY166+AZ166+Inputs!$C$6-BA165))</f>
        <v>0</v>
      </c>
      <c r="AX166" s="38">
        <f>Inputs!$C$27*(1+Inputs!$C$28)^($A166/12)*IF(Inputs!$B$71=1,$G166,1)*(1-Inputs!$C$71*$H166*(1-Inputs!$E$54*Inputs!$B$71))*(1+$I166)*IF(Inputs!$C$29=0,1,(MAX(BA165,0)/Inputs!$C$6)^Inputs!$C$29)</f>
        <v>0</v>
      </c>
      <c r="AY166" s="38">
        <f>Inputs!$C$32*BA165/Inputs!$C$6</f>
        <v>0</v>
      </c>
      <c r="AZ166" s="38">
        <f>Inputs!$C$33</f>
        <v>2000</v>
      </c>
      <c r="BA166" s="38">
        <f t="shared" si="115"/>
        <v>0</v>
      </c>
      <c r="BB166" s="38">
        <f t="shared" si="116"/>
        <v>0</v>
      </c>
      <c r="BC166" s="38">
        <f>Inputs!$C$19*(1-Inputs!$C$71*$H166)+Inputs!$C$21+Inputs!$B$71*$J166</f>
        <v>501000</v>
      </c>
      <c r="BD166" s="38">
        <f t="shared" si="117"/>
        <v>-501000</v>
      </c>
      <c r="BE166" s="38">
        <f t="shared" si="118"/>
        <v>1</v>
      </c>
      <c r="BF166" s="38">
        <f>MAX(0,MIN(Inputs!$D$36,BK165,BG166+BH166+BI166+Inputs!$D$6-BJ165))</f>
        <v>0</v>
      </c>
      <c r="BG166" s="38">
        <f>Inputs!$D$27*(1+Inputs!$D$28)^($A166/12)*IF(Inputs!$B$71=1,$G166,1)*(1-Inputs!$C$71*$H166*(1-Inputs!$E$54*Inputs!$B$71))*(1+$I166)*IF(Inputs!$D$29=0,1,(MAX(BJ165,0)/Inputs!$D$6)^Inputs!$D$29)</f>
        <v>1925.4506763359427</v>
      </c>
      <c r="BH166" s="38">
        <f>Inputs!$D$32*BJ165/Inputs!$D$6</f>
        <v>819.29973817774726</v>
      </c>
      <c r="BI166" s="38">
        <f>Inputs!$D$33</f>
        <v>1500</v>
      </c>
      <c r="BJ166" s="38">
        <f t="shared" si="119"/>
        <v>167418.05187034764</v>
      </c>
      <c r="BK166" s="38">
        <f t="shared" si="120"/>
        <v>0</v>
      </c>
      <c r="BL166" s="38">
        <f>Inputs!$D$19*(1-Inputs!$C$71*$H166)+Inputs!$D$21+Inputs!$B$71*$J166</f>
        <v>410800</v>
      </c>
      <c r="BM166" s="38">
        <f t="shared" si="121"/>
        <v>-243381.94812965236</v>
      </c>
      <c r="BN166" s="38">
        <f t="shared" si="122"/>
        <v>1</v>
      </c>
      <c r="BO166" s="38">
        <f>MAX(0,MIN(Inputs!$B$36,BT165,BP166+BQ166+BR166+Inputs!$B$6-BS165))</f>
        <v>0</v>
      </c>
      <c r="BP166" s="38">
        <f>Inputs!$B$27*(1+Inputs!$B$28)^($A166/12)*IF(Inputs!$B$72=1,$G166,1)*(1-Inputs!$C$72*$H166*(1-Inputs!$E$54*Inputs!$B$72))*(1+$I166)*IF(Inputs!$B$29=0,1,(MAX(BS165,0)/Inputs!$B$6)^Inputs!$B$29)</f>
        <v>26758.437842266787</v>
      </c>
      <c r="BQ166" s="38">
        <f>Inputs!$B$32*BS165/Inputs!$B$6</f>
        <v>0</v>
      </c>
      <c r="BR166" s="38">
        <f>Inputs!$B$33</f>
        <v>2500</v>
      </c>
      <c r="BS166" s="38">
        <f t="shared" si="123"/>
        <v>0</v>
      </c>
      <c r="BT166" s="38">
        <f t="shared" si="124"/>
        <v>0</v>
      </c>
      <c r="BU166" s="38">
        <f>Inputs!$B$19*(1-Inputs!$C$72*$H166)+Inputs!$B$21+Inputs!$B$72*$J166</f>
        <v>577500</v>
      </c>
      <c r="BV166" s="38">
        <f t="shared" si="125"/>
        <v>-577500</v>
      </c>
      <c r="BW166" s="38">
        <f t="shared" si="126"/>
        <v>1</v>
      </c>
      <c r="BX166" s="38">
        <f>MAX(0,MIN(Inputs!$C$36,CC165,BY166+BZ166+CA166+Inputs!$C$6-CB165))</f>
        <v>0</v>
      </c>
      <c r="BY166" s="38">
        <f>Inputs!$C$27*(1+Inputs!$C$28)^($A166/12)*IF(Inputs!$B$72=1,$G166,1)*(1-Inputs!$C$72*$H166*(1-Inputs!$E$54*Inputs!$B$72))*(1+$I166)*IF(Inputs!$C$29=0,1,(MAX(CB165,0)/Inputs!$C$6)^Inputs!$C$29)</f>
        <v>0</v>
      </c>
      <c r="BZ166" s="38">
        <f>Inputs!$C$32*CB165/Inputs!$C$6</f>
        <v>0</v>
      </c>
      <c r="CA166" s="38">
        <f>Inputs!$C$33</f>
        <v>2000</v>
      </c>
      <c r="CB166" s="38">
        <f t="shared" si="127"/>
        <v>0</v>
      </c>
      <c r="CC166" s="38">
        <f t="shared" si="128"/>
        <v>0</v>
      </c>
      <c r="CD166" s="38">
        <f>Inputs!$C$19*(1-Inputs!$C$72*$H166)+Inputs!$C$21+Inputs!$B$72*$J166</f>
        <v>480000</v>
      </c>
      <c r="CE166" s="38">
        <f t="shared" si="129"/>
        <v>-480000</v>
      </c>
      <c r="CF166" s="38">
        <f t="shared" si="130"/>
        <v>1</v>
      </c>
      <c r="CG166" s="38">
        <f>MAX(0,MIN(Inputs!$D$36,CL165,CH166+CI166+CJ166+Inputs!$D$6-CK165))</f>
        <v>0</v>
      </c>
      <c r="CH166" s="38">
        <f>Inputs!$D$27*(1+Inputs!$D$28)^($A166/12)*IF(Inputs!$B$72=1,$G166,1)*(1-Inputs!$C$72*$H166*(1-Inputs!$E$54*Inputs!$B$72))*(1+$I166)*IF(Inputs!$D$29=0,1,(MAX(CK165,0)/Inputs!$D$6)^Inputs!$D$29)</f>
        <v>1872.4025700358807</v>
      </c>
      <c r="CI166" s="38">
        <f>Inputs!$D$32*CK165/Inputs!$D$6</f>
        <v>678.63804670473326</v>
      </c>
      <c r="CJ166" s="38">
        <f>Inputs!$D$33</f>
        <v>1500</v>
      </c>
      <c r="CK166" s="38">
        <f t="shared" si="131"/>
        <v>138139.78821663206</v>
      </c>
      <c r="CL166" s="38">
        <f t="shared" si="132"/>
        <v>0</v>
      </c>
      <c r="CM166" s="38">
        <f>Inputs!$D$19*(1-Inputs!$C$72*$H166)+Inputs!$D$21+Inputs!$B$72*$J166</f>
        <v>392150</v>
      </c>
      <c r="CN166" s="38">
        <f t="shared" si="133"/>
        <v>-254010.21178336794</v>
      </c>
      <c r="CO166" s="38">
        <f t="shared" si="134"/>
        <v>1</v>
      </c>
      <c r="CP166" s="38">
        <f>MAX(0,MIN(Inputs!$B$36,CU165,CQ166+CR166+CS166+Inputs!$B$6-CT165))</f>
        <v>0</v>
      </c>
      <c r="CQ166" s="38">
        <f>Inputs!$B$27*(1+Inputs!$B$28)^($A166/12)*IF(Inputs!$B$73=1,$G166,1)*(1-Inputs!$C$73*$H166*(1-Inputs!$E$54*Inputs!$B$73))*(1+$I166)*IF(Inputs!$B$29=0,1,(MAX(CT165,0)/Inputs!$B$6)^Inputs!$B$29)</f>
        <v>23791.138449479284</v>
      </c>
      <c r="CR166" s="38">
        <f>Inputs!$B$32*CT165/Inputs!$B$6</f>
        <v>0</v>
      </c>
      <c r="CS166" s="38">
        <f>Inputs!$B$33</f>
        <v>2500</v>
      </c>
      <c r="CT166" s="38">
        <f t="shared" si="135"/>
        <v>0</v>
      </c>
      <c r="CU166" s="38">
        <f t="shared" si="136"/>
        <v>0</v>
      </c>
      <c r="CV166" s="38">
        <f>Inputs!$B$19*(1-Inputs!$C$73*$H166)+Inputs!$B$21+Inputs!$B$73*$J166</f>
        <v>583500</v>
      </c>
      <c r="CW166" s="38">
        <f t="shared" si="137"/>
        <v>-583500</v>
      </c>
      <c r="CX166" s="38">
        <f t="shared" si="138"/>
        <v>1</v>
      </c>
      <c r="CY166" s="38">
        <f>MAX(0,MIN(Inputs!$C$36,DD165,CZ166+DA166+DB166+Inputs!$C$6-DC165))</f>
        <v>0</v>
      </c>
      <c r="CZ166" s="38">
        <f>Inputs!$C$27*(1+Inputs!$C$28)^($A166/12)*IF(Inputs!$B$73=1,$G166,1)*(1-Inputs!$C$73*$H166*(1-Inputs!$E$54*Inputs!$B$73))*(1+$I166)*IF(Inputs!$C$29=0,1,(MAX(DC165,0)/Inputs!$C$6)^Inputs!$C$29)</f>
        <v>0</v>
      </c>
      <c r="DA166" s="38">
        <f>Inputs!$C$32*DC165/Inputs!$C$6</f>
        <v>0</v>
      </c>
      <c r="DB166" s="38">
        <f>Inputs!$C$33</f>
        <v>2000</v>
      </c>
      <c r="DC166" s="38">
        <f t="shared" si="139"/>
        <v>0</v>
      </c>
      <c r="DD166" s="38">
        <f t="shared" si="140"/>
        <v>0</v>
      </c>
      <c r="DE166" s="38">
        <f>Inputs!$C$19*(1-Inputs!$C$73*$H166)+Inputs!$C$21+Inputs!$B$73*$J166</f>
        <v>486000</v>
      </c>
      <c r="DF166" s="38">
        <f t="shared" si="141"/>
        <v>-486000</v>
      </c>
      <c r="DG166" s="38">
        <f t="shared" si="142"/>
        <v>1</v>
      </c>
      <c r="DH166" s="38">
        <f>MAX(0,MIN(Inputs!$D$36,DM165,DI166+DJ166+DK166+Inputs!$D$6-DL165))</f>
        <v>0</v>
      </c>
      <c r="DI166" s="38">
        <f>Inputs!$D$27*(1+Inputs!$D$28)^($A166/12)*IF(Inputs!$B$73=1,$G166,1)*(1-Inputs!$C$73*$H166*(1-Inputs!$E$54*Inputs!$B$73))*(1+$I166)*IF(Inputs!$D$29=0,1,(MAX(DL165,0)/Inputs!$D$6)^Inputs!$D$29)</f>
        <v>1924.5652289662266</v>
      </c>
      <c r="DJ166" s="38">
        <f>Inputs!$D$32*DL165/Inputs!$D$6</f>
        <v>906.97659489901662</v>
      </c>
      <c r="DK166" s="38">
        <f>Inputs!$D$33</f>
        <v>1500</v>
      </c>
      <c r="DL166" s="38">
        <f t="shared" si="143"/>
        <v>185701.64948830966</v>
      </c>
      <c r="DM166" s="38">
        <f t="shared" si="144"/>
        <v>0</v>
      </c>
      <c r="DN166" s="38">
        <f>Inputs!$D$19*(1-Inputs!$C$73*$H166)+Inputs!$D$21+Inputs!$B$73*$J166</f>
        <v>398150</v>
      </c>
      <c r="DO166" s="38">
        <f t="shared" si="145"/>
        <v>-212448.35051169034</v>
      </c>
      <c r="DP166" s="38">
        <f t="shared" si="146"/>
        <v>1</v>
      </c>
    </row>
    <row r="167" spans="1:120" x14ac:dyDescent="0.35">
      <c r="A167" s="29">
        <v>162</v>
      </c>
      <c r="B167" s="34">
        <f>EDATE(Inputs!$B$67,$A167)</f>
        <v>51196</v>
      </c>
      <c r="C167" s="35">
        <f>IF(Inputs!$E$47&lt;=0,Inputs!$E$46,Inputs!$E$44+(Inputs!$E$46-Inputs!$E$44)*MIN($A167/Inputs!$E$47,1))</f>
        <v>0.7</v>
      </c>
      <c r="D167" s="35">
        <f>MIN(Inputs!$E$57,Inputs!$E$55*(1+Inputs!$E$56)^($A167/12))*Inputs!$E$58*(1+Inputs!$E$59)^($A167/12)/Inputs!$E$45</f>
        <v>1.5</v>
      </c>
      <c r="E167" s="35">
        <f>MAX(Inputs!$E$44,MIN(C167,D167))</f>
        <v>0.7</v>
      </c>
      <c r="F167" s="35">
        <f>IF(Inputs!$E$50&lt;=0,Inputs!$E$49,Inputs!$E$48+(Inputs!$E$49-Inputs!$E$48)*MIN($A167/Inputs!$E$50,1))</f>
        <v>0.12</v>
      </c>
      <c r="G167" s="36">
        <f>(Inputs!$E$41*(1-E167*Inputs!$E$51)+Inputs!$E$42*(1-F167*Inputs!$E$51))/(Inputs!$E$41*(1-Inputs!$E$44*Inputs!$E$51)+Inputs!$E$42*(1-Inputs!$E$48*Inputs!$E$51))</f>
        <v>0.8423127463863338</v>
      </c>
      <c r="H167" s="35">
        <f>IF(Inputs!$E$53&lt;=0,Inputs!$E$52,Inputs!$E$52*MIN($A167/Inputs!$E$53,1))</f>
        <v>0.1</v>
      </c>
      <c r="I167" s="35">
        <f>IF(Inputs!$E$64&lt;=0,Inputs!$E$63,Inputs!$E$62+(Inputs!$E$63-Inputs!$E$62)*MIN($A167/Inputs!$E$64,1))</f>
        <v>0.03</v>
      </c>
      <c r="J167" s="37">
        <f>(E167-Inputs!$E$44)*Inputs!$E$45/Inputs!$E$60*Inputs!$E$61</f>
        <v>5999.9999999999991</v>
      </c>
      <c r="K167" s="29">
        <f t="shared" si="98"/>
        <v>0</v>
      </c>
      <c r="L167" s="29"/>
      <c r="M167" s="38">
        <f>MAX(0,MIN(Inputs!$B$36,R166,N167+O167+P167+Inputs!$B$6-Q166))</f>
        <v>0</v>
      </c>
      <c r="N167" s="38">
        <f>Inputs!$B$27*(1+Inputs!$B$28)^($A167/12)*IF(Inputs!$B$70=1,$G167,1)*(1-Inputs!$C$70*$H167*(1-Inputs!$E$54*Inputs!$B$70))*(1+$I167)*IF(Inputs!$B$29=0,1,(MAX(Q166,0)/Inputs!$B$6)^Inputs!$B$29)</f>
        <v>29852.727811436933</v>
      </c>
      <c r="O167" s="38">
        <f>Inputs!$B$32*Q166/Inputs!$B$6</f>
        <v>0</v>
      </c>
      <c r="P167" s="38">
        <f>Inputs!$B$33</f>
        <v>2500</v>
      </c>
      <c r="Q167" s="38">
        <f t="shared" si="99"/>
        <v>0</v>
      </c>
      <c r="R167" s="38">
        <f t="shared" si="100"/>
        <v>0</v>
      </c>
      <c r="S167" s="38">
        <f>Inputs!$B$19*(1-Inputs!$C$70*$H167)+Inputs!$B$21+Inputs!$B$70*$J167</f>
        <v>595000</v>
      </c>
      <c r="T167" s="38">
        <f t="shared" si="101"/>
        <v>-595000</v>
      </c>
      <c r="U167" s="38">
        <f t="shared" si="102"/>
        <v>1</v>
      </c>
      <c r="V167" s="38">
        <f>MAX(0,MIN(Inputs!$C$36,AA166,W167+X167+Y167+Inputs!$C$6-Z166))</f>
        <v>0</v>
      </c>
      <c r="W167" s="38">
        <f>Inputs!$C$27*(1+Inputs!$C$28)^($A167/12)*IF(Inputs!$B$70=1,$G167,1)*(1-Inputs!$C$70*$H167*(1-Inputs!$E$54*Inputs!$B$70))*(1+$I167)*IF(Inputs!$C$29=0,1,(MAX(Z166,0)/Inputs!$C$6)^Inputs!$C$29)</f>
        <v>0</v>
      </c>
      <c r="X167" s="38">
        <f>Inputs!$C$32*Z166/Inputs!$C$6</f>
        <v>0</v>
      </c>
      <c r="Y167" s="38">
        <f>Inputs!$C$33</f>
        <v>2000</v>
      </c>
      <c r="Z167" s="38">
        <f t="shared" si="103"/>
        <v>0</v>
      </c>
      <c r="AA167" s="38">
        <f t="shared" si="104"/>
        <v>0</v>
      </c>
      <c r="AB167" s="38">
        <f>Inputs!$C$19*(1-Inputs!$C$70*$H167)+Inputs!$C$21+Inputs!$B$70*$J167</f>
        <v>495000</v>
      </c>
      <c r="AC167" s="38">
        <f t="shared" si="105"/>
        <v>-495000</v>
      </c>
      <c r="AD167" s="38">
        <f t="shared" si="106"/>
        <v>1</v>
      </c>
      <c r="AE167" s="38">
        <f>MAX(0,MIN(Inputs!$D$36,AJ166,AF167+AG167+AH167+Inputs!$D$6-AI166))</f>
        <v>0</v>
      </c>
      <c r="AF167" s="38">
        <f>Inputs!$D$27*(1+Inputs!$D$28)^($A167/12)*IF(Inputs!$B$70=1,$G167,1)*(1-Inputs!$C$70*$H167*(1-Inputs!$E$54*Inputs!$B$70))*(1+$I167)*IF(Inputs!$D$29=0,1,(MAX(AI166,0)/Inputs!$D$6)^Inputs!$D$29)</f>
        <v>1747.4589471580305</v>
      </c>
      <c r="AG167" s="38">
        <f>Inputs!$D$32*AI166/Inputs!$D$6</f>
        <v>482.89361341438007</v>
      </c>
      <c r="AH167" s="38">
        <f>Inputs!$D$33</f>
        <v>1500</v>
      </c>
      <c r="AI167" s="38">
        <f t="shared" si="107"/>
        <v>97447.35691672629</v>
      </c>
      <c r="AJ167" s="38">
        <f t="shared" si="108"/>
        <v>0</v>
      </c>
      <c r="AK167" s="38">
        <f>Inputs!$D$19*(1-Inputs!$C$70*$H167)+Inputs!$D$21+Inputs!$B$70*$J167</f>
        <v>404800</v>
      </c>
      <c r="AL167" s="38">
        <f t="shared" si="109"/>
        <v>-307352.64308327372</v>
      </c>
      <c r="AM167" s="38">
        <f t="shared" si="110"/>
        <v>1</v>
      </c>
      <c r="AN167" s="38">
        <f>MAX(0,MIN(Inputs!$B$36,AS166,AO167+AP167+AQ167+Inputs!$B$6-AR166))</f>
        <v>0</v>
      </c>
      <c r="AO167" s="38">
        <f>Inputs!$B$27*(1+Inputs!$B$28)^($A167/12)*IF(Inputs!$B$71=1,$G167,1)*(1-Inputs!$C$71*$H167*(1-Inputs!$E$54*Inputs!$B$71))*(1+$I167)*IF(Inputs!$B$29=0,1,(MAX(AR166,0)/Inputs!$B$6)^Inputs!$B$29)</f>
        <v>25145.333149975129</v>
      </c>
      <c r="AP167" s="38">
        <f>Inputs!$B$32*AR166/Inputs!$B$6</f>
        <v>0</v>
      </c>
      <c r="AQ167" s="38">
        <f>Inputs!$B$33</f>
        <v>2500</v>
      </c>
      <c r="AR167" s="38">
        <f t="shared" si="111"/>
        <v>0</v>
      </c>
      <c r="AS167" s="38">
        <f t="shared" si="112"/>
        <v>0</v>
      </c>
      <c r="AT167" s="38">
        <f>Inputs!$B$19*(1-Inputs!$C$71*$H167)+Inputs!$B$21+Inputs!$B$71*$J167</f>
        <v>601000</v>
      </c>
      <c r="AU167" s="38">
        <f t="shared" si="113"/>
        <v>-601000</v>
      </c>
      <c r="AV167" s="38">
        <f t="shared" si="114"/>
        <v>1</v>
      </c>
      <c r="AW167" s="38">
        <f>MAX(0,MIN(Inputs!$C$36,BB166,AX167+AY167+AZ167+Inputs!$C$6-BA166))</f>
        <v>0</v>
      </c>
      <c r="AX167" s="38">
        <f>Inputs!$C$27*(1+Inputs!$C$28)^($A167/12)*IF(Inputs!$B$71=1,$G167,1)*(1-Inputs!$C$71*$H167*(1-Inputs!$E$54*Inputs!$B$71))*(1+$I167)*IF(Inputs!$C$29=0,1,(MAX(BA166,0)/Inputs!$C$6)^Inputs!$C$29)</f>
        <v>0</v>
      </c>
      <c r="AY167" s="38">
        <f>Inputs!$C$32*BA166/Inputs!$C$6</f>
        <v>0</v>
      </c>
      <c r="AZ167" s="38">
        <f>Inputs!$C$33</f>
        <v>2000</v>
      </c>
      <c r="BA167" s="38">
        <f t="shared" si="115"/>
        <v>0</v>
      </c>
      <c r="BB167" s="38">
        <f t="shared" si="116"/>
        <v>0</v>
      </c>
      <c r="BC167" s="38">
        <f>Inputs!$C$19*(1-Inputs!$C$71*$H167)+Inputs!$C$21+Inputs!$B$71*$J167</f>
        <v>501000</v>
      </c>
      <c r="BD167" s="38">
        <f t="shared" si="117"/>
        <v>-501000</v>
      </c>
      <c r="BE167" s="38">
        <f t="shared" si="118"/>
        <v>1</v>
      </c>
      <c r="BF167" s="38">
        <f>MAX(0,MIN(Inputs!$D$36,BK166,BG167+BH167+BI167+Inputs!$D$6-BJ166))</f>
        <v>0</v>
      </c>
      <c r="BG167" s="38">
        <f>Inputs!$D$27*(1+Inputs!$D$28)^($A167/12)*IF(Inputs!$B$71=1,$G167,1)*(1-Inputs!$C$71*$H167*(1-Inputs!$E$54*Inputs!$B$71))*(1+$I167)*IF(Inputs!$D$29=0,1,(MAX(BJ166,0)/Inputs!$D$6)^Inputs!$D$29)</f>
        <v>1893.3856217733867</v>
      </c>
      <c r="BH167" s="38">
        <f>Inputs!$D$32*BJ166/Inputs!$D$6</f>
        <v>799.04070210847738</v>
      </c>
      <c r="BI167" s="38">
        <f>Inputs!$D$33</f>
        <v>1500</v>
      </c>
      <c r="BJ167" s="38">
        <f t="shared" si="119"/>
        <v>163225.62554646577</v>
      </c>
      <c r="BK167" s="38">
        <f t="shared" si="120"/>
        <v>0</v>
      </c>
      <c r="BL167" s="38">
        <f>Inputs!$D$19*(1-Inputs!$C$71*$H167)+Inputs!$D$21+Inputs!$B$71*$J167</f>
        <v>410800</v>
      </c>
      <c r="BM167" s="38">
        <f t="shared" si="121"/>
        <v>-247574.37445353423</v>
      </c>
      <c r="BN167" s="38">
        <f t="shared" si="122"/>
        <v>1</v>
      </c>
      <c r="BO167" s="38">
        <f>MAX(0,MIN(Inputs!$B$36,BT166,BP167+BQ167+BR167+Inputs!$B$6-BS166))</f>
        <v>0</v>
      </c>
      <c r="BP167" s="38">
        <f>Inputs!$B$27*(1+Inputs!$B$28)^($A167/12)*IF(Inputs!$B$72=1,$G167,1)*(1-Inputs!$C$72*$H167*(1-Inputs!$E$54*Inputs!$B$72))*(1+$I167)*IF(Inputs!$B$29=0,1,(MAX(BS166,0)/Inputs!$B$6)^Inputs!$B$29)</f>
        <v>26867.45503029324</v>
      </c>
      <c r="BQ167" s="38">
        <f>Inputs!$B$32*BS166/Inputs!$B$6</f>
        <v>0</v>
      </c>
      <c r="BR167" s="38">
        <f>Inputs!$B$33</f>
        <v>2500</v>
      </c>
      <c r="BS167" s="38">
        <f t="shared" si="123"/>
        <v>0</v>
      </c>
      <c r="BT167" s="38">
        <f t="shared" si="124"/>
        <v>0</v>
      </c>
      <c r="BU167" s="38">
        <f>Inputs!$B$19*(1-Inputs!$C$72*$H167)+Inputs!$B$21+Inputs!$B$72*$J167</f>
        <v>577500</v>
      </c>
      <c r="BV167" s="38">
        <f t="shared" si="125"/>
        <v>-577500</v>
      </c>
      <c r="BW167" s="38">
        <f t="shared" si="126"/>
        <v>1</v>
      </c>
      <c r="BX167" s="38">
        <f>MAX(0,MIN(Inputs!$C$36,CC166,BY167+BZ167+CA167+Inputs!$C$6-CB166))</f>
        <v>0</v>
      </c>
      <c r="BY167" s="38">
        <f>Inputs!$C$27*(1+Inputs!$C$28)^($A167/12)*IF(Inputs!$B$72=1,$G167,1)*(1-Inputs!$C$72*$H167*(1-Inputs!$E$54*Inputs!$B$72))*(1+$I167)*IF(Inputs!$C$29=0,1,(MAX(CB166,0)/Inputs!$C$6)^Inputs!$C$29)</f>
        <v>0</v>
      </c>
      <c r="BZ167" s="38">
        <f>Inputs!$C$32*CB166/Inputs!$C$6</f>
        <v>0</v>
      </c>
      <c r="CA167" s="38">
        <f>Inputs!$C$33</f>
        <v>2000</v>
      </c>
      <c r="CB167" s="38">
        <f t="shared" si="127"/>
        <v>0</v>
      </c>
      <c r="CC167" s="38">
        <f t="shared" si="128"/>
        <v>0</v>
      </c>
      <c r="CD167" s="38">
        <f>Inputs!$C$19*(1-Inputs!$C$72*$H167)+Inputs!$C$21+Inputs!$B$72*$J167</f>
        <v>480000</v>
      </c>
      <c r="CE167" s="38">
        <f t="shared" si="129"/>
        <v>-480000</v>
      </c>
      <c r="CF167" s="38">
        <f t="shared" si="130"/>
        <v>1</v>
      </c>
      <c r="CG167" s="38">
        <f>MAX(0,MIN(Inputs!$D$36,CL166,CH167+CI167+CJ167+Inputs!$D$6-CK166))</f>
        <v>0</v>
      </c>
      <c r="CH167" s="38">
        <f>Inputs!$D$27*(1+Inputs!$D$28)^($A167/12)*IF(Inputs!$B$72=1,$G167,1)*(1-Inputs!$C$72*$H167*(1-Inputs!$E$54*Inputs!$B$72))*(1+$I167)*IF(Inputs!$D$29=0,1,(MAX(CK166,0)/Inputs!$D$6)^Inputs!$D$29)</f>
        <v>1837.6655014884464</v>
      </c>
      <c r="CI167" s="38">
        <f>Inputs!$D$32*CK166/Inputs!$D$6</f>
        <v>659.30353467028942</v>
      </c>
      <c r="CJ167" s="38">
        <f>Inputs!$D$33</f>
        <v>1500</v>
      </c>
      <c r="CK167" s="38">
        <f t="shared" si="131"/>
        <v>134142.81918047331</v>
      </c>
      <c r="CL167" s="38">
        <f t="shared" si="132"/>
        <v>0</v>
      </c>
      <c r="CM167" s="38">
        <f>Inputs!$D$19*(1-Inputs!$C$72*$H167)+Inputs!$D$21+Inputs!$B$72*$J167</f>
        <v>392150</v>
      </c>
      <c r="CN167" s="38">
        <f t="shared" si="133"/>
        <v>-258007.18081952669</v>
      </c>
      <c r="CO167" s="38">
        <f t="shared" si="134"/>
        <v>1</v>
      </c>
      <c r="CP167" s="38">
        <f>MAX(0,MIN(Inputs!$B$36,CU166,CQ167+CR167+CS167+Inputs!$B$6-CT166))</f>
        <v>0</v>
      </c>
      <c r="CQ167" s="38">
        <f>Inputs!$B$27*(1+Inputs!$B$28)^($A167/12)*IF(Inputs!$B$73=1,$G167,1)*(1-Inputs!$C$73*$H167*(1-Inputs!$E$54*Inputs!$B$73))*(1+$I167)*IF(Inputs!$B$29=0,1,(MAX(CT166,0)/Inputs!$B$6)^Inputs!$B$29)</f>
        <v>23888.066492476373</v>
      </c>
      <c r="CR167" s="38">
        <f>Inputs!$B$32*CT166/Inputs!$B$6</f>
        <v>0</v>
      </c>
      <c r="CS167" s="38">
        <f>Inputs!$B$33</f>
        <v>2500</v>
      </c>
      <c r="CT167" s="38">
        <f t="shared" si="135"/>
        <v>0</v>
      </c>
      <c r="CU167" s="38">
        <f t="shared" si="136"/>
        <v>0</v>
      </c>
      <c r="CV167" s="38">
        <f>Inputs!$B$19*(1-Inputs!$C$73*$H167)+Inputs!$B$21+Inputs!$B$73*$J167</f>
        <v>583500</v>
      </c>
      <c r="CW167" s="38">
        <f t="shared" si="137"/>
        <v>-583500</v>
      </c>
      <c r="CX167" s="38">
        <f t="shared" si="138"/>
        <v>1</v>
      </c>
      <c r="CY167" s="38">
        <f>MAX(0,MIN(Inputs!$C$36,DD166,CZ167+DA167+DB167+Inputs!$C$6-DC166))</f>
        <v>0</v>
      </c>
      <c r="CZ167" s="38">
        <f>Inputs!$C$27*(1+Inputs!$C$28)^($A167/12)*IF(Inputs!$B$73=1,$G167,1)*(1-Inputs!$C$73*$H167*(1-Inputs!$E$54*Inputs!$B$73))*(1+$I167)*IF(Inputs!$C$29=0,1,(MAX(DC166,0)/Inputs!$C$6)^Inputs!$C$29)</f>
        <v>0</v>
      </c>
      <c r="DA167" s="38">
        <f>Inputs!$C$32*DC166/Inputs!$C$6</f>
        <v>0</v>
      </c>
      <c r="DB167" s="38">
        <f>Inputs!$C$33</f>
        <v>2000</v>
      </c>
      <c r="DC167" s="38">
        <f t="shared" si="139"/>
        <v>0</v>
      </c>
      <c r="DD167" s="38">
        <f t="shared" si="140"/>
        <v>0</v>
      </c>
      <c r="DE167" s="38">
        <f>Inputs!$C$19*(1-Inputs!$C$73*$H167)+Inputs!$C$21+Inputs!$B$73*$J167</f>
        <v>486000</v>
      </c>
      <c r="DF167" s="38">
        <f t="shared" si="141"/>
        <v>-486000</v>
      </c>
      <c r="DG167" s="38">
        <f t="shared" si="142"/>
        <v>1</v>
      </c>
      <c r="DH167" s="38">
        <f>MAX(0,MIN(Inputs!$D$36,DM166,DI167+DJ167+DK167+Inputs!$D$6-DL166))</f>
        <v>0</v>
      </c>
      <c r="DI167" s="38">
        <f>Inputs!$D$27*(1+Inputs!$D$28)^($A167/12)*IF(Inputs!$B$73=1,$G167,1)*(1-Inputs!$C$73*$H167*(1-Inputs!$E$54*Inputs!$B$73))*(1+$I167)*IF(Inputs!$D$29=0,1,(MAX(DL166,0)/Inputs!$D$6)^Inputs!$D$29)</f>
        <v>1894.3901144076526</v>
      </c>
      <c r="DJ167" s="38">
        <f>Inputs!$D$32*DL166/Inputs!$D$6</f>
        <v>886.30332710329606</v>
      </c>
      <c r="DK167" s="38">
        <f>Inputs!$D$33</f>
        <v>1500</v>
      </c>
      <c r="DL167" s="38">
        <f t="shared" si="143"/>
        <v>181420.9560467987</v>
      </c>
      <c r="DM167" s="38">
        <f t="shared" si="144"/>
        <v>0</v>
      </c>
      <c r="DN167" s="38">
        <f>Inputs!$D$19*(1-Inputs!$C$73*$H167)+Inputs!$D$21+Inputs!$B$73*$J167</f>
        <v>398150</v>
      </c>
      <c r="DO167" s="38">
        <f t="shared" si="145"/>
        <v>-216729.0439532013</v>
      </c>
      <c r="DP167" s="38">
        <f t="shared" si="146"/>
        <v>1</v>
      </c>
    </row>
    <row r="168" spans="1:120" x14ac:dyDescent="0.35">
      <c r="A168" s="29">
        <v>163</v>
      </c>
      <c r="B168" s="34">
        <f>EDATE(Inputs!$B$67,$A168)</f>
        <v>51227</v>
      </c>
      <c r="C168" s="35">
        <f>IF(Inputs!$E$47&lt;=0,Inputs!$E$46,Inputs!$E$44+(Inputs!$E$46-Inputs!$E$44)*MIN($A168/Inputs!$E$47,1))</f>
        <v>0.7</v>
      </c>
      <c r="D168" s="35">
        <f>MIN(Inputs!$E$57,Inputs!$E$55*(1+Inputs!$E$56)^($A168/12))*Inputs!$E$58*(1+Inputs!$E$59)^($A168/12)/Inputs!$E$45</f>
        <v>1.5</v>
      </c>
      <c r="E168" s="35">
        <f>MAX(Inputs!$E$44,MIN(C168,D168))</f>
        <v>0.7</v>
      </c>
      <c r="F168" s="35">
        <f>IF(Inputs!$E$50&lt;=0,Inputs!$E$49,Inputs!$E$48+(Inputs!$E$49-Inputs!$E$48)*MIN($A168/Inputs!$E$50,1))</f>
        <v>0.12</v>
      </c>
      <c r="G168" s="36">
        <f>(Inputs!$E$41*(1-E168*Inputs!$E$51)+Inputs!$E$42*(1-F168*Inputs!$E$51))/(Inputs!$E$41*(1-Inputs!$E$44*Inputs!$E$51)+Inputs!$E$42*(1-Inputs!$E$48*Inputs!$E$51))</f>
        <v>0.8423127463863338</v>
      </c>
      <c r="H168" s="35">
        <f>IF(Inputs!$E$53&lt;=0,Inputs!$E$52,Inputs!$E$52*MIN($A168/Inputs!$E$53,1))</f>
        <v>0.1</v>
      </c>
      <c r="I168" s="35">
        <f>IF(Inputs!$E$64&lt;=0,Inputs!$E$63,Inputs!$E$62+(Inputs!$E$63-Inputs!$E$62)*MIN($A168/Inputs!$E$64,1))</f>
        <v>0.03</v>
      </c>
      <c r="J168" s="37">
        <f>(E168-Inputs!$E$44)*Inputs!$E$45/Inputs!$E$60*Inputs!$E$61</f>
        <v>5999.9999999999991</v>
      </c>
      <c r="K168" s="29">
        <f t="shared" si="98"/>
        <v>0</v>
      </c>
      <c r="L168" s="29"/>
      <c r="M168" s="38">
        <f>MAX(0,MIN(Inputs!$B$36,R167,N168+O168+P168+Inputs!$B$6-Q167))</f>
        <v>0</v>
      </c>
      <c r="N168" s="38">
        <f>Inputs!$B$27*(1+Inputs!$B$28)^($A168/12)*IF(Inputs!$B$70=1,$G168,1)*(1-Inputs!$C$70*$H168*(1-Inputs!$E$54*Inputs!$B$70))*(1+$I168)*IF(Inputs!$B$29=0,1,(MAX(Q167,0)/Inputs!$B$6)^Inputs!$B$29)</f>
        <v>29974.351519820288</v>
      </c>
      <c r="O168" s="38">
        <f>Inputs!$B$32*Q167/Inputs!$B$6</f>
        <v>0</v>
      </c>
      <c r="P168" s="38">
        <f>Inputs!$B$33</f>
        <v>2500</v>
      </c>
      <c r="Q168" s="38">
        <f t="shared" si="99"/>
        <v>0</v>
      </c>
      <c r="R168" s="38">
        <f t="shared" si="100"/>
        <v>0</v>
      </c>
      <c r="S168" s="38">
        <f>Inputs!$B$19*(1-Inputs!$C$70*$H168)+Inputs!$B$21+Inputs!$B$70*$J168</f>
        <v>595000</v>
      </c>
      <c r="T168" s="38">
        <f t="shared" si="101"/>
        <v>-595000</v>
      </c>
      <c r="U168" s="38">
        <f t="shared" si="102"/>
        <v>1</v>
      </c>
      <c r="V168" s="38">
        <f>MAX(0,MIN(Inputs!$C$36,AA167,W168+X168+Y168+Inputs!$C$6-Z167))</f>
        <v>0</v>
      </c>
      <c r="W168" s="38">
        <f>Inputs!$C$27*(1+Inputs!$C$28)^($A168/12)*IF(Inputs!$B$70=1,$G168,1)*(1-Inputs!$C$70*$H168*(1-Inputs!$E$54*Inputs!$B$70))*(1+$I168)*IF(Inputs!$C$29=0,1,(MAX(Z167,0)/Inputs!$C$6)^Inputs!$C$29)</f>
        <v>0</v>
      </c>
      <c r="X168" s="38">
        <f>Inputs!$C$32*Z167/Inputs!$C$6</f>
        <v>0</v>
      </c>
      <c r="Y168" s="38">
        <f>Inputs!$C$33</f>
        <v>2000</v>
      </c>
      <c r="Z168" s="38">
        <f t="shared" si="103"/>
        <v>0</v>
      </c>
      <c r="AA168" s="38">
        <f t="shared" si="104"/>
        <v>0</v>
      </c>
      <c r="AB168" s="38">
        <f>Inputs!$C$19*(1-Inputs!$C$70*$H168)+Inputs!$C$21+Inputs!$B$70*$J168</f>
        <v>495000</v>
      </c>
      <c r="AC168" s="38">
        <f t="shared" si="105"/>
        <v>-495000</v>
      </c>
      <c r="AD168" s="38">
        <f t="shared" si="106"/>
        <v>1</v>
      </c>
      <c r="AE168" s="38">
        <f>MAX(0,MIN(Inputs!$D$36,AJ167,AF168+AG168+AH168+Inputs!$D$6-AI167))</f>
        <v>0</v>
      </c>
      <c r="AF168" s="38">
        <f>Inputs!$D$27*(1+Inputs!$D$28)^($A168/12)*IF(Inputs!$B$70=1,$G168,1)*(1-Inputs!$C$70*$H168*(1-Inputs!$E$54*Inputs!$B$70))*(1+$I168)*IF(Inputs!$D$29=0,1,(MAX(AI167,0)/Inputs!$D$6)^Inputs!$D$29)</f>
        <v>1707.6278370646282</v>
      </c>
      <c r="AG168" s="38">
        <f>Inputs!$D$32*AI167/Inputs!$D$6</f>
        <v>465.08965801164817</v>
      </c>
      <c r="AH168" s="38">
        <f>Inputs!$D$33</f>
        <v>1500</v>
      </c>
      <c r="AI168" s="38">
        <f t="shared" si="107"/>
        <v>93774.639421650005</v>
      </c>
      <c r="AJ168" s="38">
        <f t="shared" si="108"/>
        <v>0</v>
      </c>
      <c r="AK168" s="38">
        <f>Inputs!$D$19*(1-Inputs!$C$70*$H168)+Inputs!$D$21+Inputs!$B$70*$J168</f>
        <v>404800</v>
      </c>
      <c r="AL168" s="38">
        <f t="shared" si="109"/>
        <v>-311025.36057835002</v>
      </c>
      <c r="AM168" s="38">
        <f t="shared" si="110"/>
        <v>1</v>
      </c>
      <c r="AN168" s="38">
        <f>MAX(0,MIN(Inputs!$B$36,AS167,AO168+AP168+AQ168+Inputs!$B$6-AR167))</f>
        <v>0</v>
      </c>
      <c r="AO168" s="38">
        <f>Inputs!$B$27*(1+Inputs!$B$28)^($A168/12)*IF(Inputs!$B$71=1,$G168,1)*(1-Inputs!$C$71*$H168*(1-Inputs!$E$54*Inputs!$B$71))*(1+$I168)*IF(Inputs!$B$29=0,1,(MAX(AR167,0)/Inputs!$B$6)^Inputs!$B$29)</f>
        <v>25247.778349809207</v>
      </c>
      <c r="AP168" s="38">
        <f>Inputs!$B$32*AR167/Inputs!$B$6</f>
        <v>0</v>
      </c>
      <c r="AQ168" s="38">
        <f>Inputs!$B$33</f>
        <v>2500</v>
      </c>
      <c r="AR168" s="38">
        <f t="shared" si="111"/>
        <v>0</v>
      </c>
      <c r="AS168" s="38">
        <f t="shared" si="112"/>
        <v>0</v>
      </c>
      <c r="AT168" s="38">
        <f>Inputs!$B$19*(1-Inputs!$C$71*$H168)+Inputs!$B$21+Inputs!$B$71*$J168</f>
        <v>601000</v>
      </c>
      <c r="AU168" s="38">
        <f t="shared" si="113"/>
        <v>-601000</v>
      </c>
      <c r="AV168" s="38">
        <f t="shared" si="114"/>
        <v>1</v>
      </c>
      <c r="AW168" s="38">
        <f>MAX(0,MIN(Inputs!$C$36,BB167,AX168+AY168+AZ168+Inputs!$C$6-BA167))</f>
        <v>0</v>
      </c>
      <c r="AX168" s="38">
        <f>Inputs!$C$27*(1+Inputs!$C$28)^($A168/12)*IF(Inputs!$B$71=1,$G168,1)*(1-Inputs!$C$71*$H168*(1-Inputs!$E$54*Inputs!$B$71))*(1+$I168)*IF(Inputs!$C$29=0,1,(MAX(BA167,0)/Inputs!$C$6)^Inputs!$C$29)</f>
        <v>0</v>
      </c>
      <c r="AY168" s="38">
        <f>Inputs!$C$32*BA167/Inputs!$C$6</f>
        <v>0</v>
      </c>
      <c r="AZ168" s="38">
        <f>Inputs!$C$33</f>
        <v>2000</v>
      </c>
      <c r="BA168" s="38">
        <f t="shared" si="115"/>
        <v>0</v>
      </c>
      <c r="BB168" s="38">
        <f t="shared" si="116"/>
        <v>0</v>
      </c>
      <c r="BC168" s="38">
        <f>Inputs!$C$19*(1-Inputs!$C$71*$H168)+Inputs!$C$21+Inputs!$B$71*$J168</f>
        <v>501000</v>
      </c>
      <c r="BD168" s="38">
        <f t="shared" si="117"/>
        <v>-501000</v>
      </c>
      <c r="BE168" s="38">
        <f t="shared" si="118"/>
        <v>1</v>
      </c>
      <c r="BF168" s="38">
        <f>MAX(0,MIN(Inputs!$D$36,BK167,BG168+BH168+BI168+Inputs!$D$6-BJ167))</f>
        <v>0</v>
      </c>
      <c r="BG168" s="38">
        <f>Inputs!$D$27*(1+Inputs!$D$28)^($A168/12)*IF(Inputs!$B$71=1,$G168,1)*(1-Inputs!$C$71*$H168*(1-Inputs!$E$54*Inputs!$B$71))*(1+$I168)*IF(Inputs!$D$29=0,1,(MAX(BJ167,0)/Inputs!$D$6)^Inputs!$D$29)</f>
        <v>1861.5544227508453</v>
      </c>
      <c r="BH168" s="38">
        <f>Inputs!$D$32*BJ167/Inputs!$D$6</f>
        <v>779.03139465358663</v>
      </c>
      <c r="BI168" s="38">
        <f>Inputs!$D$33</f>
        <v>1500</v>
      </c>
      <c r="BJ168" s="38">
        <f t="shared" si="119"/>
        <v>159085.03972906136</v>
      </c>
      <c r="BK168" s="38">
        <f t="shared" si="120"/>
        <v>0</v>
      </c>
      <c r="BL168" s="38">
        <f>Inputs!$D$19*(1-Inputs!$C$71*$H168)+Inputs!$D$21+Inputs!$B$71*$J168</f>
        <v>410800</v>
      </c>
      <c r="BM168" s="38">
        <f t="shared" si="121"/>
        <v>-251714.96027093864</v>
      </c>
      <c r="BN168" s="38">
        <f t="shared" si="122"/>
        <v>1</v>
      </c>
      <c r="BO168" s="38">
        <f>MAX(0,MIN(Inputs!$B$36,BT167,BP168+BQ168+BR168+Inputs!$B$6-BS167))</f>
        <v>0</v>
      </c>
      <c r="BP168" s="38">
        <f>Inputs!$B$27*(1+Inputs!$B$28)^($A168/12)*IF(Inputs!$B$72=1,$G168,1)*(1-Inputs!$C$72*$H168*(1-Inputs!$E$54*Inputs!$B$72))*(1+$I168)*IF(Inputs!$B$29=0,1,(MAX(BS167,0)/Inputs!$B$6)^Inputs!$B$29)</f>
        <v>26976.916367838261</v>
      </c>
      <c r="BQ168" s="38">
        <f>Inputs!$B$32*BS167/Inputs!$B$6</f>
        <v>0</v>
      </c>
      <c r="BR168" s="38">
        <f>Inputs!$B$33</f>
        <v>2500</v>
      </c>
      <c r="BS168" s="38">
        <f t="shared" si="123"/>
        <v>0</v>
      </c>
      <c r="BT168" s="38">
        <f t="shared" si="124"/>
        <v>0</v>
      </c>
      <c r="BU168" s="38">
        <f>Inputs!$B$19*(1-Inputs!$C$72*$H168)+Inputs!$B$21+Inputs!$B$72*$J168</f>
        <v>577500</v>
      </c>
      <c r="BV168" s="38">
        <f t="shared" si="125"/>
        <v>-577500</v>
      </c>
      <c r="BW168" s="38">
        <f t="shared" si="126"/>
        <v>1</v>
      </c>
      <c r="BX168" s="38">
        <f>MAX(0,MIN(Inputs!$C$36,CC167,BY168+BZ168+CA168+Inputs!$C$6-CB167))</f>
        <v>0</v>
      </c>
      <c r="BY168" s="38">
        <f>Inputs!$C$27*(1+Inputs!$C$28)^($A168/12)*IF(Inputs!$B$72=1,$G168,1)*(1-Inputs!$C$72*$H168*(1-Inputs!$E$54*Inputs!$B$72))*(1+$I168)*IF(Inputs!$C$29=0,1,(MAX(CB167,0)/Inputs!$C$6)^Inputs!$C$29)</f>
        <v>0</v>
      </c>
      <c r="BZ168" s="38">
        <f>Inputs!$C$32*CB167/Inputs!$C$6</f>
        <v>0</v>
      </c>
      <c r="CA168" s="38">
        <f>Inputs!$C$33</f>
        <v>2000</v>
      </c>
      <c r="CB168" s="38">
        <f t="shared" si="127"/>
        <v>0</v>
      </c>
      <c r="CC168" s="38">
        <f t="shared" si="128"/>
        <v>0</v>
      </c>
      <c r="CD168" s="38">
        <f>Inputs!$C$19*(1-Inputs!$C$72*$H168)+Inputs!$C$21+Inputs!$B$72*$J168</f>
        <v>480000</v>
      </c>
      <c r="CE168" s="38">
        <f t="shared" si="129"/>
        <v>-480000</v>
      </c>
      <c r="CF168" s="38">
        <f t="shared" si="130"/>
        <v>1</v>
      </c>
      <c r="CG168" s="38">
        <f>MAX(0,MIN(Inputs!$D$36,CL167,CH168+CI168+CJ168+Inputs!$D$6-CK167))</f>
        <v>0</v>
      </c>
      <c r="CH168" s="38">
        <f>Inputs!$D$27*(1+Inputs!$D$28)^($A168/12)*IF(Inputs!$B$72=1,$G168,1)*(1-Inputs!$C$72*$H168*(1-Inputs!$E$54*Inputs!$B$72))*(1+$I168)*IF(Inputs!$D$29=0,1,(MAX(CK167,0)/Inputs!$D$6)^Inputs!$D$29)</f>
        <v>1803.1606360038352</v>
      </c>
      <c r="CI168" s="38">
        <f>Inputs!$D$32*CK167/Inputs!$D$6</f>
        <v>640.22709154316806</v>
      </c>
      <c r="CJ168" s="38">
        <f>Inputs!$D$33</f>
        <v>1500</v>
      </c>
      <c r="CK168" s="38">
        <f t="shared" si="131"/>
        <v>130199.43145292631</v>
      </c>
      <c r="CL168" s="38">
        <f t="shared" si="132"/>
        <v>0</v>
      </c>
      <c r="CM168" s="38">
        <f>Inputs!$D$19*(1-Inputs!$C$72*$H168)+Inputs!$D$21+Inputs!$B$72*$J168</f>
        <v>392150</v>
      </c>
      <c r="CN168" s="38">
        <f t="shared" si="133"/>
        <v>-261950.56854707369</v>
      </c>
      <c r="CO168" s="38">
        <f t="shared" si="134"/>
        <v>1</v>
      </c>
      <c r="CP168" s="38">
        <f>MAX(0,MIN(Inputs!$B$36,CU167,CQ168+CR168+CS168+Inputs!$B$6-CT167))</f>
        <v>0</v>
      </c>
      <c r="CQ168" s="38">
        <f>Inputs!$B$27*(1+Inputs!$B$28)^($A168/12)*IF(Inputs!$B$73=1,$G168,1)*(1-Inputs!$C$73*$H168*(1-Inputs!$E$54*Inputs!$B$73))*(1+$I168)*IF(Inputs!$B$29=0,1,(MAX(CT167,0)/Inputs!$B$6)^Inputs!$B$29)</f>
        <v>23985.389432318745</v>
      </c>
      <c r="CR168" s="38">
        <f>Inputs!$B$32*CT167/Inputs!$B$6</f>
        <v>0</v>
      </c>
      <c r="CS168" s="38">
        <f>Inputs!$B$33</f>
        <v>2500</v>
      </c>
      <c r="CT168" s="38">
        <f t="shared" si="135"/>
        <v>0</v>
      </c>
      <c r="CU168" s="38">
        <f t="shared" si="136"/>
        <v>0</v>
      </c>
      <c r="CV168" s="38">
        <f>Inputs!$B$19*(1-Inputs!$C$73*$H168)+Inputs!$B$21+Inputs!$B$73*$J168</f>
        <v>583500</v>
      </c>
      <c r="CW168" s="38">
        <f t="shared" si="137"/>
        <v>-583500</v>
      </c>
      <c r="CX168" s="38">
        <f t="shared" si="138"/>
        <v>1</v>
      </c>
      <c r="CY168" s="38">
        <f>MAX(0,MIN(Inputs!$C$36,DD167,CZ168+DA168+DB168+Inputs!$C$6-DC167))</f>
        <v>0</v>
      </c>
      <c r="CZ168" s="38">
        <f>Inputs!$C$27*(1+Inputs!$C$28)^($A168/12)*IF(Inputs!$B$73=1,$G168,1)*(1-Inputs!$C$73*$H168*(1-Inputs!$E$54*Inputs!$B$73))*(1+$I168)*IF(Inputs!$C$29=0,1,(MAX(DC167,0)/Inputs!$C$6)^Inputs!$C$29)</f>
        <v>0</v>
      </c>
      <c r="DA168" s="38">
        <f>Inputs!$C$32*DC167/Inputs!$C$6</f>
        <v>0</v>
      </c>
      <c r="DB168" s="38">
        <f>Inputs!$C$33</f>
        <v>2000</v>
      </c>
      <c r="DC168" s="38">
        <f t="shared" si="139"/>
        <v>0</v>
      </c>
      <c r="DD168" s="38">
        <f t="shared" si="140"/>
        <v>0</v>
      </c>
      <c r="DE168" s="38">
        <f>Inputs!$C$19*(1-Inputs!$C$73*$H168)+Inputs!$C$21+Inputs!$B$73*$J168</f>
        <v>486000</v>
      </c>
      <c r="DF168" s="38">
        <f t="shared" si="141"/>
        <v>-486000</v>
      </c>
      <c r="DG168" s="38">
        <f t="shared" si="142"/>
        <v>1</v>
      </c>
      <c r="DH168" s="38">
        <f>MAX(0,MIN(Inputs!$D$36,DM167,DI168+DJ168+DK168+Inputs!$D$6-DL167))</f>
        <v>0</v>
      </c>
      <c r="DI168" s="38">
        <f>Inputs!$D$27*(1+Inputs!$D$28)^($A168/12)*IF(Inputs!$B$73=1,$G168,1)*(1-Inputs!$C$73*$H168*(1-Inputs!$E$54*Inputs!$B$73))*(1+$I168)*IF(Inputs!$D$29=0,1,(MAX(DL167,0)/Inputs!$D$6)^Inputs!$D$29)</f>
        <v>1864.442085033897</v>
      </c>
      <c r="DJ168" s="38">
        <f>Inputs!$D$32*DL167/Inputs!$D$6</f>
        <v>865.87274476881203</v>
      </c>
      <c r="DK168" s="38">
        <f>Inputs!$D$33</f>
        <v>1500</v>
      </c>
      <c r="DL168" s="38">
        <f t="shared" si="143"/>
        <v>177190.64121699601</v>
      </c>
      <c r="DM168" s="38">
        <f t="shared" si="144"/>
        <v>0</v>
      </c>
      <c r="DN168" s="38">
        <f>Inputs!$D$19*(1-Inputs!$C$73*$H168)+Inputs!$D$21+Inputs!$B$73*$J168</f>
        <v>398150</v>
      </c>
      <c r="DO168" s="38">
        <f t="shared" si="145"/>
        <v>-220959.35878300399</v>
      </c>
      <c r="DP168" s="38">
        <f t="shared" si="146"/>
        <v>1</v>
      </c>
    </row>
    <row r="169" spans="1:120" x14ac:dyDescent="0.35">
      <c r="A169" s="29">
        <v>164</v>
      </c>
      <c r="B169" s="34">
        <f>EDATE(Inputs!$B$67,$A169)</f>
        <v>51257</v>
      </c>
      <c r="C169" s="35">
        <f>IF(Inputs!$E$47&lt;=0,Inputs!$E$46,Inputs!$E$44+(Inputs!$E$46-Inputs!$E$44)*MIN($A169/Inputs!$E$47,1))</f>
        <v>0.7</v>
      </c>
      <c r="D169" s="35">
        <f>MIN(Inputs!$E$57,Inputs!$E$55*(1+Inputs!$E$56)^($A169/12))*Inputs!$E$58*(1+Inputs!$E$59)^($A169/12)/Inputs!$E$45</f>
        <v>1.5</v>
      </c>
      <c r="E169" s="35">
        <f>MAX(Inputs!$E$44,MIN(C169,D169))</f>
        <v>0.7</v>
      </c>
      <c r="F169" s="35">
        <f>IF(Inputs!$E$50&lt;=0,Inputs!$E$49,Inputs!$E$48+(Inputs!$E$49-Inputs!$E$48)*MIN($A169/Inputs!$E$50,1))</f>
        <v>0.12</v>
      </c>
      <c r="G169" s="36">
        <f>(Inputs!$E$41*(1-E169*Inputs!$E$51)+Inputs!$E$42*(1-F169*Inputs!$E$51))/(Inputs!$E$41*(1-Inputs!$E$44*Inputs!$E$51)+Inputs!$E$42*(1-Inputs!$E$48*Inputs!$E$51))</f>
        <v>0.8423127463863338</v>
      </c>
      <c r="H169" s="35">
        <f>IF(Inputs!$E$53&lt;=0,Inputs!$E$52,Inputs!$E$52*MIN($A169/Inputs!$E$53,1))</f>
        <v>0.1</v>
      </c>
      <c r="I169" s="35">
        <f>IF(Inputs!$E$64&lt;=0,Inputs!$E$63,Inputs!$E$62+(Inputs!$E$63-Inputs!$E$62)*MIN($A169/Inputs!$E$64,1))</f>
        <v>0.03</v>
      </c>
      <c r="J169" s="37">
        <f>(E169-Inputs!$E$44)*Inputs!$E$45/Inputs!$E$60*Inputs!$E$61</f>
        <v>5999.9999999999991</v>
      </c>
      <c r="K169" s="29">
        <f t="shared" si="98"/>
        <v>0</v>
      </c>
      <c r="L169" s="29"/>
      <c r="M169" s="38">
        <f>MAX(0,MIN(Inputs!$B$36,R168,N169+O169+P169+Inputs!$B$6-Q168))</f>
        <v>0</v>
      </c>
      <c r="N169" s="38">
        <f>Inputs!$B$27*(1+Inputs!$B$28)^($A169/12)*IF(Inputs!$B$70=1,$G169,1)*(1-Inputs!$C$70*$H169*(1-Inputs!$E$54*Inputs!$B$70))*(1+$I169)*IF(Inputs!$B$29=0,1,(MAX(Q168,0)/Inputs!$B$6)^Inputs!$B$29)</f>
        <v>30096.470738246622</v>
      </c>
      <c r="O169" s="38">
        <f>Inputs!$B$32*Q168/Inputs!$B$6</f>
        <v>0</v>
      </c>
      <c r="P169" s="38">
        <f>Inputs!$B$33</f>
        <v>2500</v>
      </c>
      <c r="Q169" s="38">
        <f t="shared" si="99"/>
        <v>0</v>
      </c>
      <c r="R169" s="38">
        <f t="shared" si="100"/>
        <v>0</v>
      </c>
      <c r="S169" s="38">
        <f>Inputs!$B$19*(1-Inputs!$C$70*$H169)+Inputs!$B$21+Inputs!$B$70*$J169</f>
        <v>595000</v>
      </c>
      <c r="T169" s="38">
        <f t="shared" si="101"/>
        <v>-595000</v>
      </c>
      <c r="U169" s="38">
        <f t="shared" si="102"/>
        <v>1</v>
      </c>
      <c r="V169" s="38">
        <f>MAX(0,MIN(Inputs!$C$36,AA168,W169+X169+Y169+Inputs!$C$6-Z168))</f>
        <v>0</v>
      </c>
      <c r="W169" s="38">
        <f>Inputs!$C$27*(1+Inputs!$C$28)^($A169/12)*IF(Inputs!$B$70=1,$G169,1)*(1-Inputs!$C$70*$H169*(1-Inputs!$E$54*Inputs!$B$70))*(1+$I169)*IF(Inputs!$C$29=0,1,(MAX(Z168,0)/Inputs!$C$6)^Inputs!$C$29)</f>
        <v>0</v>
      </c>
      <c r="X169" s="38">
        <f>Inputs!$C$32*Z168/Inputs!$C$6</f>
        <v>0</v>
      </c>
      <c r="Y169" s="38">
        <f>Inputs!$C$33</f>
        <v>2000</v>
      </c>
      <c r="Z169" s="38">
        <f t="shared" si="103"/>
        <v>0</v>
      </c>
      <c r="AA169" s="38">
        <f t="shared" si="104"/>
        <v>0</v>
      </c>
      <c r="AB169" s="38">
        <f>Inputs!$C$19*(1-Inputs!$C$70*$H169)+Inputs!$C$21+Inputs!$B$70*$J169</f>
        <v>495000</v>
      </c>
      <c r="AC169" s="38">
        <f t="shared" si="105"/>
        <v>-495000</v>
      </c>
      <c r="AD169" s="38">
        <f t="shared" si="106"/>
        <v>1</v>
      </c>
      <c r="AE169" s="38">
        <f>MAX(0,MIN(Inputs!$D$36,AJ168,AF169+AG169+AH169+Inputs!$D$6-AI168))</f>
        <v>0</v>
      </c>
      <c r="AF169" s="38">
        <f>Inputs!$D$27*(1+Inputs!$D$28)^($A169/12)*IF(Inputs!$B$70=1,$G169,1)*(1-Inputs!$C$70*$H169*(1-Inputs!$E$54*Inputs!$B$70))*(1+$I169)*IF(Inputs!$D$29=0,1,(MAX(AI168,0)/Inputs!$D$6)^Inputs!$D$29)</f>
        <v>1667.9941725877729</v>
      </c>
      <c r="AG169" s="38">
        <f>Inputs!$D$32*AI168/Inputs!$D$6</f>
        <v>447.56077905787498</v>
      </c>
      <c r="AH169" s="38">
        <f>Inputs!$D$33</f>
        <v>1500</v>
      </c>
      <c r="AI169" s="38">
        <f t="shared" si="107"/>
        <v>90159.084470004353</v>
      </c>
      <c r="AJ169" s="38">
        <f t="shared" si="108"/>
        <v>0</v>
      </c>
      <c r="AK169" s="38">
        <f>Inputs!$D$19*(1-Inputs!$C$70*$H169)+Inputs!$D$21+Inputs!$B$70*$J169</f>
        <v>404800</v>
      </c>
      <c r="AL169" s="38">
        <f t="shared" si="109"/>
        <v>-314640.91552999563</v>
      </c>
      <c r="AM169" s="38">
        <f t="shared" si="110"/>
        <v>1</v>
      </c>
      <c r="AN169" s="38">
        <f>MAX(0,MIN(Inputs!$B$36,AS168,AO169+AP169+AQ169+Inputs!$B$6-AR168))</f>
        <v>0</v>
      </c>
      <c r="AO169" s="38">
        <f>Inputs!$B$27*(1+Inputs!$B$28)^($A169/12)*IF(Inputs!$B$71=1,$G169,1)*(1-Inputs!$C$71*$H169*(1-Inputs!$E$54*Inputs!$B$71))*(1+$I169)*IF(Inputs!$B$29=0,1,(MAX(AR168,0)/Inputs!$B$6)^Inputs!$B$29)</f>
        <v>25350.640924068441</v>
      </c>
      <c r="AP169" s="38">
        <f>Inputs!$B$32*AR168/Inputs!$B$6</f>
        <v>0</v>
      </c>
      <c r="AQ169" s="38">
        <f>Inputs!$B$33</f>
        <v>2500</v>
      </c>
      <c r="AR169" s="38">
        <f t="shared" si="111"/>
        <v>0</v>
      </c>
      <c r="AS169" s="38">
        <f t="shared" si="112"/>
        <v>0</v>
      </c>
      <c r="AT169" s="38">
        <f>Inputs!$B$19*(1-Inputs!$C$71*$H169)+Inputs!$B$21+Inputs!$B$71*$J169</f>
        <v>601000</v>
      </c>
      <c r="AU169" s="38">
        <f t="shared" si="113"/>
        <v>-601000</v>
      </c>
      <c r="AV169" s="38">
        <f t="shared" si="114"/>
        <v>1</v>
      </c>
      <c r="AW169" s="38">
        <f>MAX(0,MIN(Inputs!$C$36,BB168,AX169+AY169+AZ169+Inputs!$C$6-BA168))</f>
        <v>0</v>
      </c>
      <c r="AX169" s="38">
        <f>Inputs!$C$27*(1+Inputs!$C$28)^($A169/12)*IF(Inputs!$B$71=1,$G169,1)*(1-Inputs!$C$71*$H169*(1-Inputs!$E$54*Inputs!$B$71))*(1+$I169)*IF(Inputs!$C$29=0,1,(MAX(BA168,0)/Inputs!$C$6)^Inputs!$C$29)</f>
        <v>0</v>
      </c>
      <c r="AY169" s="38">
        <f>Inputs!$C$32*BA168/Inputs!$C$6</f>
        <v>0</v>
      </c>
      <c r="AZ169" s="38">
        <f>Inputs!$C$33</f>
        <v>2000</v>
      </c>
      <c r="BA169" s="38">
        <f t="shared" si="115"/>
        <v>0</v>
      </c>
      <c r="BB169" s="38">
        <f t="shared" si="116"/>
        <v>0</v>
      </c>
      <c r="BC169" s="38">
        <f>Inputs!$C$19*(1-Inputs!$C$71*$H169)+Inputs!$C$21+Inputs!$B$71*$J169</f>
        <v>501000</v>
      </c>
      <c r="BD169" s="38">
        <f t="shared" si="117"/>
        <v>-501000</v>
      </c>
      <c r="BE169" s="38">
        <f t="shared" si="118"/>
        <v>1</v>
      </c>
      <c r="BF169" s="38">
        <f>MAX(0,MIN(Inputs!$D$36,BK168,BG169+BH169+BI169+Inputs!$D$6-BJ168))</f>
        <v>0</v>
      </c>
      <c r="BG169" s="38">
        <f>Inputs!$D$27*(1+Inputs!$D$28)^($A169/12)*IF(Inputs!$B$71=1,$G169,1)*(1-Inputs!$C$71*$H169*(1-Inputs!$E$54*Inputs!$B$71))*(1+$I169)*IF(Inputs!$D$29=0,1,(MAX(BJ168,0)/Inputs!$D$6)^Inputs!$D$29)</f>
        <v>1829.9527266392422</v>
      </c>
      <c r="BH169" s="38">
        <f>Inputs!$D$32*BJ168/Inputs!$D$6</f>
        <v>759.26950779779281</v>
      </c>
      <c r="BI169" s="38">
        <f>Inputs!$D$33</f>
        <v>1500</v>
      </c>
      <c r="BJ169" s="38">
        <f t="shared" si="119"/>
        <v>154995.81749462432</v>
      </c>
      <c r="BK169" s="38">
        <f t="shared" si="120"/>
        <v>0</v>
      </c>
      <c r="BL169" s="38">
        <f>Inputs!$D$19*(1-Inputs!$C$71*$H169)+Inputs!$D$21+Inputs!$B$71*$J169</f>
        <v>410800</v>
      </c>
      <c r="BM169" s="38">
        <f t="shared" si="121"/>
        <v>-255804.18250537568</v>
      </c>
      <c r="BN169" s="38">
        <f t="shared" si="122"/>
        <v>1</v>
      </c>
      <c r="BO169" s="38">
        <f>MAX(0,MIN(Inputs!$B$36,BT168,BP169+BQ169+BR169+Inputs!$B$6-BS168))</f>
        <v>0</v>
      </c>
      <c r="BP169" s="38">
        <f>Inputs!$B$27*(1+Inputs!$B$28)^($A169/12)*IF(Inputs!$B$72=1,$G169,1)*(1-Inputs!$C$72*$H169*(1-Inputs!$E$54*Inputs!$B$72))*(1+$I169)*IF(Inputs!$B$29=0,1,(MAX(BS168,0)/Inputs!$B$6)^Inputs!$B$29)</f>
        <v>27086.823664421961</v>
      </c>
      <c r="BQ169" s="38">
        <f>Inputs!$B$32*BS168/Inputs!$B$6</f>
        <v>0</v>
      </c>
      <c r="BR169" s="38">
        <f>Inputs!$B$33</f>
        <v>2500</v>
      </c>
      <c r="BS169" s="38">
        <f t="shared" si="123"/>
        <v>0</v>
      </c>
      <c r="BT169" s="38">
        <f t="shared" si="124"/>
        <v>0</v>
      </c>
      <c r="BU169" s="38">
        <f>Inputs!$B$19*(1-Inputs!$C$72*$H169)+Inputs!$B$21+Inputs!$B$72*$J169</f>
        <v>577500</v>
      </c>
      <c r="BV169" s="38">
        <f t="shared" si="125"/>
        <v>-577500</v>
      </c>
      <c r="BW169" s="38">
        <f t="shared" si="126"/>
        <v>1</v>
      </c>
      <c r="BX169" s="38">
        <f>MAX(0,MIN(Inputs!$C$36,CC168,BY169+BZ169+CA169+Inputs!$C$6-CB168))</f>
        <v>0</v>
      </c>
      <c r="BY169" s="38">
        <f>Inputs!$C$27*(1+Inputs!$C$28)^($A169/12)*IF(Inputs!$B$72=1,$G169,1)*(1-Inputs!$C$72*$H169*(1-Inputs!$E$54*Inputs!$B$72))*(1+$I169)*IF(Inputs!$C$29=0,1,(MAX(CB168,0)/Inputs!$C$6)^Inputs!$C$29)</f>
        <v>0</v>
      </c>
      <c r="BZ169" s="38">
        <f>Inputs!$C$32*CB168/Inputs!$C$6</f>
        <v>0</v>
      </c>
      <c r="CA169" s="38">
        <f>Inputs!$C$33</f>
        <v>2000</v>
      </c>
      <c r="CB169" s="38">
        <f t="shared" si="127"/>
        <v>0</v>
      </c>
      <c r="CC169" s="38">
        <f t="shared" si="128"/>
        <v>0</v>
      </c>
      <c r="CD169" s="38">
        <f>Inputs!$C$19*(1-Inputs!$C$72*$H169)+Inputs!$C$21+Inputs!$B$72*$J169</f>
        <v>480000</v>
      </c>
      <c r="CE169" s="38">
        <f t="shared" si="129"/>
        <v>-480000</v>
      </c>
      <c r="CF169" s="38">
        <f t="shared" si="130"/>
        <v>1</v>
      </c>
      <c r="CG169" s="38">
        <f>MAX(0,MIN(Inputs!$D$36,CL168,CH169+CI169+CJ169+Inputs!$D$6-CK168))</f>
        <v>0</v>
      </c>
      <c r="CH169" s="38">
        <f>Inputs!$D$27*(1+Inputs!$D$28)^($A169/12)*IF(Inputs!$B$72=1,$G169,1)*(1-Inputs!$C$72*$H169*(1-Inputs!$E$54*Inputs!$B$72))*(1+$I169)*IF(Inputs!$D$29=0,1,(MAX(CK168,0)/Inputs!$D$6)^Inputs!$D$29)</f>
        <v>1768.8820745295043</v>
      </c>
      <c r="CI169" s="38">
        <f>Inputs!$D$32*CK168/Inputs!$D$6</f>
        <v>621.40637738896646</v>
      </c>
      <c r="CJ169" s="38">
        <f>Inputs!$D$33</f>
        <v>1500</v>
      </c>
      <c r="CK169" s="38">
        <f t="shared" si="131"/>
        <v>126309.14300100783</v>
      </c>
      <c r="CL169" s="38">
        <f t="shared" si="132"/>
        <v>0</v>
      </c>
      <c r="CM169" s="38">
        <f>Inputs!$D$19*(1-Inputs!$C$72*$H169)+Inputs!$D$21+Inputs!$B$72*$J169</f>
        <v>392150</v>
      </c>
      <c r="CN169" s="38">
        <f t="shared" si="133"/>
        <v>-265840.85699899215</v>
      </c>
      <c r="CO169" s="38">
        <f t="shared" si="134"/>
        <v>1</v>
      </c>
      <c r="CP169" s="38">
        <f>MAX(0,MIN(Inputs!$B$36,CU168,CQ169+CR169+CS169+Inputs!$B$6-CT168))</f>
        <v>0</v>
      </c>
      <c r="CQ169" s="38">
        <f>Inputs!$B$27*(1+Inputs!$B$28)^($A169/12)*IF(Inputs!$B$73=1,$G169,1)*(1-Inputs!$C$73*$H169*(1-Inputs!$E$54*Inputs!$B$73))*(1+$I169)*IF(Inputs!$B$29=0,1,(MAX(CT168,0)/Inputs!$B$6)^Inputs!$B$29)</f>
        <v>24083.108877865019</v>
      </c>
      <c r="CR169" s="38">
        <f>Inputs!$B$32*CT168/Inputs!$B$6</f>
        <v>0</v>
      </c>
      <c r="CS169" s="38">
        <f>Inputs!$B$33</f>
        <v>2500</v>
      </c>
      <c r="CT169" s="38">
        <f t="shared" si="135"/>
        <v>0</v>
      </c>
      <c r="CU169" s="38">
        <f t="shared" si="136"/>
        <v>0</v>
      </c>
      <c r="CV169" s="38">
        <f>Inputs!$B$19*(1-Inputs!$C$73*$H169)+Inputs!$B$21+Inputs!$B$73*$J169</f>
        <v>583500</v>
      </c>
      <c r="CW169" s="38">
        <f t="shared" si="137"/>
        <v>-583500</v>
      </c>
      <c r="CX169" s="38">
        <f t="shared" si="138"/>
        <v>1</v>
      </c>
      <c r="CY169" s="38">
        <f>MAX(0,MIN(Inputs!$C$36,DD168,CZ169+DA169+DB169+Inputs!$C$6-DC168))</f>
        <v>0</v>
      </c>
      <c r="CZ169" s="38">
        <f>Inputs!$C$27*(1+Inputs!$C$28)^($A169/12)*IF(Inputs!$B$73=1,$G169,1)*(1-Inputs!$C$73*$H169*(1-Inputs!$E$54*Inputs!$B$73))*(1+$I169)*IF(Inputs!$C$29=0,1,(MAX(DC168,0)/Inputs!$C$6)^Inputs!$C$29)</f>
        <v>0</v>
      </c>
      <c r="DA169" s="38">
        <f>Inputs!$C$32*DC168/Inputs!$C$6</f>
        <v>0</v>
      </c>
      <c r="DB169" s="38">
        <f>Inputs!$C$33</f>
        <v>2000</v>
      </c>
      <c r="DC169" s="38">
        <f t="shared" si="139"/>
        <v>0</v>
      </c>
      <c r="DD169" s="38">
        <f t="shared" si="140"/>
        <v>0</v>
      </c>
      <c r="DE169" s="38">
        <f>Inputs!$C$19*(1-Inputs!$C$73*$H169)+Inputs!$C$21+Inputs!$B$73*$J169</f>
        <v>486000</v>
      </c>
      <c r="DF169" s="38">
        <f t="shared" si="141"/>
        <v>-486000</v>
      </c>
      <c r="DG169" s="38">
        <f t="shared" si="142"/>
        <v>1</v>
      </c>
      <c r="DH169" s="38">
        <f>MAX(0,MIN(Inputs!$D$36,DM168,DI169+DJ169+DK169+Inputs!$D$6-DL168))</f>
        <v>0</v>
      </c>
      <c r="DI169" s="38">
        <f>Inputs!$D$27*(1+Inputs!$D$28)^($A169/12)*IF(Inputs!$B$73=1,$G169,1)*(1-Inputs!$C$73*$H169*(1-Inputs!$E$54*Inputs!$B$73))*(1+$I169)*IF(Inputs!$D$29=0,1,(MAX(DL168,0)/Inputs!$D$6)^Inputs!$D$29)</f>
        <v>1834.7174666571498</v>
      </c>
      <c r="DJ169" s="38">
        <f>Inputs!$D$32*DL168/Inputs!$D$6</f>
        <v>845.68260580839001</v>
      </c>
      <c r="DK169" s="38">
        <f>Inputs!$D$33</f>
        <v>1500</v>
      </c>
      <c r="DL169" s="38">
        <f t="shared" si="143"/>
        <v>173010.24114453048</v>
      </c>
      <c r="DM169" s="38">
        <f t="shared" si="144"/>
        <v>0</v>
      </c>
      <c r="DN169" s="38">
        <f>Inputs!$D$19*(1-Inputs!$C$73*$H169)+Inputs!$D$21+Inputs!$B$73*$J169</f>
        <v>398150</v>
      </c>
      <c r="DO169" s="38">
        <f t="shared" si="145"/>
        <v>-225139.75885546952</v>
      </c>
      <c r="DP169" s="38">
        <f t="shared" si="146"/>
        <v>1</v>
      </c>
    </row>
    <row r="170" spans="1:120" x14ac:dyDescent="0.35">
      <c r="A170" s="29">
        <v>165</v>
      </c>
      <c r="B170" s="34">
        <f>EDATE(Inputs!$B$67,$A170)</f>
        <v>51288</v>
      </c>
      <c r="C170" s="35">
        <f>IF(Inputs!$E$47&lt;=0,Inputs!$E$46,Inputs!$E$44+(Inputs!$E$46-Inputs!$E$44)*MIN($A170/Inputs!$E$47,1))</f>
        <v>0.7</v>
      </c>
      <c r="D170" s="35">
        <f>MIN(Inputs!$E$57,Inputs!$E$55*(1+Inputs!$E$56)^($A170/12))*Inputs!$E$58*(1+Inputs!$E$59)^($A170/12)/Inputs!$E$45</f>
        <v>1.5</v>
      </c>
      <c r="E170" s="35">
        <f>MAX(Inputs!$E$44,MIN(C170,D170))</f>
        <v>0.7</v>
      </c>
      <c r="F170" s="35">
        <f>IF(Inputs!$E$50&lt;=0,Inputs!$E$49,Inputs!$E$48+(Inputs!$E$49-Inputs!$E$48)*MIN($A170/Inputs!$E$50,1))</f>
        <v>0.12</v>
      </c>
      <c r="G170" s="36">
        <f>(Inputs!$E$41*(1-E170*Inputs!$E$51)+Inputs!$E$42*(1-F170*Inputs!$E$51))/(Inputs!$E$41*(1-Inputs!$E$44*Inputs!$E$51)+Inputs!$E$42*(1-Inputs!$E$48*Inputs!$E$51))</f>
        <v>0.8423127463863338</v>
      </c>
      <c r="H170" s="35">
        <f>IF(Inputs!$E$53&lt;=0,Inputs!$E$52,Inputs!$E$52*MIN($A170/Inputs!$E$53,1))</f>
        <v>0.1</v>
      </c>
      <c r="I170" s="35">
        <f>IF(Inputs!$E$64&lt;=0,Inputs!$E$63,Inputs!$E$62+(Inputs!$E$63-Inputs!$E$62)*MIN($A170/Inputs!$E$64,1))</f>
        <v>0.03</v>
      </c>
      <c r="J170" s="37">
        <f>(E170-Inputs!$E$44)*Inputs!$E$45/Inputs!$E$60*Inputs!$E$61</f>
        <v>5999.9999999999991</v>
      </c>
      <c r="K170" s="29">
        <f t="shared" si="98"/>
        <v>0</v>
      </c>
      <c r="L170" s="29"/>
      <c r="M170" s="38">
        <f>MAX(0,MIN(Inputs!$B$36,R169,N170+O170+P170+Inputs!$B$6-Q169))</f>
        <v>0</v>
      </c>
      <c r="N170" s="38">
        <f>Inputs!$B$27*(1+Inputs!$B$28)^($A170/12)*IF(Inputs!$B$70=1,$G170,1)*(1-Inputs!$C$70*$H170*(1-Inputs!$E$54*Inputs!$B$70))*(1+$I170)*IF(Inputs!$B$29=0,1,(MAX(Q169,0)/Inputs!$B$6)^Inputs!$B$29)</f>
        <v>30219.087485485186</v>
      </c>
      <c r="O170" s="38">
        <f>Inputs!$B$32*Q169/Inputs!$B$6</f>
        <v>0</v>
      </c>
      <c r="P170" s="38">
        <f>Inputs!$B$33</f>
        <v>2500</v>
      </c>
      <c r="Q170" s="38">
        <f t="shared" si="99"/>
        <v>0</v>
      </c>
      <c r="R170" s="38">
        <f t="shared" si="100"/>
        <v>0</v>
      </c>
      <c r="S170" s="38">
        <f>Inputs!$B$19*(1-Inputs!$C$70*$H170)+Inputs!$B$21+Inputs!$B$70*$J170</f>
        <v>595000</v>
      </c>
      <c r="T170" s="38">
        <f t="shared" si="101"/>
        <v>-595000</v>
      </c>
      <c r="U170" s="38">
        <f t="shared" si="102"/>
        <v>1</v>
      </c>
      <c r="V170" s="38">
        <f>MAX(0,MIN(Inputs!$C$36,AA169,W170+X170+Y170+Inputs!$C$6-Z169))</f>
        <v>0</v>
      </c>
      <c r="W170" s="38">
        <f>Inputs!$C$27*(1+Inputs!$C$28)^($A170/12)*IF(Inputs!$B$70=1,$G170,1)*(1-Inputs!$C$70*$H170*(1-Inputs!$E$54*Inputs!$B$70))*(1+$I170)*IF(Inputs!$C$29=0,1,(MAX(Z169,0)/Inputs!$C$6)^Inputs!$C$29)</f>
        <v>0</v>
      </c>
      <c r="X170" s="38">
        <f>Inputs!$C$32*Z169/Inputs!$C$6</f>
        <v>0</v>
      </c>
      <c r="Y170" s="38">
        <f>Inputs!$C$33</f>
        <v>2000</v>
      </c>
      <c r="Z170" s="38">
        <f t="shared" si="103"/>
        <v>0</v>
      </c>
      <c r="AA170" s="38">
        <f t="shared" si="104"/>
        <v>0</v>
      </c>
      <c r="AB170" s="38">
        <f>Inputs!$C$19*(1-Inputs!$C$70*$H170)+Inputs!$C$21+Inputs!$B$70*$J170</f>
        <v>495000</v>
      </c>
      <c r="AC170" s="38">
        <f t="shared" si="105"/>
        <v>-495000</v>
      </c>
      <c r="AD170" s="38">
        <f t="shared" si="106"/>
        <v>1</v>
      </c>
      <c r="AE170" s="38">
        <f>MAX(0,MIN(Inputs!$D$36,AJ169,AF170+AG170+AH170+Inputs!$D$6-AI169))</f>
        <v>0</v>
      </c>
      <c r="AF170" s="38">
        <f>Inputs!$D$27*(1+Inputs!$D$28)^($A170/12)*IF(Inputs!$B$70=1,$G170,1)*(1-Inputs!$C$70*$H170*(1-Inputs!$E$54*Inputs!$B$70))*(1+$I170)*IF(Inputs!$D$29=0,1,(MAX(AI169,0)/Inputs!$D$6)^Inputs!$D$29)</f>
        <v>1628.5466661909929</v>
      </c>
      <c r="AG170" s="38">
        <f>Inputs!$D$32*AI169/Inputs!$D$6</f>
        <v>430.30472133411172</v>
      </c>
      <c r="AH170" s="38">
        <f>Inputs!$D$33</f>
        <v>1500</v>
      </c>
      <c r="AI170" s="38">
        <f t="shared" si="107"/>
        <v>86600.233082479259</v>
      </c>
      <c r="AJ170" s="38">
        <f t="shared" si="108"/>
        <v>0</v>
      </c>
      <c r="AK170" s="38">
        <f>Inputs!$D$19*(1-Inputs!$C$70*$H170)+Inputs!$D$21+Inputs!$B$70*$J170</f>
        <v>404800</v>
      </c>
      <c r="AL170" s="38">
        <f t="shared" si="109"/>
        <v>-318199.76691752073</v>
      </c>
      <c r="AM170" s="38">
        <f t="shared" si="110"/>
        <v>1</v>
      </c>
      <c r="AN170" s="38">
        <f>MAX(0,MIN(Inputs!$B$36,AS169,AO170+AP170+AQ170+Inputs!$B$6-AR169))</f>
        <v>0</v>
      </c>
      <c r="AO170" s="38">
        <f>Inputs!$B$27*(1+Inputs!$B$28)^($A170/12)*IF(Inputs!$B$71=1,$G170,1)*(1-Inputs!$C$71*$H170*(1-Inputs!$E$54*Inputs!$B$71))*(1+$I170)*IF(Inputs!$B$29=0,1,(MAX(AR169,0)/Inputs!$B$6)^Inputs!$B$29)</f>
        <v>25453.92257318792</v>
      </c>
      <c r="AP170" s="38">
        <f>Inputs!$B$32*AR169/Inputs!$B$6</f>
        <v>0</v>
      </c>
      <c r="AQ170" s="38">
        <f>Inputs!$B$33</f>
        <v>2500</v>
      </c>
      <c r="AR170" s="38">
        <f t="shared" si="111"/>
        <v>0</v>
      </c>
      <c r="AS170" s="38">
        <f t="shared" si="112"/>
        <v>0</v>
      </c>
      <c r="AT170" s="38">
        <f>Inputs!$B$19*(1-Inputs!$C$71*$H170)+Inputs!$B$21+Inputs!$B$71*$J170</f>
        <v>601000</v>
      </c>
      <c r="AU170" s="38">
        <f t="shared" si="113"/>
        <v>-601000</v>
      </c>
      <c r="AV170" s="38">
        <f t="shared" si="114"/>
        <v>1</v>
      </c>
      <c r="AW170" s="38">
        <f>MAX(0,MIN(Inputs!$C$36,BB169,AX170+AY170+AZ170+Inputs!$C$6-BA169))</f>
        <v>0</v>
      </c>
      <c r="AX170" s="38">
        <f>Inputs!$C$27*(1+Inputs!$C$28)^($A170/12)*IF(Inputs!$B$71=1,$G170,1)*(1-Inputs!$C$71*$H170*(1-Inputs!$E$54*Inputs!$B$71))*(1+$I170)*IF(Inputs!$C$29=0,1,(MAX(BA169,0)/Inputs!$C$6)^Inputs!$C$29)</f>
        <v>0</v>
      </c>
      <c r="AY170" s="38">
        <f>Inputs!$C$32*BA169/Inputs!$C$6</f>
        <v>0</v>
      </c>
      <c r="AZ170" s="38">
        <f>Inputs!$C$33</f>
        <v>2000</v>
      </c>
      <c r="BA170" s="38">
        <f t="shared" si="115"/>
        <v>0</v>
      </c>
      <c r="BB170" s="38">
        <f t="shared" si="116"/>
        <v>0</v>
      </c>
      <c r="BC170" s="38">
        <f>Inputs!$C$19*(1-Inputs!$C$71*$H170)+Inputs!$C$21+Inputs!$B$71*$J170</f>
        <v>501000</v>
      </c>
      <c r="BD170" s="38">
        <f t="shared" si="117"/>
        <v>-501000</v>
      </c>
      <c r="BE170" s="38">
        <f t="shared" si="118"/>
        <v>1</v>
      </c>
      <c r="BF170" s="38">
        <f>MAX(0,MIN(Inputs!$D$36,BK169,BG170+BH170+BI170+Inputs!$D$6-BJ169))</f>
        <v>0</v>
      </c>
      <c r="BG170" s="38">
        <f>Inputs!$D$27*(1+Inputs!$D$28)^($A170/12)*IF(Inputs!$B$71=1,$G170,1)*(1-Inputs!$C$71*$H170*(1-Inputs!$E$54*Inputs!$B$71))*(1+$I170)*IF(Inputs!$D$29=0,1,(MAX(BJ169,0)/Inputs!$D$6)^Inputs!$D$29)</f>
        <v>1798.5761229451134</v>
      </c>
      <c r="BH170" s="38">
        <f>Inputs!$D$32*BJ169/Inputs!$D$6</f>
        <v>739.75276531525242</v>
      </c>
      <c r="BI170" s="38">
        <f>Inputs!$D$33</f>
        <v>1500</v>
      </c>
      <c r="BJ170" s="38">
        <f t="shared" si="119"/>
        <v>150957.48860636394</v>
      </c>
      <c r="BK170" s="38">
        <f t="shared" si="120"/>
        <v>0</v>
      </c>
      <c r="BL170" s="38">
        <f>Inputs!$D$19*(1-Inputs!$C$71*$H170)+Inputs!$D$21+Inputs!$B$71*$J170</f>
        <v>410800</v>
      </c>
      <c r="BM170" s="38">
        <f t="shared" si="121"/>
        <v>-259842.51139363606</v>
      </c>
      <c r="BN170" s="38">
        <f t="shared" si="122"/>
        <v>1</v>
      </c>
      <c r="BO170" s="38">
        <f>MAX(0,MIN(Inputs!$B$36,BT169,BP170+BQ170+BR170+Inputs!$B$6-BS169))</f>
        <v>0</v>
      </c>
      <c r="BP170" s="38">
        <f>Inputs!$B$27*(1+Inputs!$B$28)^($A170/12)*IF(Inputs!$B$72=1,$G170,1)*(1-Inputs!$C$72*$H170*(1-Inputs!$E$54*Inputs!$B$72))*(1+$I170)*IF(Inputs!$B$29=0,1,(MAX(BS169,0)/Inputs!$B$6)^Inputs!$B$29)</f>
        <v>27197.178736936668</v>
      </c>
      <c r="BQ170" s="38">
        <f>Inputs!$B$32*BS169/Inputs!$B$6</f>
        <v>0</v>
      </c>
      <c r="BR170" s="38">
        <f>Inputs!$B$33</f>
        <v>2500</v>
      </c>
      <c r="BS170" s="38">
        <f t="shared" si="123"/>
        <v>0</v>
      </c>
      <c r="BT170" s="38">
        <f t="shared" si="124"/>
        <v>0</v>
      </c>
      <c r="BU170" s="38">
        <f>Inputs!$B$19*(1-Inputs!$C$72*$H170)+Inputs!$B$21+Inputs!$B$72*$J170</f>
        <v>577500</v>
      </c>
      <c r="BV170" s="38">
        <f t="shared" si="125"/>
        <v>-577500</v>
      </c>
      <c r="BW170" s="38">
        <f t="shared" si="126"/>
        <v>1</v>
      </c>
      <c r="BX170" s="38">
        <f>MAX(0,MIN(Inputs!$C$36,CC169,BY170+BZ170+CA170+Inputs!$C$6-CB169))</f>
        <v>0</v>
      </c>
      <c r="BY170" s="38">
        <f>Inputs!$C$27*(1+Inputs!$C$28)^($A170/12)*IF(Inputs!$B$72=1,$G170,1)*(1-Inputs!$C$72*$H170*(1-Inputs!$E$54*Inputs!$B$72))*(1+$I170)*IF(Inputs!$C$29=0,1,(MAX(CB169,0)/Inputs!$C$6)^Inputs!$C$29)</f>
        <v>0</v>
      </c>
      <c r="BZ170" s="38">
        <f>Inputs!$C$32*CB169/Inputs!$C$6</f>
        <v>0</v>
      </c>
      <c r="CA170" s="38">
        <f>Inputs!$C$33</f>
        <v>2000</v>
      </c>
      <c r="CB170" s="38">
        <f t="shared" si="127"/>
        <v>0</v>
      </c>
      <c r="CC170" s="38">
        <f t="shared" si="128"/>
        <v>0</v>
      </c>
      <c r="CD170" s="38">
        <f>Inputs!$C$19*(1-Inputs!$C$72*$H170)+Inputs!$C$21+Inputs!$B$72*$J170</f>
        <v>480000</v>
      </c>
      <c r="CE170" s="38">
        <f t="shared" si="129"/>
        <v>-480000</v>
      </c>
      <c r="CF170" s="38">
        <f t="shared" si="130"/>
        <v>1</v>
      </c>
      <c r="CG170" s="38">
        <f>MAX(0,MIN(Inputs!$D$36,CL169,CH170+CI170+CJ170+Inputs!$D$6-CK169))</f>
        <v>0</v>
      </c>
      <c r="CH170" s="38">
        <f>Inputs!$D$27*(1+Inputs!$D$28)^($A170/12)*IF(Inputs!$B$72=1,$G170,1)*(1-Inputs!$C$72*$H170*(1-Inputs!$E$54*Inputs!$B$72))*(1+$I170)*IF(Inputs!$D$29=0,1,(MAX(CK169,0)/Inputs!$D$6)^Inputs!$D$29)</f>
        <v>1734.8237738135444</v>
      </c>
      <c r="CI170" s="38">
        <f>Inputs!$D$32*CK169/Inputs!$D$6</f>
        <v>602.8390915957192</v>
      </c>
      <c r="CJ170" s="38">
        <f>Inputs!$D$33</f>
        <v>1500</v>
      </c>
      <c r="CK170" s="38">
        <f t="shared" si="131"/>
        <v>122471.48013559857</v>
      </c>
      <c r="CL170" s="38">
        <f t="shared" si="132"/>
        <v>0</v>
      </c>
      <c r="CM170" s="38">
        <f>Inputs!$D$19*(1-Inputs!$C$72*$H170)+Inputs!$D$21+Inputs!$B$72*$J170</f>
        <v>392150</v>
      </c>
      <c r="CN170" s="38">
        <f t="shared" si="133"/>
        <v>-269678.51986440143</v>
      </c>
      <c r="CO170" s="38">
        <f t="shared" si="134"/>
        <v>1</v>
      </c>
      <c r="CP170" s="38">
        <f>MAX(0,MIN(Inputs!$B$36,CU169,CQ170+CR170+CS170+Inputs!$B$6-CT169))</f>
        <v>0</v>
      </c>
      <c r="CQ170" s="38">
        <f>Inputs!$B$27*(1+Inputs!$B$28)^($A170/12)*IF(Inputs!$B$73=1,$G170,1)*(1-Inputs!$C$73*$H170*(1-Inputs!$E$54*Inputs!$B$73))*(1+$I170)*IF(Inputs!$B$29=0,1,(MAX(CT169,0)/Inputs!$B$6)^Inputs!$B$29)</f>
        <v>24181.226444528522</v>
      </c>
      <c r="CR170" s="38">
        <f>Inputs!$B$32*CT169/Inputs!$B$6</f>
        <v>0</v>
      </c>
      <c r="CS170" s="38">
        <f>Inputs!$B$33</f>
        <v>2500</v>
      </c>
      <c r="CT170" s="38">
        <f t="shared" si="135"/>
        <v>0</v>
      </c>
      <c r="CU170" s="38">
        <f t="shared" si="136"/>
        <v>0</v>
      </c>
      <c r="CV170" s="38">
        <f>Inputs!$B$19*(1-Inputs!$C$73*$H170)+Inputs!$B$21+Inputs!$B$73*$J170</f>
        <v>583500</v>
      </c>
      <c r="CW170" s="38">
        <f t="shared" si="137"/>
        <v>-583500</v>
      </c>
      <c r="CX170" s="38">
        <f t="shared" si="138"/>
        <v>1</v>
      </c>
      <c r="CY170" s="38">
        <f>MAX(0,MIN(Inputs!$C$36,DD169,CZ170+DA170+DB170+Inputs!$C$6-DC169))</f>
        <v>0</v>
      </c>
      <c r="CZ170" s="38">
        <f>Inputs!$C$27*(1+Inputs!$C$28)^($A170/12)*IF(Inputs!$B$73=1,$G170,1)*(1-Inputs!$C$73*$H170*(1-Inputs!$E$54*Inputs!$B$73))*(1+$I170)*IF(Inputs!$C$29=0,1,(MAX(DC169,0)/Inputs!$C$6)^Inputs!$C$29)</f>
        <v>0</v>
      </c>
      <c r="DA170" s="38">
        <f>Inputs!$C$32*DC169/Inputs!$C$6</f>
        <v>0</v>
      </c>
      <c r="DB170" s="38">
        <f>Inputs!$C$33</f>
        <v>2000</v>
      </c>
      <c r="DC170" s="38">
        <f t="shared" si="139"/>
        <v>0</v>
      </c>
      <c r="DD170" s="38">
        <f t="shared" si="140"/>
        <v>0</v>
      </c>
      <c r="DE170" s="38">
        <f>Inputs!$C$19*(1-Inputs!$C$73*$H170)+Inputs!$C$21+Inputs!$B$73*$J170</f>
        <v>486000</v>
      </c>
      <c r="DF170" s="38">
        <f t="shared" si="141"/>
        <v>-486000</v>
      </c>
      <c r="DG170" s="38">
        <f t="shared" si="142"/>
        <v>1</v>
      </c>
      <c r="DH170" s="38">
        <f>MAX(0,MIN(Inputs!$D$36,DM169,DI170+DJ170+DK170+Inputs!$D$6-DL169))</f>
        <v>0</v>
      </c>
      <c r="DI170" s="38">
        <f>Inputs!$D$27*(1+Inputs!$D$28)^($A170/12)*IF(Inputs!$B$73=1,$G170,1)*(1-Inputs!$C$73*$H170*(1-Inputs!$E$54*Inputs!$B$73))*(1+$I170)*IF(Inputs!$D$29=0,1,(MAX(DL169,0)/Inputs!$D$6)^Inputs!$D$29)</f>
        <v>1805.2125541767618</v>
      </c>
      <c r="DJ170" s="38">
        <f>Inputs!$D$32*DL169/Inputs!$D$6</f>
        <v>825.7306963716228</v>
      </c>
      <c r="DK170" s="38">
        <f>Inputs!$D$33</f>
        <v>1500</v>
      </c>
      <c r="DL170" s="38">
        <f t="shared" si="143"/>
        <v>168879.29789398209</v>
      </c>
      <c r="DM170" s="38">
        <f t="shared" si="144"/>
        <v>0</v>
      </c>
      <c r="DN170" s="38">
        <f>Inputs!$D$19*(1-Inputs!$C$73*$H170)+Inputs!$D$21+Inputs!$B$73*$J170</f>
        <v>398150</v>
      </c>
      <c r="DO170" s="38">
        <f t="shared" si="145"/>
        <v>-229270.70210601791</v>
      </c>
      <c r="DP170" s="38">
        <f t="shared" si="146"/>
        <v>1</v>
      </c>
    </row>
    <row r="171" spans="1:120" x14ac:dyDescent="0.35">
      <c r="A171" s="29">
        <v>166</v>
      </c>
      <c r="B171" s="34">
        <f>EDATE(Inputs!$B$67,$A171)</f>
        <v>51318</v>
      </c>
      <c r="C171" s="35">
        <f>IF(Inputs!$E$47&lt;=0,Inputs!$E$46,Inputs!$E$44+(Inputs!$E$46-Inputs!$E$44)*MIN($A171/Inputs!$E$47,1))</f>
        <v>0.7</v>
      </c>
      <c r="D171" s="35">
        <f>MIN(Inputs!$E$57,Inputs!$E$55*(1+Inputs!$E$56)^($A171/12))*Inputs!$E$58*(1+Inputs!$E$59)^($A171/12)/Inputs!$E$45</f>
        <v>1.5</v>
      </c>
      <c r="E171" s="35">
        <f>MAX(Inputs!$E$44,MIN(C171,D171))</f>
        <v>0.7</v>
      </c>
      <c r="F171" s="35">
        <f>IF(Inputs!$E$50&lt;=0,Inputs!$E$49,Inputs!$E$48+(Inputs!$E$49-Inputs!$E$48)*MIN($A171/Inputs!$E$50,1))</f>
        <v>0.12</v>
      </c>
      <c r="G171" s="36">
        <f>(Inputs!$E$41*(1-E171*Inputs!$E$51)+Inputs!$E$42*(1-F171*Inputs!$E$51))/(Inputs!$E$41*(1-Inputs!$E$44*Inputs!$E$51)+Inputs!$E$42*(1-Inputs!$E$48*Inputs!$E$51))</f>
        <v>0.8423127463863338</v>
      </c>
      <c r="H171" s="35">
        <f>IF(Inputs!$E$53&lt;=0,Inputs!$E$52,Inputs!$E$52*MIN($A171/Inputs!$E$53,1))</f>
        <v>0.1</v>
      </c>
      <c r="I171" s="35">
        <f>IF(Inputs!$E$64&lt;=0,Inputs!$E$63,Inputs!$E$62+(Inputs!$E$63-Inputs!$E$62)*MIN($A171/Inputs!$E$64,1))</f>
        <v>0.03</v>
      </c>
      <c r="J171" s="37">
        <f>(E171-Inputs!$E$44)*Inputs!$E$45/Inputs!$E$60*Inputs!$E$61</f>
        <v>5999.9999999999991</v>
      </c>
      <c r="K171" s="29">
        <f t="shared" si="98"/>
        <v>0</v>
      </c>
      <c r="L171" s="29"/>
      <c r="M171" s="38">
        <f>MAX(0,MIN(Inputs!$B$36,R170,N171+O171+P171+Inputs!$B$6-Q170))</f>
        <v>0</v>
      </c>
      <c r="N171" s="38">
        <f>Inputs!$B$27*(1+Inputs!$B$28)^($A171/12)*IF(Inputs!$B$70=1,$G171,1)*(1-Inputs!$C$70*$H171*(1-Inputs!$E$54*Inputs!$B$70))*(1+$I171)*IF(Inputs!$B$29=0,1,(MAX(Q170,0)/Inputs!$B$6)^Inputs!$B$29)</f>
        <v>30342.203788529954</v>
      </c>
      <c r="O171" s="38">
        <f>Inputs!$B$32*Q170/Inputs!$B$6</f>
        <v>0</v>
      </c>
      <c r="P171" s="38">
        <f>Inputs!$B$33</f>
        <v>2500</v>
      </c>
      <c r="Q171" s="38">
        <f t="shared" si="99"/>
        <v>0</v>
      </c>
      <c r="R171" s="38">
        <f t="shared" si="100"/>
        <v>0</v>
      </c>
      <c r="S171" s="38">
        <f>Inputs!$B$19*(1-Inputs!$C$70*$H171)+Inputs!$B$21+Inputs!$B$70*$J171</f>
        <v>595000</v>
      </c>
      <c r="T171" s="38">
        <f t="shared" si="101"/>
        <v>-595000</v>
      </c>
      <c r="U171" s="38">
        <f t="shared" si="102"/>
        <v>1</v>
      </c>
      <c r="V171" s="38">
        <f>MAX(0,MIN(Inputs!$C$36,AA170,W171+X171+Y171+Inputs!$C$6-Z170))</f>
        <v>0</v>
      </c>
      <c r="W171" s="38">
        <f>Inputs!$C$27*(1+Inputs!$C$28)^($A171/12)*IF(Inputs!$B$70=1,$G171,1)*(1-Inputs!$C$70*$H171*(1-Inputs!$E$54*Inputs!$B$70))*(1+$I171)*IF(Inputs!$C$29=0,1,(MAX(Z170,0)/Inputs!$C$6)^Inputs!$C$29)</f>
        <v>0</v>
      </c>
      <c r="X171" s="38">
        <f>Inputs!$C$32*Z170/Inputs!$C$6</f>
        <v>0</v>
      </c>
      <c r="Y171" s="38">
        <f>Inputs!$C$33</f>
        <v>2000</v>
      </c>
      <c r="Z171" s="38">
        <f t="shared" si="103"/>
        <v>0</v>
      </c>
      <c r="AA171" s="38">
        <f t="shared" si="104"/>
        <v>0</v>
      </c>
      <c r="AB171" s="38">
        <f>Inputs!$C$19*(1-Inputs!$C$70*$H171)+Inputs!$C$21+Inputs!$B$70*$J171</f>
        <v>495000</v>
      </c>
      <c r="AC171" s="38">
        <f t="shared" si="105"/>
        <v>-495000</v>
      </c>
      <c r="AD171" s="38">
        <f t="shared" si="106"/>
        <v>1</v>
      </c>
      <c r="AE171" s="38">
        <f>MAX(0,MIN(Inputs!$D$36,AJ170,AF171+AG171+AH171+Inputs!$D$6-AI170))</f>
        <v>0</v>
      </c>
      <c r="AF171" s="38">
        <f>Inputs!$D$27*(1+Inputs!$D$28)^($A171/12)*IF(Inputs!$B$70=1,$G171,1)*(1-Inputs!$C$70*$H171*(1-Inputs!$E$54*Inputs!$B$70))*(1+$I171)*IF(Inputs!$D$29=0,1,(MAX(AI170,0)/Inputs!$D$6)^Inputs!$D$29)</f>
        <v>1589.2734402777453</v>
      </c>
      <c r="AG171" s="38">
        <f>Inputs!$D$32*AI170/Inputs!$D$6</f>
        <v>413.31929425728737</v>
      </c>
      <c r="AH171" s="38">
        <f>Inputs!$D$33</f>
        <v>1500</v>
      </c>
      <c r="AI171" s="38">
        <f t="shared" si="107"/>
        <v>83097.640347944223</v>
      </c>
      <c r="AJ171" s="38">
        <f t="shared" si="108"/>
        <v>0</v>
      </c>
      <c r="AK171" s="38">
        <f>Inputs!$D$19*(1-Inputs!$C$70*$H171)+Inputs!$D$21+Inputs!$B$70*$J171</f>
        <v>404800</v>
      </c>
      <c r="AL171" s="38">
        <f t="shared" si="109"/>
        <v>-321702.35965205578</v>
      </c>
      <c r="AM171" s="38">
        <f t="shared" si="110"/>
        <v>1</v>
      </c>
      <c r="AN171" s="38">
        <f>MAX(0,MIN(Inputs!$B$36,AS170,AO171+AP171+AQ171+Inputs!$B$6-AR170))</f>
        <v>0</v>
      </c>
      <c r="AO171" s="38">
        <f>Inputs!$B$27*(1+Inputs!$B$28)^($A171/12)*IF(Inputs!$B$71=1,$G171,1)*(1-Inputs!$C$71*$H171*(1-Inputs!$E$54*Inputs!$B$71))*(1+$I171)*IF(Inputs!$B$29=0,1,(MAX(AR170,0)/Inputs!$B$6)^Inputs!$B$29)</f>
        <v>25557.625004530488</v>
      </c>
      <c r="AP171" s="38">
        <f>Inputs!$B$32*AR170/Inputs!$B$6</f>
        <v>0</v>
      </c>
      <c r="AQ171" s="38">
        <f>Inputs!$B$33</f>
        <v>2500</v>
      </c>
      <c r="AR171" s="38">
        <f t="shared" si="111"/>
        <v>0</v>
      </c>
      <c r="AS171" s="38">
        <f t="shared" si="112"/>
        <v>0</v>
      </c>
      <c r="AT171" s="38">
        <f>Inputs!$B$19*(1-Inputs!$C$71*$H171)+Inputs!$B$21+Inputs!$B$71*$J171</f>
        <v>601000</v>
      </c>
      <c r="AU171" s="38">
        <f t="shared" si="113"/>
        <v>-601000</v>
      </c>
      <c r="AV171" s="38">
        <f t="shared" si="114"/>
        <v>1</v>
      </c>
      <c r="AW171" s="38">
        <f>MAX(0,MIN(Inputs!$C$36,BB170,AX171+AY171+AZ171+Inputs!$C$6-BA170))</f>
        <v>0</v>
      </c>
      <c r="AX171" s="38">
        <f>Inputs!$C$27*(1+Inputs!$C$28)^($A171/12)*IF(Inputs!$B$71=1,$G171,1)*(1-Inputs!$C$71*$H171*(1-Inputs!$E$54*Inputs!$B$71))*(1+$I171)*IF(Inputs!$C$29=0,1,(MAX(BA170,0)/Inputs!$C$6)^Inputs!$C$29)</f>
        <v>0</v>
      </c>
      <c r="AY171" s="38">
        <f>Inputs!$C$32*BA170/Inputs!$C$6</f>
        <v>0</v>
      </c>
      <c r="AZ171" s="38">
        <f>Inputs!$C$33</f>
        <v>2000</v>
      </c>
      <c r="BA171" s="38">
        <f t="shared" si="115"/>
        <v>0</v>
      </c>
      <c r="BB171" s="38">
        <f t="shared" si="116"/>
        <v>0</v>
      </c>
      <c r="BC171" s="38">
        <f>Inputs!$C$19*(1-Inputs!$C$71*$H171)+Inputs!$C$21+Inputs!$B$71*$J171</f>
        <v>501000</v>
      </c>
      <c r="BD171" s="38">
        <f t="shared" si="117"/>
        <v>-501000</v>
      </c>
      <c r="BE171" s="38">
        <f t="shared" si="118"/>
        <v>1</v>
      </c>
      <c r="BF171" s="38">
        <f>MAX(0,MIN(Inputs!$D$36,BK170,BG171+BH171+BI171+Inputs!$D$6-BJ170))</f>
        <v>0</v>
      </c>
      <c r="BG171" s="38">
        <f>Inputs!$D$27*(1+Inputs!$D$28)^($A171/12)*IF(Inputs!$B$71=1,$G171,1)*(1-Inputs!$C$71*$H171*(1-Inputs!$E$54*Inputs!$B$71))*(1+$I171)*IF(Inputs!$D$29=0,1,(MAX(BJ170,0)/Inputs!$D$6)^Inputs!$D$29)</f>
        <v>1767.4201375405664</v>
      </c>
      <c r="BH171" s="38">
        <f>Inputs!$D$32*BJ170/Inputs!$D$6</f>
        <v>720.47892289400966</v>
      </c>
      <c r="BI171" s="38">
        <f>Inputs!$D$33</f>
        <v>1500</v>
      </c>
      <c r="BJ171" s="38">
        <f t="shared" si="119"/>
        <v>146969.58954592937</v>
      </c>
      <c r="BK171" s="38">
        <f t="shared" si="120"/>
        <v>0</v>
      </c>
      <c r="BL171" s="38">
        <f>Inputs!$D$19*(1-Inputs!$C$71*$H171)+Inputs!$D$21+Inputs!$B$71*$J171</f>
        <v>410800</v>
      </c>
      <c r="BM171" s="38">
        <f t="shared" si="121"/>
        <v>-263830.41045407066</v>
      </c>
      <c r="BN171" s="38">
        <f t="shared" si="122"/>
        <v>1</v>
      </c>
      <c r="BO171" s="38">
        <f>MAX(0,MIN(Inputs!$B$36,BT170,BP171+BQ171+BR171+Inputs!$B$6-BS170))</f>
        <v>0</v>
      </c>
      <c r="BP171" s="38">
        <f>Inputs!$B$27*(1+Inputs!$B$28)^($A171/12)*IF(Inputs!$B$72=1,$G171,1)*(1-Inputs!$C$72*$H171*(1-Inputs!$E$54*Inputs!$B$72))*(1+$I171)*IF(Inputs!$B$29=0,1,(MAX(BS170,0)/Inputs!$B$6)^Inputs!$B$29)</f>
        <v>27307.983409676959</v>
      </c>
      <c r="BQ171" s="38">
        <f>Inputs!$B$32*BS170/Inputs!$B$6</f>
        <v>0</v>
      </c>
      <c r="BR171" s="38">
        <f>Inputs!$B$33</f>
        <v>2500</v>
      </c>
      <c r="BS171" s="38">
        <f t="shared" si="123"/>
        <v>0</v>
      </c>
      <c r="BT171" s="38">
        <f t="shared" si="124"/>
        <v>0</v>
      </c>
      <c r="BU171" s="38">
        <f>Inputs!$B$19*(1-Inputs!$C$72*$H171)+Inputs!$B$21+Inputs!$B$72*$J171</f>
        <v>577500</v>
      </c>
      <c r="BV171" s="38">
        <f t="shared" si="125"/>
        <v>-577500</v>
      </c>
      <c r="BW171" s="38">
        <f t="shared" si="126"/>
        <v>1</v>
      </c>
      <c r="BX171" s="38">
        <f>MAX(0,MIN(Inputs!$C$36,CC170,BY171+BZ171+CA171+Inputs!$C$6-CB170))</f>
        <v>0</v>
      </c>
      <c r="BY171" s="38">
        <f>Inputs!$C$27*(1+Inputs!$C$28)^($A171/12)*IF(Inputs!$B$72=1,$G171,1)*(1-Inputs!$C$72*$H171*(1-Inputs!$E$54*Inputs!$B$72))*(1+$I171)*IF(Inputs!$C$29=0,1,(MAX(CB170,0)/Inputs!$C$6)^Inputs!$C$29)</f>
        <v>0</v>
      </c>
      <c r="BZ171" s="38">
        <f>Inputs!$C$32*CB170/Inputs!$C$6</f>
        <v>0</v>
      </c>
      <c r="CA171" s="38">
        <f>Inputs!$C$33</f>
        <v>2000</v>
      </c>
      <c r="CB171" s="38">
        <f t="shared" si="127"/>
        <v>0</v>
      </c>
      <c r="CC171" s="38">
        <f t="shared" si="128"/>
        <v>0</v>
      </c>
      <c r="CD171" s="38">
        <f>Inputs!$C$19*(1-Inputs!$C$72*$H171)+Inputs!$C$21+Inputs!$B$72*$J171</f>
        <v>480000</v>
      </c>
      <c r="CE171" s="38">
        <f t="shared" si="129"/>
        <v>-480000</v>
      </c>
      <c r="CF171" s="38">
        <f t="shared" si="130"/>
        <v>1</v>
      </c>
      <c r="CG171" s="38">
        <f>MAX(0,MIN(Inputs!$D$36,CL170,CH171+CI171+CJ171+Inputs!$D$6-CK170))</f>
        <v>0</v>
      </c>
      <c r="CH171" s="38">
        <f>Inputs!$D$27*(1+Inputs!$D$28)^($A171/12)*IF(Inputs!$B$72=1,$G171,1)*(1-Inputs!$C$72*$H171*(1-Inputs!$E$54*Inputs!$B$72))*(1+$I171)*IF(Inputs!$D$29=0,1,(MAX(CK170,0)/Inputs!$D$6)^Inputs!$D$29)</f>
        <v>1700.9795323811741</v>
      </c>
      <c r="CI171" s="38">
        <f>Inputs!$D$32*CK170/Inputs!$D$6</f>
        <v>584.5229733744477</v>
      </c>
      <c r="CJ171" s="38">
        <f>Inputs!$D$33</f>
        <v>1500</v>
      </c>
      <c r="CK171" s="38">
        <f t="shared" si="131"/>
        <v>118685.97762984295</v>
      </c>
      <c r="CL171" s="38">
        <f t="shared" si="132"/>
        <v>0</v>
      </c>
      <c r="CM171" s="38">
        <f>Inputs!$D$19*(1-Inputs!$C$72*$H171)+Inputs!$D$21+Inputs!$B$72*$J171</f>
        <v>392150</v>
      </c>
      <c r="CN171" s="38">
        <f t="shared" si="133"/>
        <v>-273464.02237015706</v>
      </c>
      <c r="CO171" s="38">
        <f t="shared" si="134"/>
        <v>1</v>
      </c>
      <c r="CP171" s="38">
        <f>MAX(0,MIN(Inputs!$B$36,CU170,CQ171+CR171+CS171+Inputs!$B$6-CT170))</f>
        <v>0</v>
      </c>
      <c r="CQ171" s="38">
        <f>Inputs!$B$27*(1+Inputs!$B$28)^($A171/12)*IF(Inputs!$B$73=1,$G171,1)*(1-Inputs!$C$73*$H171*(1-Inputs!$E$54*Inputs!$B$73))*(1+$I171)*IF(Inputs!$B$29=0,1,(MAX(CT170,0)/Inputs!$B$6)^Inputs!$B$29)</f>
        <v>24279.743754303963</v>
      </c>
      <c r="CR171" s="38">
        <f>Inputs!$B$32*CT170/Inputs!$B$6</f>
        <v>0</v>
      </c>
      <c r="CS171" s="38">
        <f>Inputs!$B$33</f>
        <v>2500</v>
      </c>
      <c r="CT171" s="38">
        <f t="shared" si="135"/>
        <v>0</v>
      </c>
      <c r="CU171" s="38">
        <f t="shared" si="136"/>
        <v>0</v>
      </c>
      <c r="CV171" s="38">
        <f>Inputs!$B$19*(1-Inputs!$C$73*$H171)+Inputs!$B$21+Inputs!$B$73*$J171</f>
        <v>583500</v>
      </c>
      <c r="CW171" s="38">
        <f t="shared" si="137"/>
        <v>-583500</v>
      </c>
      <c r="CX171" s="38">
        <f t="shared" si="138"/>
        <v>1</v>
      </c>
      <c r="CY171" s="38">
        <f>MAX(0,MIN(Inputs!$C$36,DD170,CZ171+DA171+DB171+Inputs!$C$6-DC170))</f>
        <v>0</v>
      </c>
      <c r="CZ171" s="38">
        <f>Inputs!$C$27*(1+Inputs!$C$28)^($A171/12)*IF(Inputs!$B$73=1,$G171,1)*(1-Inputs!$C$73*$H171*(1-Inputs!$E$54*Inputs!$B$73))*(1+$I171)*IF(Inputs!$C$29=0,1,(MAX(DC170,0)/Inputs!$C$6)^Inputs!$C$29)</f>
        <v>0</v>
      </c>
      <c r="DA171" s="38">
        <f>Inputs!$C$32*DC170/Inputs!$C$6</f>
        <v>0</v>
      </c>
      <c r="DB171" s="38">
        <f>Inputs!$C$33</f>
        <v>2000</v>
      </c>
      <c r="DC171" s="38">
        <f t="shared" si="139"/>
        <v>0</v>
      </c>
      <c r="DD171" s="38">
        <f t="shared" si="140"/>
        <v>0</v>
      </c>
      <c r="DE171" s="38">
        <f>Inputs!$C$19*(1-Inputs!$C$73*$H171)+Inputs!$C$21+Inputs!$B$73*$J171</f>
        <v>486000</v>
      </c>
      <c r="DF171" s="38">
        <f t="shared" si="141"/>
        <v>-486000</v>
      </c>
      <c r="DG171" s="38">
        <f t="shared" si="142"/>
        <v>1</v>
      </c>
      <c r="DH171" s="38">
        <f>MAX(0,MIN(Inputs!$D$36,DM170,DI171+DJ171+DK171+Inputs!$D$6-DL170))</f>
        <v>0</v>
      </c>
      <c r="DI171" s="38">
        <f>Inputs!$D$27*(1+Inputs!$D$28)^($A171/12)*IF(Inputs!$B$73=1,$G171,1)*(1-Inputs!$C$73*$H171*(1-Inputs!$E$54*Inputs!$B$73))*(1+$I171)*IF(Inputs!$D$29=0,1,(MAX(DL170,0)/Inputs!$D$6)^Inputs!$D$29)</f>
        <v>1775.923608114939</v>
      </c>
      <c r="DJ171" s="38">
        <f>Inputs!$D$32*DL170/Inputs!$D$6</f>
        <v>806.01483085764175</v>
      </c>
      <c r="DK171" s="38">
        <f>Inputs!$D$33</f>
        <v>1500</v>
      </c>
      <c r="DL171" s="38">
        <f t="shared" si="143"/>
        <v>164797.35945500951</v>
      </c>
      <c r="DM171" s="38">
        <f t="shared" si="144"/>
        <v>0</v>
      </c>
      <c r="DN171" s="38">
        <f>Inputs!$D$19*(1-Inputs!$C$73*$H171)+Inputs!$D$21+Inputs!$B$73*$J171</f>
        <v>398150</v>
      </c>
      <c r="DO171" s="38">
        <f t="shared" si="145"/>
        <v>-233352.64054499049</v>
      </c>
      <c r="DP171" s="38">
        <f t="shared" si="146"/>
        <v>1</v>
      </c>
    </row>
    <row r="172" spans="1:120" x14ac:dyDescent="0.35">
      <c r="A172" s="29">
        <v>167</v>
      </c>
      <c r="B172" s="34">
        <f>EDATE(Inputs!$B$67,$A172)</f>
        <v>51349</v>
      </c>
      <c r="C172" s="35">
        <f>IF(Inputs!$E$47&lt;=0,Inputs!$E$46,Inputs!$E$44+(Inputs!$E$46-Inputs!$E$44)*MIN($A172/Inputs!$E$47,1))</f>
        <v>0.7</v>
      </c>
      <c r="D172" s="35">
        <f>MIN(Inputs!$E$57,Inputs!$E$55*(1+Inputs!$E$56)^($A172/12))*Inputs!$E$58*(1+Inputs!$E$59)^($A172/12)/Inputs!$E$45</f>
        <v>1.5</v>
      </c>
      <c r="E172" s="35">
        <f>MAX(Inputs!$E$44,MIN(C172,D172))</f>
        <v>0.7</v>
      </c>
      <c r="F172" s="35">
        <f>IF(Inputs!$E$50&lt;=0,Inputs!$E$49,Inputs!$E$48+(Inputs!$E$49-Inputs!$E$48)*MIN($A172/Inputs!$E$50,1))</f>
        <v>0.12</v>
      </c>
      <c r="G172" s="36">
        <f>(Inputs!$E$41*(1-E172*Inputs!$E$51)+Inputs!$E$42*(1-F172*Inputs!$E$51))/(Inputs!$E$41*(1-Inputs!$E$44*Inputs!$E$51)+Inputs!$E$42*(1-Inputs!$E$48*Inputs!$E$51))</f>
        <v>0.8423127463863338</v>
      </c>
      <c r="H172" s="35">
        <f>IF(Inputs!$E$53&lt;=0,Inputs!$E$52,Inputs!$E$52*MIN($A172/Inputs!$E$53,1))</f>
        <v>0.1</v>
      </c>
      <c r="I172" s="35">
        <f>IF(Inputs!$E$64&lt;=0,Inputs!$E$63,Inputs!$E$62+(Inputs!$E$63-Inputs!$E$62)*MIN($A172/Inputs!$E$64,1))</f>
        <v>0.03</v>
      </c>
      <c r="J172" s="37">
        <f>(E172-Inputs!$E$44)*Inputs!$E$45/Inputs!$E$60*Inputs!$E$61</f>
        <v>5999.9999999999991</v>
      </c>
      <c r="K172" s="29">
        <f t="shared" si="98"/>
        <v>0</v>
      </c>
      <c r="L172" s="29"/>
      <c r="M172" s="38">
        <f>MAX(0,MIN(Inputs!$B$36,R171,N172+O172+P172+Inputs!$B$6-Q171))</f>
        <v>0</v>
      </c>
      <c r="N172" s="38">
        <f>Inputs!$B$27*(1+Inputs!$B$28)^($A172/12)*IF(Inputs!$B$70=1,$G172,1)*(1-Inputs!$C$70*$H172*(1-Inputs!$E$54*Inputs!$B$70))*(1+$I172)*IF(Inputs!$B$29=0,1,(MAX(Q171,0)/Inputs!$B$6)^Inputs!$B$29)</f>
        <v>30465.821682633105</v>
      </c>
      <c r="O172" s="38">
        <f>Inputs!$B$32*Q171/Inputs!$B$6</f>
        <v>0</v>
      </c>
      <c r="P172" s="38">
        <f>Inputs!$B$33</f>
        <v>2500</v>
      </c>
      <c r="Q172" s="38">
        <f t="shared" si="99"/>
        <v>0</v>
      </c>
      <c r="R172" s="38">
        <f t="shared" si="100"/>
        <v>0</v>
      </c>
      <c r="S172" s="38">
        <f>Inputs!$B$19*(1-Inputs!$C$70*$H172)+Inputs!$B$21+Inputs!$B$70*$J172</f>
        <v>595000</v>
      </c>
      <c r="T172" s="38">
        <f t="shared" si="101"/>
        <v>-595000</v>
      </c>
      <c r="U172" s="38">
        <f t="shared" si="102"/>
        <v>1</v>
      </c>
      <c r="V172" s="38">
        <f>MAX(0,MIN(Inputs!$C$36,AA171,W172+X172+Y172+Inputs!$C$6-Z171))</f>
        <v>0</v>
      </c>
      <c r="W172" s="38">
        <f>Inputs!$C$27*(1+Inputs!$C$28)^($A172/12)*IF(Inputs!$B$70=1,$G172,1)*(1-Inputs!$C$70*$H172*(1-Inputs!$E$54*Inputs!$B$70))*(1+$I172)*IF(Inputs!$C$29=0,1,(MAX(Z171,0)/Inputs!$C$6)^Inputs!$C$29)</f>
        <v>0</v>
      </c>
      <c r="X172" s="38">
        <f>Inputs!$C$32*Z171/Inputs!$C$6</f>
        <v>0</v>
      </c>
      <c r="Y172" s="38">
        <f>Inputs!$C$33</f>
        <v>2000</v>
      </c>
      <c r="Z172" s="38">
        <f t="shared" si="103"/>
        <v>0</v>
      </c>
      <c r="AA172" s="38">
        <f t="shared" si="104"/>
        <v>0</v>
      </c>
      <c r="AB172" s="38">
        <f>Inputs!$C$19*(1-Inputs!$C$70*$H172)+Inputs!$C$21+Inputs!$B$70*$J172</f>
        <v>495000</v>
      </c>
      <c r="AC172" s="38">
        <f t="shared" si="105"/>
        <v>-495000</v>
      </c>
      <c r="AD172" s="38">
        <f t="shared" si="106"/>
        <v>1</v>
      </c>
      <c r="AE172" s="38">
        <f>MAX(0,MIN(Inputs!$D$36,AJ171,AF172+AG172+AH172+Inputs!$D$6-AI171))</f>
        <v>0</v>
      </c>
      <c r="AF172" s="38">
        <f>Inputs!$D$27*(1+Inputs!$D$28)^($A172/12)*IF(Inputs!$B$70=1,$G172,1)*(1-Inputs!$C$70*$H172*(1-Inputs!$E$54*Inputs!$B$70))*(1+$I172)*IF(Inputs!$D$29=0,1,(MAX(AI171,0)/Inputs!$D$6)^Inputs!$D$29)</f>
        <v>1550.1619577383772</v>
      </c>
      <c r="AG172" s="38">
        <f>Inputs!$D$32*AI171/Inputs!$D$6</f>
        <v>396.60237438791563</v>
      </c>
      <c r="AH172" s="38">
        <f>Inputs!$D$33</f>
        <v>1500</v>
      </c>
      <c r="AI172" s="38">
        <f t="shared" si="107"/>
        <v>79650.876015817921</v>
      </c>
      <c r="AJ172" s="38">
        <f t="shared" si="108"/>
        <v>0</v>
      </c>
      <c r="AK172" s="38">
        <f>Inputs!$D$19*(1-Inputs!$C$70*$H172)+Inputs!$D$21+Inputs!$B$70*$J172</f>
        <v>404800</v>
      </c>
      <c r="AL172" s="38">
        <f t="shared" si="109"/>
        <v>-325149.12398418208</v>
      </c>
      <c r="AM172" s="38">
        <f t="shared" si="110"/>
        <v>1</v>
      </c>
      <c r="AN172" s="38">
        <f>MAX(0,MIN(Inputs!$B$36,AS171,AO172+AP172+AQ172+Inputs!$B$6-AR171))</f>
        <v>0</v>
      </c>
      <c r="AO172" s="38">
        <f>Inputs!$B$27*(1+Inputs!$B$28)^($A172/12)*IF(Inputs!$B$71=1,$G172,1)*(1-Inputs!$C$71*$H172*(1-Inputs!$E$54*Inputs!$B$71))*(1+$I172)*IF(Inputs!$B$29=0,1,(MAX(AR171,0)/Inputs!$B$6)^Inputs!$B$29)</f>
        <v>25661.749932415009</v>
      </c>
      <c r="AP172" s="38">
        <f>Inputs!$B$32*AR171/Inputs!$B$6</f>
        <v>0</v>
      </c>
      <c r="AQ172" s="38">
        <f>Inputs!$B$33</f>
        <v>2500</v>
      </c>
      <c r="AR172" s="38">
        <f t="shared" si="111"/>
        <v>0</v>
      </c>
      <c r="AS172" s="38">
        <f t="shared" si="112"/>
        <v>0</v>
      </c>
      <c r="AT172" s="38">
        <f>Inputs!$B$19*(1-Inputs!$C$71*$H172)+Inputs!$B$21+Inputs!$B$71*$J172</f>
        <v>601000</v>
      </c>
      <c r="AU172" s="38">
        <f t="shared" si="113"/>
        <v>-601000</v>
      </c>
      <c r="AV172" s="38">
        <f t="shared" si="114"/>
        <v>1</v>
      </c>
      <c r="AW172" s="38">
        <f>MAX(0,MIN(Inputs!$C$36,BB171,AX172+AY172+AZ172+Inputs!$C$6-BA171))</f>
        <v>0</v>
      </c>
      <c r="AX172" s="38">
        <f>Inputs!$C$27*(1+Inputs!$C$28)^($A172/12)*IF(Inputs!$B$71=1,$G172,1)*(1-Inputs!$C$71*$H172*(1-Inputs!$E$54*Inputs!$B$71))*(1+$I172)*IF(Inputs!$C$29=0,1,(MAX(BA171,0)/Inputs!$C$6)^Inputs!$C$29)</f>
        <v>0</v>
      </c>
      <c r="AY172" s="38">
        <f>Inputs!$C$32*BA171/Inputs!$C$6</f>
        <v>0</v>
      </c>
      <c r="AZ172" s="38">
        <f>Inputs!$C$33</f>
        <v>2000</v>
      </c>
      <c r="BA172" s="38">
        <f t="shared" si="115"/>
        <v>0</v>
      </c>
      <c r="BB172" s="38">
        <f t="shared" si="116"/>
        <v>0</v>
      </c>
      <c r="BC172" s="38">
        <f>Inputs!$C$19*(1-Inputs!$C$71*$H172)+Inputs!$C$21+Inputs!$B$71*$J172</f>
        <v>501000</v>
      </c>
      <c r="BD172" s="38">
        <f t="shared" si="117"/>
        <v>-501000</v>
      </c>
      <c r="BE172" s="38">
        <f t="shared" si="118"/>
        <v>1</v>
      </c>
      <c r="BF172" s="38">
        <f>MAX(0,MIN(Inputs!$D$36,BK171,BG172+BH172+BI172+Inputs!$D$6-BJ171))</f>
        <v>0</v>
      </c>
      <c r="BG172" s="38">
        <f>Inputs!$D$27*(1+Inputs!$D$28)^($A172/12)*IF(Inputs!$B$71=1,$G172,1)*(1-Inputs!$C$71*$H172*(1-Inputs!$E$54*Inputs!$B$71))*(1+$I172)*IF(Inputs!$D$29=0,1,(MAX(BJ171,0)/Inputs!$D$6)^Inputs!$D$29)</f>
        <v>1736.4802264130842</v>
      </c>
      <c r="BH172" s="38">
        <f>Inputs!$D$32*BJ171/Inputs!$D$6</f>
        <v>701.44576828739025</v>
      </c>
      <c r="BI172" s="38">
        <f>Inputs!$D$33</f>
        <v>1500</v>
      </c>
      <c r="BJ172" s="38">
        <f t="shared" si="119"/>
        <v>143031.66355122891</v>
      </c>
      <c r="BK172" s="38">
        <f t="shared" si="120"/>
        <v>0</v>
      </c>
      <c r="BL172" s="38">
        <f>Inputs!$D$19*(1-Inputs!$C$71*$H172)+Inputs!$D$21+Inputs!$B$71*$J172</f>
        <v>410800</v>
      </c>
      <c r="BM172" s="38">
        <f t="shared" si="121"/>
        <v>-267768.33644877106</v>
      </c>
      <c r="BN172" s="38">
        <f t="shared" si="122"/>
        <v>1</v>
      </c>
      <c r="BO172" s="38">
        <f>MAX(0,MIN(Inputs!$B$36,BT171,BP172+BQ172+BR172+Inputs!$B$6-BS171))</f>
        <v>0</v>
      </c>
      <c r="BP172" s="38">
        <f>Inputs!$B$27*(1+Inputs!$B$28)^($A172/12)*IF(Inputs!$B$72=1,$G172,1)*(1-Inputs!$C$72*$H172*(1-Inputs!$E$54*Inputs!$B$72))*(1+$I172)*IF(Inputs!$B$29=0,1,(MAX(BS171,0)/Inputs!$B$6)^Inputs!$B$29)</f>
        <v>27419.239514369794</v>
      </c>
      <c r="BQ172" s="38">
        <f>Inputs!$B$32*BS171/Inputs!$B$6</f>
        <v>0</v>
      </c>
      <c r="BR172" s="38">
        <f>Inputs!$B$33</f>
        <v>2500</v>
      </c>
      <c r="BS172" s="38">
        <f t="shared" si="123"/>
        <v>0</v>
      </c>
      <c r="BT172" s="38">
        <f t="shared" si="124"/>
        <v>0</v>
      </c>
      <c r="BU172" s="38">
        <f>Inputs!$B$19*(1-Inputs!$C$72*$H172)+Inputs!$B$21+Inputs!$B$72*$J172</f>
        <v>577500</v>
      </c>
      <c r="BV172" s="38">
        <f t="shared" si="125"/>
        <v>-577500</v>
      </c>
      <c r="BW172" s="38">
        <f t="shared" si="126"/>
        <v>1</v>
      </c>
      <c r="BX172" s="38">
        <f>MAX(0,MIN(Inputs!$C$36,CC171,BY172+BZ172+CA172+Inputs!$C$6-CB171))</f>
        <v>0</v>
      </c>
      <c r="BY172" s="38">
        <f>Inputs!$C$27*(1+Inputs!$C$28)^($A172/12)*IF(Inputs!$B$72=1,$G172,1)*(1-Inputs!$C$72*$H172*(1-Inputs!$E$54*Inputs!$B$72))*(1+$I172)*IF(Inputs!$C$29=0,1,(MAX(CB171,0)/Inputs!$C$6)^Inputs!$C$29)</f>
        <v>0</v>
      </c>
      <c r="BZ172" s="38">
        <f>Inputs!$C$32*CB171/Inputs!$C$6</f>
        <v>0</v>
      </c>
      <c r="CA172" s="38">
        <f>Inputs!$C$33</f>
        <v>2000</v>
      </c>
      <c r="CB172" s="38">
        <f t="shared" si="127"/>
        <v>0</v>
      </c>
      <c r="CC172" s="38">
        <f t="shared" si="128"/>
        <v>0</v>
      </c>
      <c r="CD172" s="38">
        <f>Inputs!$C$19*(1-Inputs!$C$72*$H172)+Inputs!$C$21+Inputs!$B$72*$J172</f>
        <v>480000</v>
      </c>
      <c r="CE172" s="38">
        <f t="shared" si="129"/>
        <v>-480000</v>
      </c>
      <c r="CF172" s="38">
        <f t="shared" si="130"/>
        <v>1</v>
      </c>
      <c r="CG172" s="38">
        <f>MAX(0,MIN(Inputs!$D$36,CL171,CH172+CI172+CJ172+Inputs!$D$6-CK171))</f>
        <v>0</v>
      </c>
      <c r="CH172" s="38">
        <f>Inputs!$D$27*(1+Inputs!$D$28)^($A172/12)*IF(Inputs!$B$72=1,$G172,1)*(1-Inputs!$C$72*$H172*(1-Inputs!$E$54*Inputs!$B$72))*(1+$I172)*IF(Inputs!$D$29=0,1,(MAX(CK171,0)/Inputs!$D$6)^Inputs!$D$29)</f>
        <v>1667.342975079084</v>
      </c>
      <c r="CI172" s="38">
        <f>Inputs!$D$32*CK171/Inputs!$D$6</f>
        <v>566.45580232425039</v>
      </c>
      <c r="CJ172" s="38">
        <f>Inputs!$D$33</f>
        <v>1500</v>
      </c>
      <c r="CK172" s="38">
        <f t="shared" si="131"/>
        <v>114952.17885243961</v>
      </c>
      <c r="CL172" s="38">
        <f t="shared" si="132"/>
        <v>0</v>
      </c>
      <c r="CM172" s="38">
        <f>Inputs!$D$19*(1-Inputs!$C$72*$H172)+Inputs!$D$21+Inputs!$B$72*$J172</f>
        <v>392150</v>
      </c>
      <c r="CN172" s="38">
        <f t="shared" si="133"/>
        <v>-277197.82114756037</v>
      </c>
      <c r="CO172" s="38">
        <f t="shared" si="134"/>
        <v>1</v>
      </c>
      <c r="CP172" s="38">
        <f>MAX(0,MIN(Inputs!$B$36,CU171,CQ172+CR172+CS172+Inputs!$B$6-CT171))</f>
        <v>0</v>
      </c>
      <c r="CQ172" s="38">
        <f>Inputs!$B$27*(1+Inputs!$B$28)^($A172/12)*IF(Inputs!$B$73=1,$G172,1)*(1-Inputs!$C$73*$H172*(1-Inputs!$E$54*Inputs!$B$73))*(1+$I172)*IF(Inputs!$B$29=0,1,(MAX(CT171,0)/Inputs!$B$6)^Inputs!$B$29)</f>
        <v>24378.662435794256</v>
      </c>
      <c r="CR172" s="38">
        <f>Inputs!$B$32*CT171/Inputs!$B$6</f>
        <v>0</v>
      </c>
      <c r="CS172" s="38">
        <f>Inputs!$B$33</f>
        <v>2500</v>
      </c>
      <c r="CT172" s="38">
        <f t="shared" si="135"/>
        <v>0</v>
      </c>
      <c r="CU172" s="38">
        <f t="shared" si="136"/>
        <v>0</v>
      </c>
      <c r="CV172" s="38">
        <f>Inputs!$B$19*(1-Inputs!$C$73*$H172)+Inputs!$B$21+Inputs!$B$73*$J172</f>
        <v>583500</v>
      </c>
      <c r="CW172" s="38">
        <f t="shared" si="137"/>
        <v>-583500</v>
      </c>
      <c r="CX172" s="38">
        <f t="shared" si="138"/>
        <v>1</v>
      </c>
      <c r="CY172" s="38">
        <f>MAX(0,MIN(Inputs!$C$36,DD171,CZ172+DA172+DB172+Inputs!$C$6-DC171))</f>
        <v>0</v>
      </c>
      <c r="CZ172" s="38">
        <f>Inputs!$C$27*(1+Inputs!$C$28)^($A172/12)*IF(Inputs!$B$73=1,$G172,1)*(1-Inputs!$C$73*$H172*(1-Inputs!$E$54*Inputs!$B$73))*(1+$I172)*IF(Inputs!$C$29=0,1,(MAX(DC171,0)/Inputs!$C$6)^Inputs!$C$29)</f>
        <v>0</v>
      </c>
      <c r="DA172" s="38">
        <f>Inputs!$C$32*DC171/Inputs!$C$6</f>
        <v>0</v>
      </c>
      <c r="DB172" s="38">
        <f>Inputs!$C$33</f>
        <v>2000</v>
      </c>
      <c r="DC172" s="38">
        <f t="shared" si="139"/>
        <v>0</v>
      </c>
      <c r="DD172" s="38">
        <f t="shared" si="140"/>
        <v>0</v>
      </c>
      <c r="DE172" s="38">
        <f>Inputs!$C$19*(1-Inputs!$C$73*$H172)+Inputs!$C$21+Inputs!$B$73*$J172</f>
        <v>486000</v>
      </c>
      <c r="DF172" s="38">
        <f t="shared" si="141"/>
        <v>-486000</v>
      </c>
      <c r="DG172" s="38">
        <f t="shared" si="142"/>
        <v>1</v>
      </c>
      <c r="DH172" s="38">
        <f>MAX(0,MIN(Inputs!$D$36,DM171,DI172+DJ172+DK172+Inputs!$D$6-DL171))</f>
        <v>0</v>
      </c>
      <c r="DI172" s="38">
        <f>Inputs!$D$27*(1+Inputs!$D$28)^($A172/12)*IF(Inputs!$B$73=1,$G172,1)*(1-Inputs!$C$73*$H172*(1-Inputs!$E$54*Inputs!$B$73))*(1+$I172)*IF(Inputs!$D$29=0,1,(MAX(DL171,0)/Inputs!$D$6)^Inputs!$D$29)</f>
        <v>1746.8468508980552</v>
      </c>
      <c r="DJ172" s="38">
        <f>Inputs!$D$32*DL171/Inputs!$D$6</f>
        <v>786.53285194436364</v>
      </c>
      <c r="DK172" s="38">
        <f>Inputs!$D$33</f>
        <v>1500</v>
      </c>
      <c r="DL172" s="38">
        <f t="shared" si="143"/>
        <v>160763.9797521671</v>
      </c>
      <c r="DM172" s="38">
        <f t="shared" si="144"/>
        <v>0</v>
      </c>
      <c r="DN172" s="38">
        <f>Inputs!$D$19*(1-Inputs!$C$73*$H172)+Inputs!$D$21+Inputs!$B$73*$J172</f>
        <v>398150</v>
      </c>
      <c r="DO172" s="38">
        <f t="shared" si="145"/>
        <v>-237386.0202478329</v>
      </c>
      <c r="DP172" s="38">
        <f t="shared" si="146"/>
        <v>1</v>
      </c>
    </row>
    <row r="173" spans="1:120" x14ac:dyDescent="0.35">
      <c r="A173" s="29">
        <v>168</v>
      </c>
      <c r="B173" s="34">
        <f>EDATE(Inputs!$B$67,$A173)</f>
        <v>51380</v>
      </c>
      <c r="C173" s="35">
        <f>IF(Inputs!$E$47&lt;=0,Inputs!$E$46,Inputs!$E$44+(Inputs!$E$46-Inputs!$E$44)*MIN($A173/Inputs!$E$47,1))</f>
        <v>0.7</v>
      </c>
      <c r="D173" s="35">
        <f>MIN(Inputs!$E$57,Inputs!$E$55*(1+Inputs!$E$56)^($A173/12))*Inputs!$E$58*(1+Inputs!$E$59)^($A173/12)/Inputs!$E$45</f>
        <v>1.5</v>
      </c>
      <c r="E173" s="35">
        <f>MAX(Inputs!$E$44,MIN(C173,D173))</f>
        <v>0.7</v>
      </c>
      <c r="F173" s="35">
        <f>IF(Inputs!$E$50&lt;=0,Inputs!$E$49,Inputs!$E$48+(Inputs!$E$49-Inputs!$E$48)*MIN($A173/Inputs!$E$50,1))</f>
        <v>0.12</v>
      </c>
      <c r="G173" s="36">
        <f>(Inputs!$E$41*(1-E173*Inputs!$E$51)+Inputs!$E$42*(1-F173*Inputs!$E$51))/(Inputs!$E$41*(1-Inputs!$E$44*Inputs!$E$51)+Inputs!$E$42*(1-Inputs!$E$48*Inputs!$E$51))</f>
        <v>0.8423127463863338</v>
      </c>
      <c r="H173" s="35">
        <f>IF(Inputs!$E$53&lt;=0,Inputs!$E$52,Inputs!$E$52*MIN($A173/Inputs!$E$53,1))</f>
        <v>0.1</v>
      </c>
      <c r="I173" s="35">
        <f>IF(Inputs!$E$64&lt;=0,Inputs!$E$63,Inputs!$E$62+(Inputs!$E$63-Inputs!$E$62)*MIN($A173/Inputs!$E$64,1))</f>
        <v>0.03</v>
      </c>
      <c r="J173" s="37">
        <f>(E173-Inputs!$E$44)*Inputs!$E$45/Inputs!$E$60*Inputs!$E$61</f>
        <v>5999.9999999999991</v>
      </c>
      <c r="K173" s="29">
        <f t="shared" si="98"/>
        <v>0</v>
      </c>
      <c r="L173" s="29"/>
      <c r="M173" s="38">
        <f>MAX(0,MIN(Inputs!$B$36,R172,N173+O173+P173+Inputs!$B$6-Q172))</f>
        <v>0</v>
      </c>
      <c r="N173" s="38">
        <f>Inputs!$B$27*(1+Inputs!$B$28)^($A173/12)*IF(Inputs!$B$70=1,$G173,1)*(1-Inputs!$C$70*$H173*(1-Inputs!$E$54*Inputs!$B$70))*(1+$I173)*IF(Inputs!$B$29=0,1,(MAX(Q172,0)/Inputs!$B$6)^Inputs!$B$29)</f>
        <v>30589.94321133869</v>
      </c>
      <c r="O173" s="38">
        <f>Inputs!$B$32*Q172/Inputs!$B$6</f>
        <v>0</v>
      </c>
      <c r="P173" s="38">
        <f>Inputs!$B$33</f>
        <v>2500</v>
      </c>
      <c r="Q173" s="38">
        <f t="shared" si="99"/>
        <v>0</v>
      </c>
      <c r="R173" s="38">
        <f t="shared" si="100"/>
        <v>0</v>
      </c>
      <c r="S173" s="38">
        <f>Inputs!$B$19*(1-Inputs!$C$70*$H173)+Inputs!$B$21+Inputs!$B$70*$J173</f>
        <v>595000</v>
      </c>
      <c r="T173" s="38">
        <f t="shared" si="101"/>
        <v>-595000</v>
      </c>
      <c r="U173" s="38">
        <f t="shared" si="102"/>
        <v>1</v>
      </c>
      <c r="V173" s="38">
        <f>MAX(0,MIN(Inputs!$C$36,AA172,W173+X173+Y173+Inputs!$C$6-Z172))</f>
        <v>0</v>
      </c>
      <c r="W173" s="38">
        <f>Inputs!$C$27*(1+Inputs!$C$28)^($A173/12)*IF(Inputs!$B$70=1,$G173,1)*(1-Inputs!$C$70*$H173*(1-Inputs!$E$54*Inputs!$B$70))*(1+$I173)*IF(Inputs!$C$29=0,1,(MAX(Z172,0)/Inputs!$C$6)^Inputs!$C$29)</f>
        <v>0</v>
      </c>
      <c r="X173" s="38">
        <f>Inputs!$C$32*Z172/Inputs!$C$6</f>
        <v>0</v>
      </c>
      <c r="Y173" s="38">
        <f>Inputs!$C$33</f>
        <v>2000</v>
      </c>
      <c r="Z173" s="38">
        <f t="shared" si="103"/>
        <v>0</v>
      </c>
      <c r="AA173" s="38">
        <f t="shared" si="104"/>
        <v>0</v>
      </c>
      <c r="AB173" s="38">
        <f>Inputs!$C$19*(1-Inputs!$C$70*$H173)+Inputs!$C$21+Inputs!$B$70*$J173</f>
        <v>495000</v>
      </c>
      <c r="AC173" s="38">
        <f t="shared" si="105"/>
        <v>-495000</v>
      </c>
      <c r="AD173" s="38">
        <f t="shared" si="106"/>
        <v>1</v>
      </c>
      <c r="AE173" s="38">
        <f>MAX(0,MIN(Inputs!$D$36,AJ172,AF173+AG173+AH173+Inputs!$D$6-AI172))</f>
        <v>0</v>
      </c>
      <c r="AF173" s="38">
        <f>Inputs!$D$27*(1+Inputs!$D$28)^($A173/12)*IF(Inputs!$B$70=1,$G173,1)*(1-Inputs!$C$70*$H173*(1-Inputs!$E$54*Inputs!$B$70))*(1+$I173)*IF(Inputs!$D$29=0,1,(MAX(AI172,0)/Inputs!$D$6)^Inputs!$D$29)</f>
        <v>1511.1989424234073</v>
      </c>
      <c r="AG173" s="38">
        <f>Inputs!$D$32*AI172/Inputs!$D$6</f>
        <v>380.15190825731281</v>
      </c>
      <c r="AH173" s="38">
        <f>Inputs!$D$33</f>
        <v>1500</v>
      </c>
      <c r="AI173" s="38">
        <f t="shared" si="107"/>
        <v>76259.525165137209</v>
      </c>
      <c r="AJ173" s="38">
        <f t="shared" si="108"/>
        <v>0</v>
      </c>
      <c r="AK173" s="38">
        <f>Inputs!$D$19*(1-Inputs!$C$70*$H173)+Inputs!$D$21+Inputs!$B$70*$J173</f>
        <v>404800</v>
      </c>
      <c r="AL173" s="38">
        <f t="shared" si="109"/>
        <v>-328540.47483486281</v>
      </c>
      <c r="AM173" s="38">
        <f t="shared" si="110"/>
        <v>1</v>
      </c>
      <c r="AN173" s="38">
        <f>MAX(0,MIN(Inputs!$B$36,AS172,AO173+AP173+AQ173+Inputs!$B$6-AR172))</f>
        <v>0</v>
      </c>
      <c r="AO173" s="38">
        <f>Inputs!$B$27*(1+Inputs!$B$28)^($A173/12)*IF(Inputs!$B$71=1,$G173,1)*(1-Inputs!$C$71*$H173*(1-Inputs!$E$54*Inputs!$B$71))*(1+$I173)*IF(Inputs!$B$29=0,1,(MAX(AR172,0)/Inputs!$B$6)^Inputs!$B$29)</f>
        <v>25766.299078144679</v>
      </c>
      <c r="AP173" s="38">
        <f>Inputs!$B$32*AR172/Inputs!$B$6</f>
        <v>0</v>
      </c>
      <c r="AQ173" s="38">
        <f>Inputs!$B$33</f>
        <v>2500</v>
      </c>
      <c r="AR173" s="38">
        <f t="shared" si="111"/>
        <v>0</v>
      </c>
      <c r="AS173" s="38">
        <f t="shared" si="112"/>
        <v>0</v>
      </c>
      <c r="AT173" s="38">
        <f>Inputs!$B$19*(1-Inputs!$C$71*$H173)+Inputs!$B$21+Inputs!$B$71*$J173</f>
        <v>601000</v>
      </c>
      <c r="AU173" s="38">
        <f t="shared" si="113"/>
        <v>-601000</v>
      </c>
      <c r="AV173" s="38">
        <f t="shared" si="114"/>
        <v>1</v>
      </c>
      <c r="AW173" s="38">
        <f>MAX(0,MIN(Inputs!$C$36,BB172,AX173+AY173+AZ173+Inputs!$C$6-BA172))</f>
        <v>0</v>
      </c>
      <c r="AX173" s="38">
        <f>Inputs!$C$27*(1+Inputs!$C$28)^($A173/12)*IF(Inputs!$B$71=1,$G173,1)*(1-Inputs!$C$71*$H173*(1-Inputs!$E$54*Inputs!$B$71))*(1+$I173)*IF(Inputs!$C$29=0,1,(MAX(BA172,0)/Inputs!$C$6)^Inputs!$C$29)</f>
        <v>0</v>
      </c>
      <c r="AY173" s="38">
        <f>Inputs!$C$32*BA172/Inputs!$C$6</f>
        <v>0</v>
      </c>
      <c r="AZ173" s="38">
        <f>Inputs!$C$33</f>
        <v>2000</v>
      </c>
      <c r="BA173" s="38">
        <f t="shared" si="115"/>
        <v>0</v>
      </c>
      <c r="BB173" s="38">
        <f t="shared" si="116"/>
        <v>0</v>
      </c>
      <c r="BC173" s="38">
        <f>Inputs!$C$19*(1-Inputs!$C$71*$H173)+Inputs!$C$21+Inputs!$B$71*$J173</f>
        <v>501000</v>
      </c>
      <c r="BD173" s="38">
        <f t="shared" si="117"/>
        <v>-501000</v>
      </c>
      <c r="BE173" s="38">
        <f t="shared" si="118"/>
        <v>1</v>
      </c>
      <c r="BF173" s="38">
        <f>MAX(0,MIN(Inputs!$D$36,BK172,BG173+BH173+BI173+Inputs!$D$6-BJ172))</f>
        <v>0</v>
      </c>
      <c r="BG173" s="38">
        <f>Inputs!$D$27*(1+Inputs!$D$28)^($A173/12)*IF(Inputs!$B$71=1,$G173,1)*(1-Inputs!$C$71*$H173*(1-Inputs!$E$54*Inputs!$B$71))*(1+$I173)*IF(Inputs!$D$29=0,1,(MAX(BJ172,0)/Inputs!$D$6)^Inputs!$D$29)</f>
        <v>1705.751768883465</v>
      </c>
      <c r="BH173" s="38">
        <f>Inputs!$D$32*BJ172/Inputs!$D$6</f>
        <v>682.65112149450158</v>
      </c>
      <c r="BI173" s="38">
        <f>Inputs!$D$33</f>
        <v>1500</v>
      </c>
      <c r="BJ173" s="38">
        <f t="shared" si="119"/>
        <v>139143.26066085094</v>
      </c>
      <c r="BK173" s="38">
        <f t="shared" si="120"/>
        <v>0</v>
      </c>
      <c r="BL173" s="38">
        <f>Inputs!$D$19*(1-Inputs!$C$71*$H173)+Inputs!$D$21+Inputs!$B$71*$J173</f>
        <v>410800</v>
      </c>
      <c r="BM173" s="38">
        <f t="shared" si="121"/>
        <v>-271656.73933914909</v>
      </c>
      <c r="BN173" s="38">
        <f t="shared" si="122"/>
        <v>1</v>
      </c>
      <c r="BO173" s="38">
        <f>MAX(0,MIN(Inputs!$B$36,BT172,BP173+BQ173+BR173+Inputs!$B$6-BS172))</f>
        <v>0</v>
      </c>
      <c r="BP173" s="38">
        <f>Inputs!$B$27*(1+Inputs!$B$28)^($A173/12)*IF(Inputs!$B$72=1,$G173,1)*(1-Inputs!$C$72*$H173*(1-Inputs!$E$54*Inputs!$B$72))*(1+$I173)*IF(Inputs!$B$29=0,1,(MAX(BS172,0)/Inputs!$B$6)^Inputs!$B$29)</f>
        <v>27530.948890204822</v>
      </c>
      <c r="BQ173" s="38">
        <f>Inputs!$B$32*BS172/Inputs!$B$6</f>
        <v>0</v>
      </c>
      <c r="BR173" s="38">
        <f>Inputs!$B$33</f>
        <v>2500</v>
      </c>
      <c r="BS173" s="38">
        <f t="shared" si="123"/>
        <v>0</v>
      </c>
      <c r="BT173" s="38">
        <f t="shared" si="124"/>
        <v>0</v>
      </c>
      <c r="BU173" s="38">
        <f>Inputs!$B$19*(1-Inputs!$C$72*$H173)+Inputs!$B$21+Inputs!$B$72*$J173</f>
        <v>577500</v>
      </c>
      <c r="BV173" s="38">
        <f t="shared" si="125"/>
        <v>-577500</v>
      </c>
      <c r="BW173" s="38">
        <f t="shared" si="126"/>
        <v>1</v>
      </c>
      <c r="BX173" s="38">
        <f>MAX(0,MIN(Inputs!$C$36,CC172,BY173+BZ173+CA173+Inputs!$C$6-CB172))</f>
        <v>0</v>
      </c>
      <c r="BY173" s="38">
        <f>Inputs!$C$27*(1+Inputs!$C$28)^($A173/12)*IF(Inputs!$B$72=1,$G173,1)*(1-Inputs!$C$72*$H173*(1-Inputs!$E$54*Inputs!$B$72))*(1+$I173)*IF(Inputs!$C$29=0,1,(MAX(CB172,0)/Inputs!$C$6)^Inputs!$C$29)</f>
        <v>0</v>
      </c>
      <c r="BZ173" s="38">
        <f>Inputs!$C$32*CB172/Inputs!$C$6</f>
        <v>0</v>
      </c>
      <c r="CA173" s="38">
        <f>Inputs!$C$33</f>
        <v>2000</v>
      </c>
      <c r="CB173" s="38">
        <f t="shared" si="127"/>
        <v>0</v>
      </c>
      <c r="CC173" s="38">
        <f t="shared" si="128"/>
        <v>0</v>
      </c>
      <c r="CD173" s="38">
        <f>Inputs!$C$19*(1-Inputs!$C$72*$H173)+Inputs!$C$21+Inputs!$B$72*$J173</f>
        <v>480000</v>
      </c>
      <c r="CE173" s="38">
        <f t="shared" si="129"/>
        <v>-480000</v>
      </c>
      <c r="CF173" s="38">
        <f t="shared" si="130"/>
        <v>1</v>
      </c>
      <c r="CG173" s="38">
        <f>MAX(0,MIN(Inputs!$D$36,CL172,CH173+CI173+CJ173+Inputs!$D$6-CK172))</f>
        <v>0</v>
      </c>
      <c r="CH173" s="38">
        <f>Inputs!$D$27*(1+Inputs!$D$28)^($A173/12)*IF(Inputs!$B$72=1,$G173,1)*(1-Inputs!$C$72*$H173*(1-Inputs!$E$54*Inputs!$B$72))*(1+$I173)*IF(Inputs!$D$29=0,1,(MAX(CK172,0)/Inputs!$D$6)^Inputs!$D$29)</f>
        <v>1633.9075360023037</v>
      </c>
      <c r="CI173" s="38">
        <f>Inputs!$D$32*CK172/Inputs!$D$6</f>
        <v>548.63539906846177</v>
      </c>
      <c r="CJ173" s="38">
        <f>Inputs!$D$33</f>
        <v>1500</v>
      </c>
      <c r="CK173" s="38">
        <f t="shared" si="131"/>
        <v>111269.63591736885</v>
      </c>
      <c r="CL173" s="38">
        <f t="shared" si="132"/>
        <v>0</v>
      </c>
      <c r="CM173" s="38">
        <f>Inputs!$D$19*(1-Inputs!$C$72*$H173)+Inputs!$D$21+Inputs!$B$72*$J173</f>
        <v>392150</v>
      </c>
      <c r="CN173" s="38">
        <f t="shared" si="133"/>
        <v>-280880.36408263113</v>
      </c>
      <c r="CO173" s="38">
        <f t="shared" si="134"/>
        <v>1</v>
      </c>
      <c r="CP173" s="38">
        <f>MAX(0,MIN(Inputs!$B$36,CU172,CQ173+CR173+CS173+Inputs!$B$6-CT172))</f>
        <v>0</v>
      </c>
      <c r="CQ173" s="38">
        <f>Inputs!$B$27*(1+Inputs!$B$28)^($A173/12)*IF(Inputs!$B$73=1,$G173,1)*(1-Inputs!$C$73*$H173*(1-Inputs!$E$54*Inputs!$B$73))*(1+$I173)*IF(Inputs!$B$29=0,1,(MAX(CT172,0)/Inputs!$B$6)^Inputs!$B$29)</f>
        <v>24477.984124237442</v>
      </c>
      <c r="CR173" s="38">
        <f>Inputs!$B$32*CT172/Inputs!$B$6</f>
        <v>0</v>
      </c>
      <c r="CS173" s="38">
        <f>Inputs!$B$33</f>
        <v>2500</v>
      </c>
      <c r="CT173" s="38">
        <f t="shared" si="135"/>
        <v>0</v>
      </c>
      <c r="CU173" s="38">
        <f t="shared" si="136"/>
        <v>0</v>
      </c>
      <c r="CV173" s="38">
        <f>Inputs!$B$19*(1-Inputs!$C$73*$H173)+Inputs!$B$21+Inputs!$B$73*$J173</f>
        <v>583500</v>
      </c>
      <c r="CW173" s="38">
        <f t="shared" si="137"/>
        <v>-583500</v>
      </c>
      <c r="CX173" s="38">
        <f t="shared" si="138"/>
        <v>1</v>
      </c>
      <c r="CY173" s="38">
        <f>MAX(0,MIN(Inputs!$C$36,DD172,CZ173+DA173+DB173+Inputs!$C$6-DC172))</f>
        <v>0</v>
      </c>
      <c r="CZ173" s="38">
        <f>Inputs!$C$27*(1+Inputs!$C$28)^($A173/12)*IF(Inputs!$B$73=1,$G173,1)*(1-Inputs!$C$73*$H173*(1-Inputs!$E$54*Inputs!$B$73))*(1+$I173)*IF(Inputs!$C$29=0,1,(MAX(DC172,0)/Inputs!$C$6)^Inputs!$C$29)</f>
        <v>0</v>
      </c>
      <c r="DA173" s="38">
        <f>Inputs!$C$32*DC172/Inputs!$C$6</f>
        <v>0</v>
      </c>
      <c r="DB173" s="38">
        <f>Inputs!$C$33</f>
        <v>2000</v>
      </c>
      <c r="DC173" s="38">
        <f t="shared" si="139"/>
        <v>0</v>
      </c>
      <c r="DD173" s="38">
        <f t="shared" si="140"/>
        <v>0</v>
      </c>
      <c r="DE173" s="38">
        <f>Inputs!$C$19*(1-Inputs!$C$73*$H173)+Inputs!$C$21+Inputs!$B$73*$J173</f>
        <v>486000</v>
      </c>
      <c r="DF173" s="38">
        <f t="shared" si="141"/>
        <v>-486000</v>
      </c>
      <c r="DG173" s="38">
        <f t="shared" si="142"/>
        <v>1</v>
      </c>
      <c r="DH173" s="38">
        <f>MAX(0,MIN(Inputs!$D$36,DM172,DI173+DJ173+DK173+Inputs!$D$6-DL172))</f>
        <v>0</v>
      </c>
      <c r="DI173" s="38">
        <f>Inputs!$D$27*(1+Inputs!$D$28)^($A173/12)*IF(Inputs!$B$73=1,$G173,1)*(1-Inputs!$C$73*$H173*(1-Inputs!$E$54*Inputs!$B$73))*(1+$I173)*IF(Inputs!$D$29=0,1,(MAX(DL172,0)/Inputs!$D$6)^Inputs!$D$29)</f>
        <v>1717.9784628588188</v>
      </c>
      <c r="DJ173" s="38">
        <f>Inputs!$D$32*DL172/Inputs!$D$6</f>
        <v>767.28263063534291</v>
      </c>
      <c r="DK173" s="38">
        <f>Inputs!$D$33</f>
        <v>1500</v>
      </c>
      <c r="DL173" s="38">
        <f t="shared" si="143"/>
        <v>156778.71865867294</v>
      </c>
      <c r="DM173" s="38">
        <f t="shared" si="144"/>
        <v>0</v>
      </c>
      <c r="DN173" s="38">
        <f>Inputs!$D$19*(1-Inputs!$C$73*$H173)+Inputs!$D$21+Inputs!$B$73*$J173</f>
        <v>398150</v>
      </c>
      <c r="DO173" s="38">
        <f t="shared" si="145"/>
        <v>-241371.28134132706</v>
      </c>
      <c r="DP173" s="38">
        <f t="shared" si="146"/>
        <v>1</v>
      </c>
    </row>
    <row r="174" spans="1:120" x14ac:dyDescent="0.35">
      <c r="A174" s="29">
        <v>169</v>
      </c>
      <c r="B174" s="34">
        <f>EDATE(Inputs!$B$67,$A174)</f>
        <v>51410</v>
      </c>
      <c r="C174" s="35">
        <f>IF(Inputs!$E$47&lt;=0,Inputs!$E$46,Inputs!$E$44+(Inputs!$E$46-Inputs!$E$44)*MIN($A174/Inputs!$E$47,1))</f>
        <v>0.7</v>
      </c>
      <c r="D174" s="35">
        <f>MIN(Inputs!$E$57,Inputs!$E$55*(1+Inputs!$E$56)^($A174/12))*Inputs!$E$58*(1+Inputs!$E$59)^($A174/12)/Inputs!$E$45</f>
        <v>1.5</v>
      </c>
      <c r="E174" s="35">
        <f>MAX(Inputs!$E$44,MIN(C174,D174))</f>
        <v>0.7</v>
      </c>
      <c r="F174" s="35">
        <f>IF(Inputs!$E$50&lt;=0,Inputs!$E$49,Inputs!$E$48+(Inputs!$E$49-Inputs!$E$48)*MIN($A174/Inputs!$E$50,1))</f>
        <v>0.12</v>
      </c>
      <c r="G174" s="36">
        <f>(Inputs!$E$41*(1-E174*Inputs!$E$51)+Inputs!$E$42*(1-F174*Inputs!$E$51))/(Inputs!$E$41*(1-Inputs!$E$44*Inputs!$E$51)+Inputs!$E$42*(1-Inputs!$E$48*Inputs!$E$51))</f>
        <v>0.8423127463863338</v>
      </c>
      <c r="H174" s="35">
        <f>IF(Inputs!$E$53&lt;=0,Inputs!$E$52,Inputs!$E$52*MIN($A174/Inputs!$E$53,1))</f>
        <v>0.1</v>
      </c>
      <c r="I174" s="35">
        <f>IF(Inputs!$E$64&lt;=0,Inputs!$E$63,Inputs!$E$62+(Inputs!$E$63-Inputs!$E$62)*MIN($A174/Inputs!$E$64,1))</f>
        <v>0.03</v>
      </c>
      <c r="J174" s="37">
        <f>(E174-Inputs!$E$44)*Inputs!$E$45/Inputs!$E$60*Inputs!$E$61</f>
        <v>5999.9999999999991</v>
      </c>
      <c r="K174" s="29">
        <f t="shared" si="98"/>
        <v>0</v>
      </c>
      <c r="L174" s="29"/>
      <c r="M174" s="38">
        <f>MAX(0,MIN(Inputs!$B$36,R173,N174+O174+P174+Inputs!$B$6-Q173))</f>
        <v>0</v>
      </c>
      <c r="N174" s="38">
        <f>Inputs!$B$27*(1+Inputs!$B$28)^($A174/12)*IF(Inputs!$B$70=1,$G174,1)*(1-Inputs!$C$70*$H174*(1-Inputs!$E$54*Inputs!$B$70))*(1+$I174)*IF(Inputs!$B$29=0,1,(MAX(Q173,0)/Inputs!$B$6)^Inputs!$B$29)</f>
        <v>30714.570426516479</v>
      </c>
      <c r="O174" s="38">
        <f>Inputs!$B$32*Q173/Inputs!$B$6</f>
        <v>0</v>
      </c>
      <c r="P174" s="38">
        <f>Inputs!$B$33</f>
        <v>2500</v>
      </c>
      <c r="Q174" s="38">
        <f t="shared" si="99"/>
        <v>0</v>
      </c>
      <c r="R174" s="38">
        <f t="shared" si="100"/>
        <v>0</v>
      </c>
      <c r="S174" s="38">
        <f>Inputs!$B$19*(1-Inputs!$C$70*$H174)+Inputs!$B$21+Inputs!$B$70*$J174</f>
        <v>595000</v>
      </c>
      <c r="T174" s="38">
        <f t="shared" si="101"/>
        <v>-595000</v>
      </c>
      <c r="U174" s="38">
        <f t="shared" si="102"/>
        <v>1</v>
      </c>
      <c r="V174" s="38">
        <f>MAX(0,MIN(Inputs!$C$36,AA173,W174+X174+Y174+Inputs!$C$6-Z173))</f>
        <v>0</v>
      </c>
      <c r="W174" s="38">
        <f>Inputs!$C$27*(1+Inputs!$C$28)^($A174/12)*IF(Inputs!$B$70=1,$G174,1)*(1-Inputs!$C$70*$H174*(1-Inputs!$E$54*Inputs!$B$70))*(1+$I174)*IF(Inputs!$C$29=0,1,(MAX(Z173,0)/Inputs!$C$6)^Inputs!$C$29)</f>
        <v>0</v>
      </c>
      <c r="X174" s="38">
        <f>Inputs!$C$32*Z173/Inputs!$C$6</f>
        <v>0</v>
      </c>
      <c r="Y174" s="38">
        <f>Inputs!$C$33</f>
        <v>2000</v>
      </c>
      <c r="Z174" s="38">
        <f t="shared" si="103"/>
        <v>0</v>
      </c>
      <c r="AA174" s="38">
        <f t="shared" si="104"/>
        <v>0</v>
      </c>
      <c r="AB174" s="38">
        <f>Inputs!$C$19*(1-Inputs!$C$70*$H174)+Inputs!$C$21+Inputs!$B$70*$J174</f>
        <v>495000</v>
      </c>
      <c r="AC174" s="38">
        <f t="shared" si="105"/>
        <v>-495000</v>
      </c>
      <c r="AD174" s="38">
        <f t="shared" si="106"/>
        <v>1</v>
      </c>
      <c r="AE174" s="38">
        <f>MAX(0,MIN(Inputs!$D$36,AJ173,AF174+AG174+AH174+Inputs!$D$6-AI173))</f>
        <v>0</v>
      </c>
      <c r="AF174" s="38">
        <f>Inputs!$D$27*(1+Inputs!$D$28)^($A174/12)*IF(Inputs!$B$70=1,$G174,1)*(1-Inputs!$C$70*$H174*(1-Inputs!$E$54*Inputs!$B$70))*(1+$I174)*IF(Inputs!$D$29=0,1,(MAX(AI173,0)/Inputs!$D$6)^Inputs!$D$29)</f>
        <v>1472.3702877008946</v>
      </c>
      <c r="AG174" s="38">
        <f>Inputs!$D$32*AI173/Inputs!$D$6</f>
        <v>363.96591556088214</v>
      </c>
      <c r="AH174" s="38">
        <f>Inputs!$D$33</f>
        <v>1500</v>
      </c>
      <c r="AI174" s="38">
        <f t="shared" si="107"/>
        <v>72923.188961875436</v>
      </c>
      <c r="AJ174" s="38">
        <f t="shared" si="108"/>
        <v>0</v>
      </c>
      <c r="AK174" s="38">
        <f>Inputs!$D$19*(1-Inputs!$C$70*$H174)+Inputs!$D$21+Inputs!$B$70*$J174</f>
        <v>404800</v>
      </c>
      <c r="AL174" s="38">
        <f t="shared" si="109"/>
        <v>-331876.81103812455</v>
      </c>
      <c r="AM174" s="38">
        <f t="shared" si="110"/>
        <v>1</v>
      </c>
      <c r="AN174" s="38">
        <f>MAX(0,MIN(Inputs!$B$36,AS173,AO174+AP174+AQ174+Inputs!$B$6-AR173))</f>
        <v>0</v>
      </c>
      <c r="AO174" s="38">
        <f>Inputs!$B$27*(1+Inputs!$B$28)^($A174/12)*IF(Inputs!$B$71=1,$G174,1)*(1-Inputs!$C$71*$H174*(1-Inputs!$E$54*Inputs!$B$71))*(1+$I174)*IF(Inputs!$B$29=0,1,(MAX(AR173,0)/Inputs!$B$6)^Inputs!$B$29)</f>
        <v>25871.274170035562</v>
      </c>
      <c r="AP174" s="38">
        <f>Inputs!$B$32*AR173/Inputs!$B$6</f>
        <v>0</v>
      </c>
      <c r="AQ174" s="38">
        <f>Inputs!$B$33</f>
        <v>2500</v>
      </c>
      <c r="AR174" s="38">
        <f t="shared" si="111"/>
        <v>0</v>
      </c>
      <c r="AS174" s="38">
        <f t="shared" si="112"/>
        <v>0</v>
      </c>
      <c r="AT174" s="38">
        <f>Inputs!$B$19*(1-Inputs!$C$71*$H174)+Inputs!$B$21+Inputs!$B$71*$J174</f>
        <v>601000</v>
      </c>
      <c r="AU174" s="38">
        <f t="shared" si="113"/>
        <v>-601000</v>
      </c>
      <c r="AV174" s="38">
        <f t="shared" si="114"/>
        <v>1</v>
      </c>
      <c r="AW174" s="38">
        <f>MAX(0,MIN(Inputs!$C$36,BB173,AX174+AY174+AZ174+Inputs!$C$6-BA173))</f>
        <v>0</v>
      </c>
      <c r="AX174" s="38">
        <f>Inputs!$C$27*(1+Inputs!$C$28)^($A174/12)*IF(Inputs!$B$71=1,$G174,1)*(1-Inputs!$C$71*$H174*(1-Inputs!$E$54*Inputs!$B$71))*(1+$I174)*IF(Inputs!$C$29=0,1,(MAX(BA173,0)/Inputs!$C$6)^Inputs!$C$29)</f>
        <v>0</v>
      </c>
      <c r="AY174" s="38">
        <f>Inputs!$C$32*BA173/Inputs!$C$6</f>
        <v>0</v>
      </c>
      <c r="AZ174" s="38">
        <f>Inputs!$C$33</f>
        <v>2000</v>
      </c>
      <c r="BA174" s="38">
        <f t="shared" si="115"/>
        <v>0</v>
      </c>
      <c r="BB174" s="38">
        <f t="shared" si="116"/>
        <v>0</v>
      </c>
      <c r="BC174" s="38">
        <f>Inputs!$C$19*(1-Inputs!$C$71*$H174)+Inputs!$C$21+Inputs!$B$71*$J174</f>
        <v>501000</v>
      </c>
      <c r="BD174" s="38">
        <f t="shared" si="117"/>
        <v>-501000</v>
      </c>
      <c r="BE174" s="38">
        <f t="shared" si="118"/>
        <v>1</v>
      </c>
      <c r="BF174" s="38">
        <f>MAX(0,MIN(Inputs!$D$36,BK173,BG174+BH174+BI174+Inputs!$D$6-BJ173))</f>
        <v>0</v>
      </c>
      <c r="BG174" s="38">
        <f>Inputs!$D$27*(1+Inputs!$D$28)^($A174/12)*IF(Inputs!$B$71=1,$G174,1)*(1-Inputs!$C$71*$H174*(1-Inputs!$E$54*Inputs!$B$71))*(1+$I174)*IF(Inputs!$D$29=0,1,(MAX(BJ173,0)/Inputs!$D$6)^Inputs!$D$29)</f>
        <v>1675.2300602335181</v>
      </c>
      <c r="BH174" s="38">
        <f>Inputs!$D$32*BJ173/Inputs!$D$6</f>
        <v>664.09283497224317</v>
      </c>
      <c r="BI174" s="38">
        <f>Inputs!$D$33</f>
        <v>1500</v>
      </c>
      <c r="BJ174" s="38">
        <f t="shared" si="119"/>
        <v>135303.93776564515</v>
      </c>
      <c r="BK174" s="38">
        <f t="shared" si="120"/>
        <v>0</v>
      </c>
      <c r="BL174" s="38">
        <f>Inputs!$D$19*(1-Inputs!$C$71*$H174)+Inputs!$D$21+Inputs!$B$71*$J174</f>
        <v>410800</v>
      </c>
      <c r="BM174" s="38">
        <f t="shared" si="121"/>
        <v>-275496.06223435485</v>
      </c>
      <c r="BN174" s="38">
        <f t="shared" si="122"/>
        <v>1</v>
      </c>
      <c r="BO174" s="38">
        <f>MAX(0,MIN(Inputs!$B$36,BT173,BP174+BQ174+BR174+Inputs!$B$6-BS173))</f>
        <v>0</v>
      </c>
      <c r="BP174" s="38">
        <f>Inputs!$B$27*(1+Inputs!$B$28)^($A174/12)*IF(Inputs!$B$72=1,$G174,1)*(1-Inputs!$C$72*$H174*(1-Inputs!$E$54*Inputs!$B$72))*(1+$I174)*IF(Inputs!$B$29=0,1,(MAX(BS173,0)/Inputs!$B$6)^Inputs!$B$29)</f>
        <v>27643.113383864831</v>
      </c>
      <c r="BQ174" s="38">
        <f>Inputs!$B$32*BS173/Inputs!$B$6</f>
        <v>0</v>
      </c>
      <c r="BR174" s="38">
        <f>Inputs!$B$33</f>
        <v>2500</v>
      </c>
      <c r="BS174" s="38">
        <f t="shared" si="123"/>
        <v>0</v>
      </c>
      <c r="BT174" s="38">
        <f t="shared" si="124"/>
        <v>0</v>
      </c>
      <c r="BU174" s="38">
        <f>Inputs!$B$19*(1-Inputs!$C$72*$H174)+Inputs!$B$21+Inputs!$B$72*$J174</f>
        <v>577500</v>
      </c>
      <c r="BV174" s="38">
        <f t="shared" si="125"/>
        <v>-577500</v>
      </c>
      <c r="BW174" s="38">
        <f t="shared" si="126"/>
        <v>1</v>
      </c>
      <c r="BX174" s="38">
        <f>MAX(0,MIN(Inputs!$C$36,CC173,BY174+BZ174+CA174+Inputs!$C$6-CB173))</f>
        <v>0</v>
      </c>
      <c r="BY174" s="38">
        <f>Inputs!$C$27*(1+Inputs!$C$28)^($A174/12)*IF(Inputs!$B$72=1,$G174,1)*(1-Inputs!$C$72*$H174*(1-Inputs!$E$54*Inputs!$B$72))*(1+$I174)*IF(Inputs!$C$29=0,1,(MAX(CB173,0)/Inputs!$C$6)^Inputs!$C$29)</f>
        <v>0</v>
      </c>
      <c r="BZ174" s="38">
        <f>Inputs!$C$32*CB173/Inputs!$C$6</f>
        <v>0</v>
      </c>
      <c r="CA174" s="38">
        <f>Inputs!$C$33</f>
        <v>2000</v>
      </c>
      <c r="CB174" s="38">
        <f t="shared" si="127"/>
        <v>0</v>
      </c>
      <c r="CC174" s="38">
        <f t="shared" si="128"/>
        <v>0</v>
      </c>
      <c r="CD174" s="38">
        <f>Inputs!$C$19*(1-Inputs!$C$72*$H174)+Inputs!$C$21+Inputs!$B$72*$J174</f>
        <v>480000</v>
      </c>
      <c r="CE174" s="38">
        <f t="shared" si="129"/>
        <v>-480000</v>
      </c>
      <c r="CF174" s="38">
        <f t="shared" si="130"/>
        <v>1</v>
      </c>
      <c r="CG174" s="38">
        <f>MAX(0,MIN(Inputs!$D$36,CL173,CH174+CI174+CJ174+Inputs!$D$6-CK173))</f>
        <v>0</v>
      </c>
      <c r="CH174" s="38">
        <f>Inputs!$D$27*(1+Inputs!$D$28)^($A174/12)*IF(Inputs!$B$72=1,$G174,1)*(1-Inputs!$C$72*$H174*(1-Inputs!$E$54*Inputs!$B$72))*(1+$I174)*IF(Inputs!$D$29=0,1,(MAX(CK173,0)/Inputs!$D$6)^Inputs!$D$29)</f>
        <v>1600.6664395894336</v>
      </c>
      <c r="CI174" s="38">
        <f>Inputs!$D$32*CK173/Inputs!$D$6</f>
        <v>531.05962596926042</v>
      </c>
      <c r="CJ174" s="38">
        <f>Inputs!$D$33</f>
        <v>1500</v>
      </c>
      <c r="CK174" s="38">
        <f t="shared" si="131"/>
        <v>107637.90985181017</v>
      </c>
      <c r="CL174" s="38">
        <f t="shared" si="132"/>
        <v>0</v>
      </c>
      <c r="CM174" s="38">
        <f>Inputs!$D$19*(1-Inputs!$C$72*$H174)+Inputs!$D$21+Inputs!$B$72*$J174</f>
        <v>392150</v>
      </c>
      <c r="CN174" s="38">
        <f t="shared" si="133"/>
        <v>-284512.0901481898</v>
      </c>
      <c r="CO174" s="38">
        <f t="shared" si="134"/>
        <v>1</v>
      </c>
      <c r="CP174" s="38">
        <f>MAX(0,MIN(Inputs!$B$36,CU173,CQ174+CR174+CS174+Inputs!$B$6-CT173))</f>
        <v>0</v>
      </c>
      <c r="CQ174" s="38">
        <f>Inputs!$B$27*(1+Inputs!$B$28)^($A174/12)*IF(Inputs!$B$73=1,$G174,1)*(1-Inputs!$C$73*$H174*(1-Inputs!$E$54*Inputs!$B$73))*(1+$I174)*IF(Inputs!$B$29=0,1,(MAX(CT173,0)/Inputs!$B$6)^Inputs!$B$29)</f>
        <v>24577.710461533785</v>
      </c>
      <c r="CR174" s="38">
        <f>Inputs!$B$32*CT173/Inputs!$B$6</f>
        <v>0</v>
      </c>
      <c r="CS174" s="38">
        <f>Inputs!$B$33</f>
        <v>2500</v>
      </c>
      <c r="CT174" s="38">
        <f t="shared" si="135"/>
        <v>0</v>
      </c>
      <c r="CU174" s="38">
        <f t="shared" si="136"/>
        <v>0</v>
      </c>
      <c r="CV174" s="38">
        <f>Inputs!$B$19*(1-Inputs!$C$73*$H174)+Inputs!$B$21+Inputs!$B$73*$J174</f>
        <v>583500</v>
      </c>
      <c r="CW174" s="38">
        <f t="shared" si="137"/>
        <v>-583500</v>
      </c>
      <c r="CX174" s="38">
        <f t="shared" si="138"/>
        <v>1</v>
      </c>
      <c r="CY174" s="38">
        <f>MAX(0,MIN(Inputs!$C$36,DD173,CZ174+DA174+DB174+Inputs!$C$6-DC173))</f>
        <v>0</v>
      </c>
      <c r="CZ174" s="38">
        <f>Inputs!$C$27*(1+Inputs!$C$28)^($A174/12)*IF(Inputs!$B$73=1,$G174,1)*(1-Inputs!$C$73*$H174*(1-Inputs!$E$54*Inputs!$B$73))*(1+$I174)*IF(Inputs!$C$29=0,1,(MAX(DC173,0)/Inputs!$C$6)^Inputs!$C$29)</f>
        <v>0</v>
      </c>
      <c r="DA174" s="38">
        <f>Inputs!$C$32*DC173/Inputs!$C$6</f>
        <v>0</v>
      </c>
      <c r="DB174" s="38">
        <f>Inputs!$C$33</f>
        <v>2000</v>
      </c>
      <c r="DC174" s="38">
        <f t="shared" si="139"/>
        <v>0</v>
      </c>
      <c r="DD174" s="38">
        <f t="shared" si="140"/>
        <v>0</v>
      </c>
      <c r="DE174" s="38">
        <f>Inputs!$C$19*(1-Inputs!$C$73*$H174)+Inputs!$C$21+Inputs!$B$73*$J174</f>
        <v>486000</v>
      </c>
      <c r="DF174" s="38">
        <f t="shared" si="141"/>
        <v>-486000</v>
      </c>
      <c r="DG174" s="38">
        <f t="shared" si="142"/>
        <v>1</v>
      </c>
      <c r="DH174" s="38">
        <f>MAX(0,MIN(Inputs!$D$36,DM173,DI174+DJ174+DK174+Inputs!$D$6-DL173))</f>
        <v>0</v>
      </c>
      <c r="DI174" s="38">
        <f>Inputs!$D$27*(1+Inputs!$D$28)^($A174/12)*IF(Inputs!$B$73=1,$G174,1)*(1-Inputs!$C$73*$H174*(1-Inputs!$E$54*Inputs!$B$73))*(1+$I174)*IF(Inputs!$D$29=0,1,(MAX(DL173,0)/Inputs!$D$6)^Inputs!$D$29)</f>
        <v>1689.3145779316424</v>
      </c>
      <c r="DJ174" s="38">
        <f>Inputs!$D$32*DL173/Inputs!$D$6</f>
        <v>748.26206632548451</v>
      </c>
      <c r="DK174" s="38">
        <f>Inputs!$D$33</f>
        <v>1500</v>
      </c>
      <c r="DL174" s="38">
        <f t="shared" si="143"/>
        <v>152841.14201441579</v>
      </c>
      <c r="DM174" s="38">
        <f t="shared" si="144"/>
        <v>0</v>
      </c>
      <c r="DN174" s="38">
        <f>Inputs!$D$19*(1-Inputs!$C$73*$H174)+Inputs!$D$21+Inputs!$B$73*$J174</f>
        <v>398150</v>
      </c>
      <c r="DO174" s="38">
        <f t="shared" si="145"/>
        <v>-245308.85798558421</v>
      </c>
      <c r="DP174" s="38">
        <f t="shared" si="146"/>
        <v>1</v>
      </c>
    </row>
    <row r="175" spans="1:120" x14ac:dyDescent="0.35">
      <c r="A175" s="29">
        <v>170</v>
      </c>
      <c r="B175" s="34">
        <f>EDATE(Inputs!$B$67,$A175)</f>
        <v>51441</v>
      </c>
      <c r="C175" s="35">
        <f>IF(Inputs!$E$47&lt;=0,Inputs!$E$46,Inputs!$E$44+(Inputs!$E$46-Inputs!$E$44)*MIN($A175/Inputs!$E$47,1))</f>
        <v>0.7</v>
      </c>
      <c r="D175" s="35">
        <f>MIN(Inputs!$E$57,Inputs!$E$55*(1+Inputs!$E$56)^($A175/12))*Inputs!$E$58*(1+Inputs!$E$59)^($A175/12)/Inputs!$E$45</f>
        <v>1.5</v>
      </c>
      <c r="E175" s="35">
        <f>MAX(Inputs!$E$44,MIN(C175,D175))</f>
        <v>0.7</v>
      </c>
      <c r="F175" s="35">
        <f>IF(Inputs!$E$50&lt;=0,Inputs!$E$49,Inputs!$E$48+(Inputs!$E$49-Inputs!$E$48)*MIN($A175/Inputs!$E$50,1))</f>
        <v>0.12</v>
      </c>
      <c r="G175" s="36">
        <f>(Inputs!$E$41*(1-E175*Inputs!$E$51)+Inputs!$E$42*(1-F175*Inputs!$E$51))/(Inputs!$E$41*(1-Inputs!$E$44*Inputs!$E$51)+Inputs!$E$42*(1-Inputs!$E$48*Inputs!$E$51))</f>
        <v>0.8423127463863338</v>
      </c>
      <c r="H175" s="35">
        <f>IF(Inputs!$E$53&lt;=0,Inputs!$E$52,Inputs!$E$52*MIN($A175/Inputs!$E$53,1))</f>
        <v>0.1</v>
      </c>
      <c r="I175" s="35">
        <f>IF(Inputs!$E$64&lt;=0,Inputs!$E$63,Inputs!$E$62+(Inputs!$E$63-Inputs!$E$62)*MIN($A175/Inputs!$E$64,1))</f>
        <v>0.03</v>
      </c>
      <c r="J175" s="37">
        <f>(E175-Inputs!$E$44)*Inputs!$E$45/Inputs!$E$60*Inputs!$E$61</f>
        <v>5999.9999999999991</v>
      </c>
      <c r="K175" s="29">
        <f t="shared" si="98"/>
        <v>0</v>
      </c>
      <c r="L175" s="29"/>
      <c r="M175" s="38">
        <f>MAX(0,MIN(Inputs!$B$36,R174,N175+O175+P175+Inputs!$B$6-Q174))</f>
        <v>0</v>
      </c>
      <c r="N175" s="38">
        <f>Inputs!$B$27*(1+Inputs!$B$28)^($A175/12)*IF(Inputs!$B$70=1,$G175,1)*(1-Inputs!$C$70*$H175*(1-Inputs!$E$54*Inputs!$B$70))*(1+$I175)*IF(Inputs!$B$29=0,1,(MAX(Q174,0)/Inputs!$B$6)^Inputs!$B$29)</f>
        <v>30839.705388395683</v>
      </c>
      <c r="O175" s="38">
        <f>Inputs!$B$32*Q174/Inputs!$B$6</f>
        <v>0</v>
      </c>
      <c r="P175" s="38">
        <f>Inputs!$B$33</f>
        <v>2500</v>
      </c>
      <c r="Q175" s="38">
        <f t="shared" si="99"/>
        <v>0</v>
      </c>
      <c r="R175" s="38">
        <f t="shared" si="100"/>
        <v>0</v>
      </c>
      <c r="S175" s="38">
        <f>Inputs!$B$19*(1-Inputs!$C$70*$H175)+Inputs!$B$21+Inputs!$B$70*$J175</f>
        <v>595000</v>
      </c>
      <c r="T175" s="38">
        <f t="shared" si="101"/>
        <v>-595000</v>
      </c>
      <c r="U175" s="38">
        <f t="shared" si="102"/>
        <v>1</v>
      </c>
      <c r="V175" s="38">
        <f>MAX(0,MIN(Inputs!$C$36,AA174,W175+X175+Y175+Inputs!$C$6-Z174))</f>
        <v>0</v>
      </c>
      <c r="W175" s="38">
        <f>Inputs!$C$27*(1+Inputs!$C$28)^($A175/12)*IF(Inputs!$B$70=1,$G175,1)*(1-Inputs!$C$70*$H175*(1-Inputs!$E$54*Inputs!$B$70))*(1+$I175)*IF(Inputs!$C$29=0,1,(MAX(Z174,0)/Inputs!$C$6)^Inputs!$C$29)</f>
        <v>0</v>
      </c>
      <c r="X175" s="38">
        <f>Inputs!$C$32*Z174/Inputs!$C$6</f>
        <v>0</v>
      </c>
      <c r="Y175" s="38">
        <f>Inputs!$C$33</f>
        <v>2000</v>
      </c>
      <c r="Z175" s="38">
        <f t="shared" si="103"/>
        <v>0</v>
      </c>
      <c r="AA175" s="38">
        <f t="shared" si="104"/>
        <v>0</v>
      </c>
      <c r="AB175" s="38">
        <f>Inputs!$C$19*(1-Inputs!$C$70*$H175)+Inputs!$C$21+Inputs!$B$70*$J175</f>
        <v>495000</v>
      </c>
      <c r="AC175" s="38">
        <f t="shared" si="105"/>
        <v>-495000</v>
      </c>
      <c r="AD175" s="38">
        <f t="shared" si="106"/>
        <v>1</v>
      </c>
      <c r="AE175" s="38">
        <f>MAX(0,MIN(Inputs!$D$36,AJ174,AF175+AG175+AH175+Inputs!$D$6-AI174))</f>
        <v>0</v>
      </c>
      <c r="AF175" s="38">
        <f>Inputs!$D$27*(1+Inputs!$D$28)^($A175/12)*IF(Inputs!$B$70=1,$G175,1)*(1-Inputs!$C$70*$H175*(1-Inputs!$E$54*Inputs!$B$70))*(1+$I175)*IF(Inputs!$D$29=0,1,(MAX(AI174,0)/Inputs!$D$6)^Inputs!$D$29)</f>
        <v>1433.6609508454828</v>
      </c>
      <c r="AG175" s="38">
        <f>Inputs!$D$32*AI174/Inputs!$D$6</f>
        <v>348.04249277258731</v>
      </c>
      <c r="AH175" s="38">
        <f>Inputs!$D$33</f>
        <v>1500</v>
      </c>
      <c r="AI175" s="38">
        <f t="shared" si="107"/>
        <v>69641.485518257366</v>
      </c>
      <c r="AJ175" s="38">
        <f t="shared" si="108"/>
        <v>0</v>
      </c>
      <c r="AK175" s="38">
        <f>Inputs!$D$19*(1-Inputs!$C$70*$H175)+Inputs!$D$21+Inputs!$B$70*$J175</f>
        <v>404800</v>
      </c>
      <c r="AL175" s="38">
        <f t="shared" si="109"/>
        <v>-335158.51448174263</v>
      </c>
      <c r="AM175" s="38">
        <f t="shared" si="110"/>
        <v>1</v>
      </c>
      <c r="AN175" s="38">
        <f>MAX(0,MIN(Inputs!$B$36,AS174,AO175+AP175+AQ175+Inputs!$B$6-AR174))</f>
        <v>0</v>
      </c>
      <c r="AO175" s="38">
        <f>Inputs!$B$27*(1+Inputs!$B$28)^($A175/12)*IF(Inputs!$B$71=1,$G175,1)*(1-Inputs!$C$71*$H175*(1-Inputs!$E$54*Inputs!$B$71))*(1+$I175)*IF(Inputs!$B$29=0,1,(MAX(AR174,0)/Inputs!$B$6)^Inputs!$B$29)</f>
        <v>25976.676943444985</v>
      </c>
      <c r="AP175" s="38">
        <f>Inputs!$B$32*AR174/Inputs!$B$6</f>
        <v>0</v>
      </c>
      <c r="AQ175" s="38">
        <f>Inputs!$B$33</f>
        <v>2500</v>
      </c>
      <c r="AR175" s="38">
        <f t="shared" si="111"/>
        <v>0</v>
      </c>
      <c r="AS175" s="38">
        <f t="shared" si="112"/>
        <v>0</v>
      </c>
      <c r="AT175" s="38">
        <f>Inputs!$B$19*(1-Inputs!$C$71*$H175)+Inputs!$B$21+Inputs!$B$71*$J175</f>
        <v>601000</v>
      </c>
      <c r="AU175" s="38">
        <f t="shared" si="113"/>
        <v>-601000</v>
      </c>
      <c r="AV175" s="38">
        <f t="shared" si="114"/>
        <v>1</v>
      </c>
      <c r="AW175" s="38">
        <f>MAX(0,MIN(Inputs!$C$36,BB174,AX175+AY175+AZ175+Inputs!$C$6-BA174))</f>
        <v>0</v>
      </c>
      <c r="AX175" s="38">
        <f>Inputs!$C$27*(1+Inputs!$C$28)^($A175/12)*IF(Inputs!$B$71=1,$G175,1)*(1-Inputs!$C$71*$H175*(1-Inputs!$E$54*Inputs!$B$71))*(1+$I175)*IF(Inputs!$C$29=0,1,(MAX(BA174,0)/Inputs!$C$6)^Inputs!$C$29)</f>
        <v>0</v>
      </c>
      <c r="AY175" s="38">
        <f>Inputs!$C$32*BA174/Inputs!$C$6</f>
        <v>0</v>
      </c>
      <c r="AZ175" s="38">
        <f>Inputs!$C$33</f>
        <v>2000</v>
      </c>
      <c r="BA175" s="38">
        <f t="shared" si="115"/>
        <v>0</v>
      </c>
      <c r="BB175" s="38">
        <f t="shared" si="116"/>
        <v>0</v>
      </c>
      <c r="BC175" s="38">
        <f>Inputs!$C$19*(1-Inputs!$C$71*$H175)+Inputs!$C$21+Inputs!$B$71*$J175</f>
        <v>501000</v>
      </c>
      <c r="BD175" s="38">
        <f t="shared" si="117"/>
        <v>-501000</v>
      </c>
      <c r="BE175" s="38">
        <f t="shared" si="118"/>
        <v>1</v>
      </c>
      <c r="BF175" s="38">
        <f>MAX(0,MIN(Inputs!$D$36,BK174,BG175+BH175+BI175+Inputs!$D$6-BJ174))</f>
        <v>0</v>
      </c>
      <c r="BG175" s="38">
        <f>Inputs!$D$27*(1+Inputs!$D$28)^($A175/12)*IF(Inputs!$B$71=1,$G175,1)*(1-Inputs!$C$71*$H175*(1-Inputs!$E$54*Inputs!$B$71))*(1+$I175)*IF(Inputs!$D$29=0,1,(MAX(BJ174,0)/Inputs!$D$6)^Inputs!$D$29)</f>
        <v>1644.9103036775261</v>
      </c>
      <c r="BH175" s="38">
        <f>Inputs!$D$32*BJ174/Inputs!$D$6</f>
        <v>645.76879388148825</v>
      </c>
      <c r="BI175" s="38">
        <f>Inputs!$D$33</f>
        <v>1500</v>
      </c>
      <c r="BJ175" s="38">
        <f t="shared" si="119"/>
        <v>131513.25866808614</v>
      </c>
      <c r="BK175" s="38">
        <f t="shared" si="120"/>
        <v>0</v>
      </c>
      <c r="BL175" s="38">
        <f>Inputs!$D$19*(1-Inputs!$C$71*$H175)+Inputs!$D$21+Inputs!$B$71*$J175</f>
        <v>410800</v>
      </c>
      <c r="BM175" s="38">
        <f t="shared" si="121"/>
        <v>-279286.74133191386</v>
      </c>
      <c r="BN175" s="38">
        <f t="shared" si="122"/>
        <v>1</v>
      </c>
      <c r="BO175" s="38">
        <f>MAX(0,MIN(Inputs!$B$36,BT174,BP175+BQ175+BR175+Inputs!$B$6-BS174))</f>
        <v>0</v>
      </c>
      <c r="BP175" s="38">
        <f>Inputs!$B$27*(1+Inputs!$B$28)^($A175/12)*IF(Inputs!$B$72=1,$G175,1)*(1-Inputs!$C$72*$H175*(1-Inputs!$E$54*Inputs!$B$72))*(1+$I175)*IF(Inputs!$B$29=0,1,(MAX(BS174,0)/Inputs!$B$6)^Inputs!$B$29)</f>
        <v>27755.734849556116</v>
      </c>
      <c r="BQ175" s="38">
        <f>Inputs!$B$32*BS174/Inputs!$B$6</f>
        <v>0</v>
      </c>
      <c r="BR175" s="38">
        <f>Inputs!$B$33</f>
        <v>2500</v>
      </c>
      <c r="BS175" s="38">
        <f t="shared" si="123"/>
        <v>0</v>
      </c>
      <c r="BT175" s="38">
        <f t="shared" si="124"/>
        <v>0</v>
      </c>
      <c r="BU175" s="38">
        <f>Inputs!$B$19*(1-Inputs!$C$72*$H175)+Inputs!$B$21+Inputs!$B$72*$J175</f>
        <v>577500</v>
      </c>
      <c r="BV175" s="38">
        <f t="shared" si="125"/>
        <v>-577500</v>
      </c>
      <c r="BW175" s="38">
        <f t="shared" si="126"/>
        <v>1</v>
      </c>
      <c r="BX175" s="38">
        <f>MAX(0,MIN(Inputs!$C$36,CC174,BY175+BZ175+CA175+Inputs!$C$6-CB174))</f>
        <v>0</v>
      </c>
      <c r="BY175" s="38">
        <f>Inputs!$C$27*(1+Inputs!$C$28)^($A175/12)*IF(Inputs!$B$72=1,$G175,1)*(1-Inputs!$C$72*$H175*(1-Inputs!$E$54*Inputs!$B$72))*(1+$I175)*IF(Inputs!$C$29=0,1,(MAX(CB174,0)/Inputs!$C$6)^Inputs!$C$29)</f>
        <v>0</v>
      </c>
      <c r="BZ175" s="38">
        <f>Inputs!$C$32*CB174/Inputs!$C$6</f>
        <v>0</v>
      </c>
      <c r="CA175" s="38">
        <f>Inputs!$C$33</f>
        <v>2000</v>
      </c>
      <c r="CB175" s="38">
        <f t="shared" si="127"/>
        <v>0</v>
      </c>
      <c r="CC175" s="38">
        <f t="shared" si="128"/>
        <v>0</v>
      </c>
      <c r="CD175" s="38">
        <f>Inputs!$C$19*(1-Inputs!$C$72*$H175)+Inputs!$C$21+Inputs!$B$72*$J175</f>
        <v>480000</v>
      </c>
      <c r="CE175" s="38">
        <f t="shared" si="129"/>
        <v>-480000</v>
      </c>
      <c r="CF175" s="38">
        <f t="shared" si="130"/>
        <v>1</v>
      </c>
      <c r="CG175" s="38">
        <f>MAX(0,MIN(Inputs!$D$36,CL174,CH175+CI175+CJ175+Inputs!$D$6-CK174))</f>
        <v>0</v>
      </c>
      <c r="CH175" s="38">
        <f>Inputs!$D$27*(1+Inputs!$D$28)^($A175/12)*IF(Inputs!$B$72=1,$G175,1)*(1-Inputs!$C$72*$H175*(1-Inputs!$E$54*Inputs!$B$72))*(1+$I175)*IF(Inputs!$D$29=0,1,(MAX(CK174,0)/Inputs!$D$6)^Inputs!$D$29)</f>
        <v>1567.6126796379799</v>
      </c>
      <c r="CI175" s="38">
        <f>Inputs!$D$32*CK174/Inputs!$D$6</f>
        <v>513.72638792909402</v>
      </c>
      <c r="CJ175" s="38">
        <f>Inputs!$D$33</f>
        <v>1500</v>
      </c>
      <c r="CK175" s="38">
        <f t="shared" si="131"/>
        <v>104056.57078424309</v>
      </c>
      <c r="CL175" s="38">
        <f t="shared" si="132"/>
        <v>0</v>
      </c>
      <c r="CM175" s="38">
        <f>Inputs!$D$19*(1-Inputs!$C$72*$H175)+Inputs!$D$21+Inputs!$B$72*$J175</f>
        <v>392150</v>
      </c>
      <c r="CN175" s="38">
        <f t="shared" si="133"/>
        <v>-288093.42921575694</v>
      </c>
      <c r="CO175" s="38">
        <f t="shared" si="134"/>
        <v>1</v>
      </c>
      <c r="CP175" s="38">
        <f>MAX(0,MIN(Inputs!$B$36,CU174,CQ175+CR175+CS175+Inputs!$B$6-CT174))</f>
        <v>0</v>
      </c>
      <c r="CQ175" s="38">
        <f>Inputs!$B$27*(1+Inputs!$B$28)^($A175/12)*IF(Inputs!$B$73=1,$G175,1)*(1-Inputs!$C$73*$H175*(1-Inputs!$E$54*Inputs!$B$73))*(1+$I175)*IF(Inputs!$B$29=0,1,(MAX(CT174,0)/Inputs!$B$6)^Inputs!$B$29)</f>
        <v>24677.843096272733</v>
      </c>
      <c r="CR175" s="38">
        <f>Inputs!$B$32*CT174/Inputs!$B$6</f>
        <v>0</v>
      </c>
      <c r="CS175" s="38">
        <f>Inputs!$B$33</f>
        <v>2500</v>
      </c>
      <c r="CT175" s="38">
        <f t="shared" si="135"/>
        <v>0</v>
      </c>
      <c r="CU175" s="38">
        <f t="shared" si="136"/>
        <v>0</v>
      </c>
      <c r="CV175" s="38">
        <f>Inputs!$B$19*(1-Inputs!$C$73*$H175)+Inputs!$B$21+Inputs!$B$73*$J175</f>
        <v>583500</v>
      </c>
      <c r="CW175" s="38">
        <f t="shared" si="137"/>
        <v>-583500</v>
      </c>
      <c r="CX175" s="38">
        <f t="shared" si="138"/>
        <v>1</v>
      </c>
      <c r="CY175" s="38">
        <f>MAX(0,MIN(Inputs!$C$36,DD174,CZ175+DA175+DB175+Inputs!$C$6-DC174))</f>
        <v>0</v>
      </c>
      <c r="CZ175" s="38">
        <f>Inputs!$C$27*(1+Inputs!$C$28)^($A175/12)*IF(Inputs!$B$73=1,$G175,1)*(1-Inputs!$C$73*$H175*(1-Inputs!$E$54*Inputs!$B$73))*(1+$I175)*IF(Inputs!$C$29=0,1,(MAX(DC174,0)/Inputs!$C$6)^Inputs!$C$29)</f>
        <v>0</v>
      </c>
      <c r="DA175" s="38">
        <f>Inputs!$C$32*DC174/Inputs!$C$6</f>
        <v>0</v>
      </c>
      <c r="DB175" s="38">
        <f>Inputs!$C$33</f>
        <v>2000</v>
      </c>
      <c r="DC175" s="38">
        <f t="shared" si="139"/>
        <v>0</v>
      </c>
      <c r="DD175" s="38">
        <f t="shared" si="140"/>
        <v>0</v>
      </c>
      <c r="DE175" s="38">
        <f>Inputs!$C$19*(1-Inputs!$C$73*$H175)+Inputs!$C$21+Inputs!$B$73*$J175</f>
        <v>486000</v>
      </c>
      <c r="DF175" s="38">
        <f t="shared" si="141"/>
        <v>-486000</v>
      </c>
      <c r="DG175" s="38">
        <f t="shared" si="142"/>
        <v>1</v>
      </c>
      <c r="DH175" s="38">
        <f>MAX(0,MIN(Inputs!$D$36,DM174,DI175+DJ175+DK175+Inputs!$D$6-DL174))</f>
        <v>0</v>
      </c>
      <c r="DI175" s="38">
        <f>Inputs!$D$27*(1+Inputs!$D$28)^($A175/12)*IF(Inputs!$B$73=1,$G175,1)*(1-Inputs!$C$73*$H175*(1-Inputs!$E$54*Inputs!$B$73))*(1+$I175)*IF(Inputs!$D$29=0,1,(MAX(DL174,0)/Inputs!$D$6)^Inputs!$D$29)</f>
        <v>1660.8512790103425</v>
      </c>
      <c r="DJ175" s="38">
        <f>Inputs!$D$32*DL174/Inputs!$D$6</f>
        <v>729.46908688698443</v>
      </c>
      <c r="DK175" s="38">
        <f>Inputs!$D$33</f>
        <v>1500</v>
      </c>
      <c r="DL175" s="38">
        <f t="shared" si="143"/>
        <v>148950.82164851844</v>
      </c>
      <c r="DM175" s="38">
        <f t="shared" si="144"/>
        <v>0</v>
      </c>
      <c r="DN175" s="38">
        <f>Inputs!$D$19*(1-Inputs!$C$73*$H175)+Inputs!$D$21+Inputs!$B$73*$J175</f>
        <v>398150</v>
      </c>
      <c r="DO175" s="38">
        <f t="shared" si="145"/>
        <v>-249199.17835148156</v>
      </c>
      <c r="DP175" s="38">
        <f t="shared" si="146"/>
        <v>1</v>
      </c>
    </row>
    <row r="176" spans="1:120" x14ac:dyDescent="0.35">
      <c r="A176" s="29">
        <v>171</v>
      </c>
      <c r="B176" s="34">
        <f>EDATE(Inputs!$B$67,$A176)</f>
        <v>51471</v>
      </c>
      <c r="C176" s="35">
        <f>IF(Inputs!$E$47&lt;=0,Inputs!$E$46,Inputs!$E$44+(Inputs!$E$46-Inputs!$E$44)*MIN($A176/Inputs!$E$47,1))</f>
        <v>0.7</v>
      </c>
      <c r="D176" s="35">
        <f>MIN(Inputs!$E$57,Inputs!$E$55*(1+Inputs!$E$56)^($A176/12))*Inputs!$E$58*(1+Inputs!$E$59)^($A176/12)/Inputs!$E$45</f>
        <v>1.5</v>
      </c>
      <c r="E176" s="35">
        <f>MAX(Inputs!$E$44,MIN(C176,D176))</f>
        <v>0.7</v>
      </c>
      <c r="F176" s="35">
        <f>IF(Inputs!$E$50&lt;=0,Inputs!$E$49,Inputs!$E$48+(Inputs!$E$49-Inputs!$E$48)*MIN($A176/Inputs!$E$50,1))</f>
        <v>0.12</v>
      </c>
      <c r="G176" s="36">
        <f>(Inputs!$E$41*(1-E176*Inputs!$E$51)+Inputs!$E$42*(1-F176*Inputs!$E$51))/(Inputs!$E$41*(1-Inputs!$E$44*Inputs!$E$51)+Inputs!$E$42*(1-Inputs!$E$48*Inputs!$E$51))</f>
        <v>0.8423127463863338</v>
      </c>
      <c r="H176" s="35">
        <f>IF(Inputs!$E$53&lt;=0,Inputs!$E$52,Inputs!$E$52*MIN($A176/Inputs!$E$53,1))</f>
        <v>0.1</v>
      </c>
      <c r="I176" s="35">
        <f>IF(Inputs!$E$64&lt;=0,Inputs!$E$63,Inputs!$E$62+(Inputs!$E$63-Inputs!$E$62)*MIN($A176/Inputs!$E$64,1))</f>
        <v>0.03</v>
      </c>
      <c r="J176" s="37">
        <f>(E176-Inputs!$E$44)*Inputs!$E$45/Inputs!$E$60*Inputs!$E$61</f>
        <v>5999.9999999999991</v>
      </c>
      <c r="K176" s="29">
        <f t="shared" si="98"/>
        <v>0</v>
      </c>
      <c r="L176" s="29"/>
      <c r="M176" s="38">
        <f>MAX(0,MIN(Inputs!$B$36,R175,N176+O176+P176+Inputs!$B$6-Q175))</f>
        <v>0</v>
      </c>
      <c r="N176" s="38">
        <f>Inputs!$B$27*(1+Inputs!$B$28)^($A176/12)*IF(Inputs!$B$70=1,$G176,1)*(1-Inputs!$C$70*$H176*(1-Inputs!$E$54*Inputs!$B$70))*(1+$I176)*IF(Inputs!$B$29=0,1,(MAX(Q175,0)/Inputs!$B$6)^Inputs!$B$29)</f>
        <v>30965.350165599259</v>
      </c>
      <c r="O176" s="38">
        <f>Inputs!$B$32*Q175/Inputs!$B$6</f>
        <v>0</v>
      </c>
      <c r="P176" s="38">
        <f>Inputs!$B$33</f>
        <v>2500</v>
      </c>
      <c r="Q176" s="38">
        <f t="shared" si="99"/>
        <v>0</v>
      </c>
      <c r="R176" s="38">
        <f t="shared" si="100"/>
        <v>0</v>
      </c>
      <c r="S176" s="38">
        <f>Inputs!$B$19*(1-Inputs!$C$70*$H176)+Inputs!$B$21+Inputs!$B$70*$J176</f>
        <v>595000</v>
      </c>
      <c r="T176" s="38">
        <f t="shared" si="101"/>
        <v>-595000</v>
      </c>
      <c r="U176" s="38">
        <f t="shared" si="102"/>
        <v>1</v>
      </c>
      <c r="V176" s="38">
        <f>MAX(0,MIN(Inputs!$C$36,AA175,W176+X176+Y176+Inputs!$C$6-Z175))</f>
        <v>0</v>
      </c>
      <c r="W176" s="38">
        <f>Inputs!$C$27*(1+Inputs!$C$28)^($A176/12)*IF(Inputs!$B$70=1,$G176,1)*(1-Inputs!$C$70*$H176*(1-Inputs!$E$54*Inputs!$B$70))*(1+$I176)*IF(Inputs!$C$29=0,1,(MAX(Z175,0)/Inputs!$C$6)^Inputs!$C$29)</f>
        <v>0</v>
      </c>
      <c r="X176" s="38">
        <f>Inputs!$C$32*Z175/Inputs!$C$6</f>
        <v>0</v>
      </c>
      <c r="Y176" s="38">
        <f>Inputs!$C$33</f>
        <v>2000</v>
      </c>
      <c r="Z176" s="38">
        <f t="shared" si="103"/>
        <v>0</v>
      </c>
      <c r="AA176" s="38">
        <f t="shared" si="104"/>
        <v>0</v>
      </c>
      <c r="AB176" s="38">
        <f>Inputs!$C$19*(1-Inputs!$C$70*$H176)+Inputs!$C$21+Inputs!$B$70*$J176</f>
        <v>495000</v>
      </c>
      <c r="AC176" s="38">
        <f t="shared" si="105"/>
        <v>-495000</v>
      </c>
      <c r="AD176" s="38">
        <f t="shared" si="106"/>
        <v>1</v>
      </c>
      <c r="AE176" s="38">
        <f>MAX(0,MIN(Inputs!$D$36,AJ175,AF176+AG176+AH176+Inputs!$D$6-AI175))</f>
        <v>0</v>
      </c>
      <c r="AF176" s="38">
        <f>Inputs!$D$27*(1+Inputs!$D$28)^($A176/12)*IF(Inputs!$B$70=1,$G176,1)*(1-Inputs!$C$70*$H176*(1-Inputs!$E$54*Inputs!$B$70))*(1+$I176)*IF(Inputs!$D$29=0,1,(MAX(AI175,0)/Inputs!$D$6)^Inputs!$D$29)</f>
        <v>1395.0548304876252</v>
      </c>
      <c r="AG176" s="38">
        <f>Inputs!$D$32*AI175/Inputs!$D$6</f>
        <v>332.3798172462283</v>
      </c>
      <c r="AH176" s="38">
        <f>Inputs!$D$33</f>
        <v>1500</v>
      </c>
      <c r="AI176" s="38">
        <f t="shared" si="107"/>
        <v>66414.050870523512</v>
      </c>
      <c r="AJ176" s="38">
        <f t="shared" si="108"/>
        <v>0</v>
      </c>
      <c r="AK176" s="38">
        <f>Inputs!$D$19*(1-Inputs!$C$70*$H176)+Inputs!$D$21+Inputs!$B$70*$J176</f>
        <v>404800</v>
      </c>
      <c r="AL176" s="38">
        <f t="shared" si="109"/>
        <v>-338385.9491294765</v>
      </c>
      <c r="AM176" s="38">
        <f t="shared" si="110"/>
        <v>1</v>
      </c>
      <c r="AN176" s="38">
        <f>MAX(0,MIN(Inputs!$B$36,AS175,AO176+AP176+AQ176+Inputs!$B$6-AR175))</f>
        <v>0</v>
      </c>
      <c r="AO176" s="38">
        <f>Inputs!$B$27*(1+Inputs!$B$28)^($A176/12)*IF(Inputs!$B$71=1,$G176,1)*(1-Inputs!$C$71*$H176*(1-Inputs!$E$54*Inputs!$B$71))*(1+$I176)*IF(Inputs!$B$29=0,1,(MAX(AR175,0)/Inputs!$B$6)^Inputs!$B$29)</f>
        <v>26082.509140800426</v>
      </c>
      <c r="AP176" s="38">
        <f>Inputs!$B$32*AR175/Inputs!$B$6</f>
        <v>0</v>
      </c>
      <c r="AQ176" s="38">
        <f>Inputs!$B$33</f>
        <v>2500</v>
      </c>
      <c r="AR176" s="38">
        <f t="shared" si="111"/>
        <v>0</v>
      </c>
      <c r="AS176" s="38">
        <f t="shared" si="112"/>
        <v>0</v>
      </c>
      <c r="AT176" s="38">
        <f>Inputs!$B$19*(1-Inputs!$C$71*$H176)+Inputs!$B$21+Inputs!$B$71*$J176</f>
        <v>601000</v>
      </c>
      <c r="AU176" s="38">
        <f t="shared" si="113"/>
        <v>-601000</v>
      </c>
      <c r="AV176" s="38">
        <f t="shared" si="114"/>
        <v>1</v>
      </c>
      <c r="AW176" s="38">
        <f>MAX(0,MIN(Inputs!$C$36,BB175,AX176+AY176+AZ176+Inputs!$C$6-BA175))</f>
        <v>0</v>
      </c>
      <c r="AX176" s="38">
        <f>Inputs!$C$27*(1+Inputs!$C$28)^($A176/12)*IF(Inputs!$B$71=1,$G176,1)*(1-Inputs!$C$71*$H176*(1-Inputs!$E$54*Inputs!$B$71))*(1+$I176)*IF(Inputs!$C$29=0,1,(MAX(BA175,0)/Inputs!$C$6)^Inputs!$C$29)</f>
        <v>0</v>
      </c>
      <c r="AY176" s="38">
        <f>Inputs!$C$32*BA175/Inputs!$C$6</f>
        <v>0</v>
      </c>
      <c r="AZ176" s="38">
        <f>Inputs!$C$33</f>
        <v>2000</v>
      </c>
      <c r="BA176" s="38">
        <f t="shared" si="115"/>
        <v>0</v>
      </c>
      <c r="BB176" s="38">
        <f t="shared" si="116"/>
        <v>0</v>
      </c>
      <c r="BC176" s="38">
        <f>Inputs!$C$19*(1-Inputs!$C$71*$H176)+Inputs!$C$21+Inputs!$B$71*$J176</f>
        <v>501000</v>
      </c>
      <c r="BD176" s="38">
        <f t="shared" si="117"/>
        <v>-501000</v>
      </c>
      <c r="BE176" s="38">
        <f t="shared" si="118"/>
        <v>1</v>
      </c>
      <c r="BF176" s="38">
        <f>MAX(0,MIN(Inputs!$D$36,BK175,BG176+BH176+BI176+Inputs!$D$6-BJ175))</f>
        <v>0</v>
      </c>
      <c r="BG176" s="38">
        <f>Inputs!$D$27*(1+Inputs!$D$28)^($A176/12)*IF(Inputs!$B$71=1,$G176,1)*(1-Inputs!$C$71*$H176*(1-Inputs!$E$54*Inputs!$B$71))*(1+$I176)*IF(Inputs!$D$29=0,1,(MAX(BJ175,0)/Inputs!$D$6)^Inputs!$D$29)</f>
        <v>1614.7876016025953</v>
      </c>
      <c r="BH176" s="38">
        <f>Inputs!$D$32*BJ175/Inputs!$D$6</f>
        <v>627.67691637041105</v>
      </c>
      <c r="BI176" s="38">
        <f>Inputs!$D$33</f>
        <v>1500</v>
      </c>
      <c r="BJ176" s="38">
        <f t="shared" si="119"/>
        <v>127770.79415011313</v>
      </c>
      <c r="BK176" s="38">
        <f t="shared" si="120"/>
        <v>0</v>
      </c>
      <c r="BL176" s="38">
        <f>Inputs!$D$19*(1-Inputs!$C$71*$H176)+Inputs!$D$21+Inputs!$B$71*$J176</f>
        <v>410800</v>
      </c>
      <c r="BM176" s="38">
        <f t="shared" si="121"/>
        <v>-283029.20584988687</v>
      </c>
      <c r="BN176" s="38">
        <f t="shared" si="122"/>
        <v>1</v>
      </c>
      <c r="BO176" s="38">
        <f>MAX(0,MIN(Inputs!$B$36,BT175,BP176+BQ176+BR176+Inputs!$B$6-BS175))</f>
        <v>0</v>
      </c>
      <c r="BP176" s="38">
        <f>Inputs!$B$27*(1+Inputs!$B$28)^($A176/12)*IF(Inputs!$B$72=1,$G176,1)*(1-Inputs!$C$72*$H176*(1-Inputs!$E$54*Inputs!$B$72))*(1+$I176)*IF(Inputs!$B$29=0,1,(MAX(BS175,0)/Inputs!$B$6)^Inputs!$B$29)</f>
        <v>27868.815149039332</v>
      </c>
      <c r="BQ176" s="38">
        <f>Inputs!$B$32*BS175/Inputs!$B$6</f>
        <v>0</v>
      </c>
      <c r="BR176" s="38">
        <f>Inputs!$B$33</f>
        <v>2500</v>
      </c>
      <c r="BS176" s="38">
        <f t="shared" si="123"/>
        <v>0</v>
      </c>
      <c r="BT176" s="38">
        <f t="shared" si="124"/>
        <v>0</v>
      </c>
      <c r="BU176" s="38">
        <f>Inputs!$B$19*(1-Inputs!$C$72*$H176)+Inputs!$B$21+Inputs!$B$72*$J176</f>
        <v>577500</v>
      </c>
      <c r="BV176" s="38">
        <f t="shared" si="125"/>
        <v>-577500</v>
      </c>
      <c r="BW176" s="38">
        <f t="shared" si="126"/>
        <v>1</v>
      </c>
      <c r="BX176" s="38">
        <f>MAX(0,MIN(Inputs!$C$36,CC175,BY176+BZ176+CA176+Inputs!$C$6-CB175))</f>
        <v>0</v>
      </c>
      <c r="BY176" s="38">
        <f>Inputs!$C$27*(1+Inputs!$C$28)^($A176/12)*IF(Inputs!$B$72=1,$G176,1)*(1-Inputs!$C$72*$H176*(1-Inputs!$E$54*Inputs!$B$72))*(1+$I176)*IF(Inputs!$C$29=0,1,(MAX(CB175,0)/Inputs!$C$6)^Inputs!$C$29)</f>
        <v>0</v>
      </c>
      <c r="BZ176" s="38">
        <f>Inputs!$C$32*CB175/Inputs!$C$6</f>
        <v>0</v>
      </c>
      <c r="CA176" s="38">
        <f>Inputs!$C$33</f>
        <v>2000</v>
      </c>
      <c r="CB176" s="38">
        <f t="shared" si="127"/>
        <v>0</v>
      </c>
      <c r="CC176" s="38">
        <f t="shared" si="128"/>
        <v>0</v>
      </c>
      <c r="CD176" s="38">
        <f>Inputs!$C$19*(1-Inputs!$C$72*$H176)+Inputs!$C$21+Inputs!$B$72*$J176</f>
        <v>480000</v>
      </c>
      <c r="CE176" s="38">
        <f t="shared" si="129"/>
        <v>-480000</v>
      </c>
      <c r="CF176" s="38">
        <f t="shared" si="130"/>
        <v>1</v>
      </c>
      <c r="CG176" s="38">
        <f>MAX(0,MIN(Inputs!$D$36,CL175,CH176+CI176+CJ176+Inputs!$D$6-CK175))</f>
        <v>0</v>
      </c>
      <c r="CH176" s="38">
        <f>Inputs!$D$27*(1+Inputs!$D$28)^($A176/12)*IF(Inputs!$B$72=1,$G176,1)*(1-Inputs!$C$72*$H176*(1-Inputs!$E$54*Inputs!$B$72))*(1+$I176)*IF(Inputs!$D$29=0,1,(MAX(CK175,0)/Inputs!$D$6)^Inputs!$D$29)</f>
        <v>1534.7389959509503</v>
      </c>
      <c r="CI176" s="38">
        <f>Inputs!$D$32*CK175/Inputs!$D$6</f>
        <v>496.63363328843292</v>
      </c>
      <c r="CJ176" s="38">
        <f>Inputs!$D$33</f>
        <v>1500</v>
      </c>
      <c r="CK176" s="38">
        <f t="shared" si="131"/>
        <v>100525.1981550037</v>
      </c>
      <c r="CL176" s="38">
        <f t="shared" si="132"/>
        <v>0</v>
      </c>
      <c r="CM176" s="38">
        <f>Inputs!$D$19*(1-Inputs!$C$72*$H176)+Inputs!$D$21+Inputs!$B$72*$J176</f>
        <v>392150</v>
      </c>
      <c r="CN176" s="38">
        <f t="shared" si="133"/>
        <v>-291624.80184499628</v>
      </c>
      <c r="CO176" s="38">
        <f t="shared" si="134"/>
        <v>1</v>
      </c>
      <c r="CP176" s="38">
        <f>MAX(0,MIN(Inputs!$B$36,CU175,CQ176+CR176+CS176+Inputs!$B$6-CT175))</f>
        <v>0</v>
      </c>
      <c r="CQ176" s="38">
        <f>Inputs!$B$27*(1+Inputs!$B$28)^($A176/12)*IF(Inputs!$B$73=1,$G176,1)*(1-Inputs!$C$73*$H176*(1-Inputs!$E$54*Inputs!$B$73))*(1+$I176)*IF(Inputs!$B$29=0,1,(MAX(CT175,0)/Inputs!$B$6)^Inputs!$B$29)</f>
        <v>24778.383683760407</v>
      </c>
      <c r="CR176" s="38">
        <f>Inputs!$B$32*CT175/Inputs!$B$6</f>
        <v>0</v>
      </c>
      <c r="CS176" s="38">
        <f>Inputs!$B$33</f>
        <v>2500</v>
      </c>
      <c r="CT176" s="38">
        <f t="shared" si="135"/>
        <v>0</v>
      </c>
      <c r="CU176" s="38">
        <f t="shared" si="136"/>
        <v>0</v>
      </c>
      <c r="CV176" s="38">
        <f>Inputs!$B$19*(1-Inputs!$C$73*$H176)+Inputs!$B$21+Inputs!$B$73*$J176</f>
        <v>583500</v>
      </c>
      <c r="CW176" s="38">
        <f t="shared" si="137"/>
        <v>-583500</v>
      </c>
      <c r="CX176" s="38">
        <f t="shared" si="138"/>
        <v>1</v>
      </c>
      <c r="CY176" s="38">
        <f>MAX(0,MIN(Inputs!$C$36,DD175,CZ176+DA176+DB176+Inputs!$C$6-DC175))</f>
        <v>0</v>
      </c>
      <c r="CZ176" s="38">
        <f>Inputs!$C$27*(1+Inputs!$C$28)^($A176/12)*IF(Inputs!$B$73=1,$G176,1)*(1-Inputs!$C$73*$H176*(1-Inputs!$E$54*Inputs!$B$73))*(1+$I176)*IF(Inputs!$C$29=0,1,(MAX(DC175,0)/Inputs!$C$6)^Inputs!$C$29)</f>
        <v>0</v>
      </c>
      <c r="DA176" s="38">
        <f>Inputs!$C$32*DC175/Inputs!$C$6</f>
        <v>0</v>
      </c>
      <c r="DB176" s="38">
        <f>Inputs!$C$33</f>
        <v>2000</v>
      </c>
      <c r="DC176" s="38">
        <f t="shared" si="139"/>
        <v>0</v>
      </c>
      <c r="DD176" s="38">
        <f t="shared" si="140"/>
        <v>0</v>
      </c>
      <c r="DE176" s="38">
        <f>Inputs!$C$19*(1-Inputs!$C$73*$H176)+Inputs!$C$21+Inputs!$B$73*$J176</f>
        <v>486000</v>
      </c>
      <c r="DF176" s="38">
        <f t="shared" si="141"/>
        <v>-486000</v>
      </c>
      <c r="DG176" s="38">
        <f t="shared" si="142"/>
        <v>1</v>
      </c>
      <c r="DH176" s="38">
        <f>MAX(0,MIN(Inputs!$D$36,DM175,DI176+DJ176+DK176+Inputs!$D$6-DL175))</f>
        <v>0</v>
      </c>
      <c r="DI176" s="38">
        <f>Inputs!$D$27*(1+Inputs!$D$28)^($A176/12)*IF(Inputs!$B$73=1,$G176,1)*(1-Inputs!$C$73*$H176*(1-Inputs!$E$54*Inputs!$B$73))*(1+$I176)*IF(Inputs!$D$29=0,1,(MAX(DL175,0)/Inputs!$D$6)^Inputs!$D$29)</f>
        <v>1632.5845929335526</v>
      </c>
      <c r="DJ176" s="38">
        <f>Inputs!$D$32*DL175/Inputs!$D$6</f>
        <v>710.90164877701989</v>
      </c>
      <c r="DK176" s="38">
        <f>Inputs!$D$33</f>
        <v>1500</v>
      </c>
      <c r="DL176" s="38">
        <f t="shared" si="143"/>
        <v>145107.33540680786</v>
      </c>
      <c r="DM176" s="38">
        <f t="shared" si="144"/>
        <v>0</v>
      </c>
      <c r="DN176" s="38">
        <f>Inputs!$D$19*(1-Inputs!$C$73*$H176)+Inputs!$D$21+Inputs!$B$73*$J176</f>
        <v>398150</v>
      </c>
      <c r="DO176" s="38">
        <f t="shared" si="145"/>
        <v>-253042.66459319214</v>
      </c>
      <c r="DP176" s="38">
        <f t="shared" si="146"/>
        <v>1</v>
      </c>
    </row>
    <row r="177" spans="1:120" x14ac:dyDescent="0.35">
      <c r="A177" s="29">
        <v>172</v>
      </c>
      <c r="B177" s="34">
        <f>EDATE(Inputs!$B$67,$A177)</f>
        <v>51502</v>
      </c>
      <c r="C177" s="35">
        <f>IF(Inputs!$E$47&lt;=0,Inputs!$E$46,Inputs!$E$44+(Inputs!$E$46-Inputs!$E$44)*MIN($A177/Inputs!$E$47,1))</f>
        <v>0.7</v>
      </c>
      <c r="D177" s="35">
        <f>MIN(Inputs!$E$57,Inputs!$E$55*(1+Inputs!$E$56)^($A177/12))*Inputs!$E$58*(1+Inputs!$E$59)^($A177/12)/Inputs!$E$45</f>
        <v>1.5</v>
      </c>
      <c r="E177" s="35">
        <f>MAX(Inputs!$E$44,MIN(C177,D177))</f>
        <v>0.7</v>
      </c>
      <c r="F177" s="35">
        <f>IF(Inputs!$E$50&lt;=0,Inputs!$E$49,Inputs!$E$48+(Inputs!$E$49-Inputs!$E$48)*MIN($A177/Inputs!$E$50,1))</f>
        <v>0.12</v>
      </c>
      <c r="G177" s="36">
        <f>(Inputs!$E$41*(1-E177*Inputs!$E$51)+Inputs!$E$42*(1-F177*Inputs!$E$51))/(Inputs!$E$41*(1-Inputs!$E$44*Inputs!$E$51)+Inputs!$E$42*(1-Inputs!$E$48*Inputs!$E$51))</f>
        <v>0.8423127463863338</v>
      </c>
      <c r="H177" s="35">
        <f>IF(Inputs!$E$53&lt;=0,Inputs!$E$52,Inputs!$E$52*MIN($A177/Inputs!$E$53,1))</f>
        <v>0.1</v>
      </c>
      <c r="I177" s="35">
        <f>IF(Inputs!$E$64&lt;=0,Inputs!$E$63,Inputs!$E$62+(Inputs!$E$63-Inputs!$E$62)*MIN($A177/Inputs!$E$64,1))</f>
        <v>0.03</v>
      </c>
      <c r="J177" s="37">
        <f>(E177-Inputs!$E$44)*Inputs!$E$45/Inputs!$E$60*Inputs!$E$61</f>
        <v>5999.9999999999991</v>
      </c>
      <c r="K177" s="29">
        <f t="shared" si="98"/>
        <v>0</v>
      </c>
      <c r="L177" s="29"/>
      <c r="M177" s="38">
        <f>MAX(0,MIN(Inputs!$B$36,R176,N177+O177+P177+Inputs!$B$6-Q176))</f>
        <v>0</v>
      </c>
      <c r="N177" s="38">
        <f>Inputs!$B$27*(1+Inputs!$B$28)^($A177/12)*IF(Inputs!$B$70=1,$G177,1)*(1-Inputs!$C$70*$H177*(1-Inputs!$E$54*Inputs!$B$70))*(1+$I177)*IF(Inputs!$B$29=0,1,(MAX(Q176,0)/Inputs!$B$6)^Inputs!$B$29)</f>
        <v>31091.506835177923</v>
      </c>
      <c r="O177" s="38">
        <f>Inputs!$B$32*Q176/Inputs!$B$6</f>
        <v>0</v>
      </c>
      <c r="P177" s="38">
        <f>Inputs!$B$33</f>
        <v>2500</v>
      </c>
      <c r="Q177" s="38">
        <f t="shared" si="99"/>
        <v>0</v>
      </c>
      <c r="R177" s="38">
        <f t="shared" si="100"/>
        <v>0</v>
      </c>
      <c r="S177" s="38">
        <f>Inputs!$B$19*(1-Inputs!$C$70*$H177)+Inputs!$B$21+Inputs!$B$70*$J177</f>
        <v>595000</v>
      </c>
      <c r="T177" s="38">
        <f t="shared" si="101"/>
        <v>-595000</v>
      </c>
      <c r="U177" s="38">
        <f t="shared" si="102"/>
        <v>1</v>
      </c>
      <c r="V177" s="38">
        <f>MAX(0,MIN(Inputs!$C$36,AA176,W177+X177+Y177+Inputs!$C$6-Z176))</f>
        <v>0</v>
      </c>
      <c r="W177" s="38">
        <f>Inputs!$C$27*(1+Inputs!$C$28)^($A177/12)*IF(Inputs!$B$70=1,$G177,1)*(1-Inputs!$C$70*$H177*(1-Inputs!$E$54*Inputs!$B$70))*(1+$I177)*IF(Inputs!$C$29=0,1,(MAX(Z176,0)/Inputs!$C$6)^Inputs!$C$29)</f>
        <v>0</v>
      </c>
      <c r="X177" s="38">
        <f>Inputs!$C$32*Z176/Inputs!$C$6</f>
        <v>0</v>
      </c>
      <c r="Y177" s="38">
        <f>Inputs!$C$33</f>
        <v>2000</v>
      </c>
      <c r="Z177" s="38">
        <f t="shared" si="103"/>
        <v>0</v>
      </c>
      <c r="AA177" s="38">
        <f t="shared" si="104"/>
        <v>0</v>
      </c>
      <c r="AB177" s="38">
        <f>Inputs!$C$19*(1-Inputs!$C$70*$H177)+Inputs!$C$21+Inputs!$B$70*$J177</f>
        <v>495000</v>
      </c>
      <c r="AC177" s="38">
        <f t="shared" si="105"/>
        <v>-495000</v>
      </c>
      <c r="AD177" s="38">
        <f t="shared" si="106"/>
        <v>1</v>
      </c>
      <c r="AE177" s="38">
        <f>MAX(0,MIN(Inputs!$D$36,AJ176,AF177+AG177+AH177+Inputs!$D$6-AI176))</f>
        <v>0</v>
      </c>
      <c r="AF177" s="38">
        <f>Inputs!$D$27*(1+Inputs!$D$28)^($A177/12)*IF(Inputs!$B$70=1,$G177,1)*(1-Inputs!$C$70*$H177*(1-Inputs!$E$54*Inputs!$B$70))*(1+$I177)*IF(Inputs!$D$29=0,1,(MAX(AI176,0)/Inputs!$D$6)^Inputs!$D$29)</f>
        <v>1356.5346236896748</v>
      </c>
      <c r="AG177" s="38">
        <f>Inputs!$D$32*AI176/Inputs!$D$6</f>
        <v>316.97615188204401</v>
      </c>
      <c r="AH177" s="38">
        <f>Inputs!$D$33</f>
        <v>1500</v>
      </c>
      <c r="AI177" s="38">
        <f t="shared" si="107"/>
        <v>63240.540094951793</v>
      </c>
      <c r="AJ177" s="38">
        <f t="shared" si="108"/>
        <v>0</v>
      </c>
      <c r="AK177" s="38">
        <f>Inputs!$D$19*(1-Inputs!$C$70*$H177)+Inputs!$D$21+Inputs!$B$70*$J177</f>
        <v>404800</v>
      </c>
      <c r="AL177" s="38">
        <f t="shared" si="109"/>
        <v>-341559.45990504819</v>
      </c>
      <c r="AM177" s="38">
        <f t="shared" si="110"/>
        <v>1</v>
      </c>
      <c r="AN177" s="38">
        <f>MAX(0,MIN(Inputs!$B$36,AS176,AO177+AP177+AQ177+Inputs!$B$6-AR176))</f>
        <v>0</v>
      </c>
      <c r="AO177" s="38">
        <f>Inputs!$B$27*(1+Inputs!$B$28)^($A177/12)*IF(Inputs!$B$71=1,$G177,1)*(1-Inputs!$C$71*$H177*(1-Inputs!$E$54*Inputs!$B$71))*(1+$I177)*IF(Inputs!$B$29=0,1,(MAX(AR176,0)/Inputs!$B$6)^Inputs!$B$29)</f>
        <v>26188.772511628187</v>
      </c>
      <c r="AP177" s="38">
        <f>Inputs!$B$32*AR176/Inputs!$B$6</f>
        <v>0</v>
      </c>
      <c r="AQ177" s="38">
        <f>Inputs!$B$33</f>
        <v>2500</v>
      </c>
      <c r="AR177" s="38">
        <f t="shared" si="111"/>
        <v>0</v>
      </c>
      <c r="AS177" s="38">
        <f t="shared" si="112"/>
        <v>0</v>
      </c>
      <c r="AT177" s="38">
        <f>Inputs!$B$19*(1-Inputs!$C$71*$H177)+Inputs!$B$21+Inputs!$B$71*$J177</f>
        <v>601000</v>
      </c>
      <c r="AU177" s="38">
        <f t="shared" si="113"/>
        <v>-601000</v>
      </c>
      <c r="AV177" s="38">
        <f t="shared" si="114"/>
        <v>1</v>
      </c>
      <c r="AW177" s="38">
        <f>MAX(0,MIN(Inputs!$C$36,BB176,AX177+AY177+AZ177+Inputs!$C$6-BA176))</f>
        <v>0</v>
      </c>
      <c r="AX177" s="38">
        <f>Inputs!$C$27*(1+Inputs!$C$28)^($A177/12)*IF(Inputs!$B$71=1,$G177,1)*(1-Inputs!$C$71*$H177*(1-Inputs!$E$54*Inputs!$B$71))*(1+$I177)*IF(Inputs!$C$29=0,1,(MAX(BA176,0)/Inputs!$C$6)^Inputs!$C$29)</f>
        <v>0</v>
      </c>
      <c r="AY177" s="38">
        <f>Inputs!$C$32*BA176/Inputs!$C$6</f>
        <v>0</v>
      </c>
      <c r="AZ177" s="38">
        <f>Inputs!$C$33</f>
        <v>2000</v>
      </c>
      <c r="BA177" s="38">
        <f t="shared" si="115"/>
        <v>0</v>
      </c>
      <c r="BB177" s="38">
        <f t="shared" si="116"/>
        <v>0</v>
      </c>
      <c r="BC177" s="38">
        <f>Inputs!$C$19*(1-Inputs!$C$71*$H177)+Inputs!$C$21+Inputs!$B$71*$J177</f>
        <v>501000</v>
      </c>
      <c r="BD177" s="38">
        <f t="shared" si="117"/>
        <v>-501000</v>
      </c>
      <c r="BE177" s="38">
        <f t="shared" si="118"/>
        <v>1</v>
      </c>
      <c r="BF177" s="38">
        <f>MAX(0,MIN(Inputs!$D$36,BK176,BG177+BH177+BI177+Inputs!$D$6-BJ176))</f>
        <v>0</v>
      </c>
      <c r="BG177" s="38">
        <f>Inputs!$D$27*(1+Inputs!$D$28)^($A177/12)*IF(Inputs!$B$71=1,$G177,1)*(1-Inputs!$C$71*$H177*(1-Inputs!$E$54*Inputs!$B$71))*(1+$I177)*IF(Inputs!$D$29=0,1,(MAX(BJ176,0)/Inputs!$D$6)^Inputs!$D$29)</f>
        <v>1584.8569459928663</v>
      </c>
      <c r="BH177" s="38">
        <f>Inputs!$D$32*BJ176/Inputs!$D$6</f>
        <v>609.81515389826723</v>
      </c>
      <c r="BI177" s="38">
        <f>Inputs!$D$33</f>
        <v>1500</v>
      </c>
      <c r="BJ177" s="38">
        <f t="shared" si="119"/>
        <v>124076.12205022199</v>
      </c>
      <c r="BK177" s="38">
        <f t="shared" si="120"/>
        <v>0</v>
      </c>
      <c r="BL177" s="38">
        <f>Inputs!$D$19*(1-Inputs!$C$71*$H177)+Inputs!$D$21+Inputs!$B$71*$J177</f>
        <v>410800</v>
      </c>
      <c r="BM177" s="38">
        <f t="shared" si="121"/>
        <v>-286723.87794977799</v>
      </c>
      <c r="BN177" s="38">
        <f t="shared" si="122"/>
        <v>1</v>
      </c>
      <c r="BO177" s="38">
        <f>MAX(0,MIN(Inputs!$B$36,BT176,BP177+BQ177+BR177+Inputs!$B$6-BS176))</f>
        <v>0</v>
      </c>
      <c r="BP177" s="38">
        <f>Inputs!$B$27*(1+Inputs!$B$28)^($A177/12)*IF(Inputs!$B$72=1,$G177,1)*(1-Inputs!$C$72*$H177*(1-Inputs!$E$54*Inputs!$B$72))*(1+$I177)*IF(Inputs!$B$29=0,1,(MAX(BS176,0)/Inputs!$B$6)^Inputs!$B$29)</f>
        <v>27982.356151660133</v>
      </c>
      <c r="BQ177" s="38">
        <f>Inputs!$B$32*BS176/Inputs!$B$6</f>
        <v>0</v>
      </c>
      <c r="BR177" s="38">
        <f>Inputs!$B$33</f>
        <v>2500</v>
      </c>
      <c r="BS177" s="38">
        <f t="shared" si="123"/>
        <v>0</v>
      </c>
      <c r="BT177" s="38">
        <f t="shared" si="124"/>
        <v>0</v>
      </c>
      <c r="BU177" s="38">
        <f>Inputs!$B$19*(1-Inputs!$C$72*$H177)+Inputs!$B$21+Inputs!$B$72*$J177</f>
        <v>577500</v>
      </c>
      <c r="BV177" s="38">
        <f t="shared" si="125"/>
        <v>-577500</v>
      </c>
      <c r="BW177" s="38">
        <f t="shared" si="126"/>
        <v>1</v>
      </c>
      <c r="BX177" s="38">
        <f>MAX(0,MIN(Inputs!$C$36,CC176,BY177+BZ177+CA177+Inputs!$C$6-CB176))</f>
        <v>0</v>
      </c>
      <c r="BY177" s="38">
        <f>Inputs!$C$27*(1+Inputs!$C$28)^($A177/12)*IF(Inputs!$B$72=1,$G177,1)*(1-Inputs!$C$72*$H177*(1-Inputs!$E$54*Inputs!$B$72))*(1+$I177)*IF(Inputs!$C$29=0,1,(MAX(CB176,0)/Inputs!$C$6)^Inputs!$C$29)</f>
        <v>0</v>
      </c>
      <c r="BZ177" s="38">
        <f>Inputs!$C$32*CB176/Inputs!$C$6</f>
        <v>0</v>
      </c>
      <c r="CA177" s="38">
        <f>Inputs!$C$33</f>
        <v>2000</v>
      </c>
      <c r="CB177" s="38">
        <f t="shared" si="127"/>
        <v>0</v>
      </c>
      <c r="CC177" s="38">
        <f t="shared" si="128"/>
        <v>0</v>
      </c>
      <c r="CD177" s="38">
        <f>Inputs!$C$19*(1-Inputs!$C$72*$H177)+Inputs!$C$21+Inputs!$B$72*$J177</f>
        <v>480000</v>
      </c>
      <c r="CE177" s="38">
        <f t="shared" si="129"/>
        <v>-480000</v>
      </c>
      <c r="CF177" s="38">
        <f t="shared" si="130"/>
        <v>1</v>
      </c>
      <c r="CG177" s="38">
        <f>MAX(0,MIN(Inputs!$D$36,CL176,CH177+CI177+CJ177+Inputs!$D$6-CK176))</f>
        <v>0</v>
      </c>
      <c r="CH177" s="38">
        <f>Inputs!$D$27*(1+Inputs!$D$28)^($A177/12)*IF(Inputs!$B$72=1,$G177,1)*(1-Inputs!$C$72*$H177*(1-Inputs!$E$54*Inputs!$B$72))*(1+$I177)*IF(Inputs!$D$29=0,1,(MAX(CK176,0)/Inputs!$D$6)^Inputs!$D$29)</f>
        <v>1502.0378482775661</v>
      </c>
      <c r="CI177" s="38">
        <f>Inputs!$D$32*CK176/Inputs!$D$6</f>
        <v>479.7793548306995</v>
      </c>
      <c r="CJ177" s="38">
        <f>Inputs!$D$33</f>
        <v>1500</v>
      </c>
      <c r="CK177" s="38">
        <f t="shared" si="131"/>
        <v>97043.380951895437</v>
      </c>
      <c r="CL177" s="38">
        <f t="shared" si="132"/>
        <v>0</v>
      </c>
      <c r="CM177" s="38">
        <f>Inputs!$D$19*(1-Inputs!$C$72*$H177)+Inputs!$D$21+Inputs!$B$72*$J177</f>
        <v>392150</v>
      </c>
      <c r="CN177" s="38">
        <f t="shared" si="133"/>
        <v>-295106.61904810456</v>
      </c>
      <c r="CO177" s="38">
        <f t="shared" si="134"/>
        <v>1</v>
      </c>
      <c r="CP177" s="38">
        <f>MAX(0,MIN(Inputs!$B$36,CU176,CQ177+CR177+CS177+Inputs!$B$6-CT176))</f>
        <v>0</v>
      </c>
      <c r="CQ177" s="38">
        <f>Inputs!$B$27*(1+Inputs!$B$28)^($A177/12)*IF(Inputs!$B$73=1,$G177,1)*(1-Inputs!$C$73*$H177*(1-Inputs!$E$54*Inputs!$B$73))*(1+$I177)*IF(Inputs!$B$29=0,1,(MAX(CT176,0)/Inputs!$B$6)^Inputs!$B$29)</f>
        <v>24879.333886046777</v>
      </c>
      <c r="CR177" s="38">
        <f>Inputs!$B$32*CT176/Inputs!$B$6</f>
        <v>0</v>
      </c>
      <c r="CS177" s="38">
        <f>Inputs!$B$33</f>
        <v>2500</v>
      </c>
      <c r="CT177" s="38">
        <f t="shared" si="135"/>
        <v>0</v>
      </c>
      <c r="CU177" s="38">
        <f t="shared" si="136"/>
        <v>0</v>
      </c>
      <c r="CV177" s="38">
        <f>Inputs!$B$19*(1-Inputs!$C$73*$H177)+Inputs!$B$21+Inputs!$B$73*$J177</f>
        <v>583500</v>
      </c>
      <c r="CW177" s="38">
        <f t="shared" si="137"/>
        <v>-583500</v>
      </c>
      <c r="CX177" s="38">
        <f t="shared" si="138"/>
        <v>1</v>
      </c>
      <c r="CY177" s="38">
        <f>MAX(0,MIN(Inputs!$C$36,DD176,CZ177+DA177+DB177+Inputs!$C$6-DC176))</f>
        <v>0</v>
      </c>
      <c r="CZ177" s="38">
        <f>Inputs!$C$27*(1+Inputs!$C$28)^($A177/12)*IF(Inputs!$B$73=1,$G177,1)*(1-Inputs!$C$73*$H177*(1-Inputs!$E$54*Inputs!$B$73))*(1+$I177)*IF(Inputs!$C$29=0,1,(MAX(DC176,0)/Inputs!$C$6)^Inputs!$C$29)</f>
        <v>0</v>
      </c>
      <c r="DA177" s="38">
        <f>Inputs!$C$32*DC176/Inputs!$C$6</f>
        <v>0</v>
      </c>
      <c r="DB177" s="38">
        <f>Inputs!$C$33</f>
        <v>2000</v>
      </c>
      <c r="DC177" s="38">
        <f t="shared" si="139"/>
        <v>0</v>
      </c>
      <c r="DD177" s="38">
        <f t="shared" si="140"/>
        <v>0</v>
      </c>
      <c r="DE177" s="38">
        <f>Inputs!$C$19*(1-Inputs!$C$73*$H177)+Inputs!$C$21+Inputs!$B$73*$J177</f>
        <v>486000</v>
      </c>
      <c r="DF177" s="38">
        <f t="shared" si="141"/>
        <v>-486000</v>
      </c>
      <c r="DG177" s="38">
        <f t="shared" si="142"/>
        <v>1</v>
      </c>
      <c r="DH177" s="38">
        <f>MAX(0,MIN(Inputs!$D$36,DM176,DI177+DJ177+DK177+Inputs!$D$6-DL176))</f>
        <v>0</v>
      </c>
      <c r="DI177" s="38">
        <f>Inputs!$D$27*(1+Inputs!$D$28)^($A177/12)*IF(Inputs!$B$73=1,$G177,1)*(1-Inputs!$C$73*$H177*(1-Inputs!$E$54*Inputs!$B$73))*(1+$I177)*IF(Inputs!$D$29=0,1,(MAX(DL176,0)/Inputs!$D$6)^Inputs!$D$29)</f>
        <v>1604.5104850590794</v>
      </c>
      <c r="DJ177" s="38">
        <f>Inputs!$D$32*DL176/Inputs!$D$6</f>
        <v>692.55773716885574</v>
      </c>
      <c r="DK177" s="38">
        <f>Inputs!$D$33</f>
        <v>1500</v>
      </c>
      <c r="DL177" s="38">
        <f t="shared" si="143"/>
        <v>141310.26718457992</v>
      </c>
      <c r="DM177" s="38">
        <f t="shared" si="144"/>
        <v>0</v>
      </c>
      <c r="DN177" s="38">
        <f>Inputs!$D$19*(1-Inputs!$C$73*$H177)+Inputs!$D$21+Inputs!$B$73*$J177</f>
        <v>398150</v>
      </c>
      <c r="DO177" s="38">
        <f t="shared" si="145"/>
        <v>-256839.73281542008</v>
      </c>
      <c r="DP177" s="38">
        <f t="shared" si="146"/>
        <v>1</v>
      </c>
    </row>
    <row r="178" spans="1:120" x14ac:dyDescent="0.35">
      <c r="A178" s="29">
        <v>173</v>
      </c>
      <c r="B178" s="34">
        <f>EDATE(Inputs!$B$67,$A178)</f>
        <v>51533</v>
      </c>
      <c r="C178" s="35">
        <f>IF(Inputs!$E$47&lt;=0,Inputs!$E$46,Inputs!$E$44+(Inputs!$E$46-Inputs!$E$44)*MIN($A178/Inputs!$E$47,1))</f>
        <v>0.7</v>
      </c>
      <c r="D178" s="35">
        <f>MIN(Inputs!$E$57,Inputs!$E$55*(1+Inputs!$E$56)^($A178/12))*Inputs!$E$58*(1+Inputs!$E$59)^($A178/12)/Inputs!$E$45</f>
        <v>1.5</v>
      </c>
      <c r="E178" s="35">
        <f>MAX(Inputs!$E$44,MIN(C178,D178))</f>
        <v>0.7</v>
      </c>
      <c r="F178" s="35">
        <f>IF(Inputs!$E$50&lt;=0,Inputs!$E$49,Inputs!$E$48+(Inputs!$E$49-Inputs!$E$48)*MIN($A178/Inputs!$E$50,1))</f>
        <v>0.12</v>
      </c>
      <c r="G178" s="36">
        <f>(Inputs!$E$41*(1-E178*Inputs!$E$51)+Inputs!$E$42*(1-F178*Inputs!$E$51))/(Inputs!$E$41*(1-Inputs!$E$44*Inputs!$E$51)+Inputs!$E$42*(1-Inputs!$E$48*Inputs!$E$51))</f>
        <v>0.8423127463863338</v>
      </c>
      <c r="H178" s="35">
        <f>IF(Inputs!$E$53&lt;=0,Inputs!$E$52,Inputs!$E$52*MIN($A178/Inputs!$E$53,1))</f>
        <v>0.1</v>
      </c>
      <c r="I178" s="35">
        <f>IF(Inputs!$E$64&lt;=0,Inputs!$E$63,Inputs!$E$62+(Inputs!$E$63-Inputs!$E$62)*MIN($A178/Inputs!$E$64,1))</f>
        <v>0.03</v>
      </c>
      <c r="J178" s="37">
        <f>(E178-Inputs!$E$44)*Inputs!$E$45/Inputs!$E$60*Inputs!$E$61</f>
        <v>5999.9999999999991</v>
      </c>
      <c r="K178" s="29">
        <f t="shared" si="98"/>
        <v>0</v>
      </c>
      <c r="L178" s="29"/>
      <c r="M178" s="38">
        <f>MAX(0,MIN(Inputs!$B$36,R177,N178+O178+P178+Inputs!$B$6-Q177))</f>
        <v>0</v>
      </c>
      <c r="N178" s="38">
        <f>Inputs!$B$27*(1+Inputs!$B$28)^($A178/12)*IF(Inputs!$B$70=1,$G178,1)*(1-Inputs!$C$70*$H178*(1-Inputs!$E$54*Inputs!$B$70))*(1+$I178)*IF(Inputs!$B$29=0,1,(MAX(Q177,0)/Inputs!$B$6)^Inputs!$B$29)</f>
        <v>31218.177482644587</v>
      </c>
      <c r="O178" s="38">
        <f>Inputs!$B$32*Q177/Inputs!$B$6</f>
        <v>0</v>
      </c>
      <c r="P178" s="38">
        <f>Inputs!$B$33</f>
        <v>2500</v>
      </c>
      <c r="Q178" s="38">
        <f t="shared" si="99"/>
        <v>0</v>
      </c>
      <c r="R178" s="38">
        <f t="shared" si="100"/>
        <v>0</v>
      </c>
      <c r="S178" s="38">
        <f>Inputs!$B$19*(1-Inputs!$C$70*$H178)+Inputs!$B$21+Inputs!$B$70*$J178</f>
        <v>595000</v>
      </c>
      <c r="T178" s="38">
        <f t="shared" si="101"/>
        <v>-595000</v>
      </c>
      <c r="U178" s="38">
        <f t="shared" si="102"/>
        <v>1</v>
      </c>
      <c r="V178" s="38">
        <f>MAX(0,MIN(Inputs!$C$36,AA177,W178+X178+Y178+Inputs!$C$6-Z177))</f>
        <v>0</v>
      </c>
      <c r="W178" s="38">
        <f>Inputs!$C$27*(1+Inputs!$C$28)^($A178/12)*IF(Inputs!$B$70=1,$G178,1)*(1-Inputs!$C$70*$H178*(1-Inputs!$E$54*Inputs!$B$70))*(1+$I178)*IF(Inputs!$C$29=0,1,(MAX(Z177,0)/Inputs!$C$6)^Inputs!$C$29)</f>
        <v>0</v>
      </c>
      <c r="X178" s="38">
        <f>Inputs!$C$32*Z177/Inputs!$C$6</f>
        <v>0</v>
      </c>
      <c r="Y178" s="38">
        <f>Inputs!$C$33</f>
        <v>2000</v>
      </c>
      <c r="Z178" s="38">
        <f t="shared" si="103"/>
        <v>0</v>
      </c>
      <c r="AA178" s="38">
        <f t="shared" si="104"/>
        <v>0</v>
      </c>
      <c r="AB178" s="38">
        <f>Inputs!$C$19*(1-Inputs!$C$70*$H178)+Inputs!$C$21+Inputs!$B$70*$J178</f>
        <v>495000</v>
      </c>
      <c r="AC178" s="38">
        <f t="shared" si="105"/>
        <v>-495000</v>
      </c>
      <c r="AD178" s="38">
        <f t="shared" si="106"/>
        <v>1</v>
      </c>
      <c r="AE178" s="38">
        <f>MAX(0,MIN(Inputs!$D$36,AJ177,AF178+AG178+AH178+Inputs!$D$6-AI177))</f>
        <v>0</v>
      </c>
      <c r="AF178" s="38">
        <f>Inputs!$D$27*(1+Inputs!$D$28)^($A178/12)*IF(Inputs!$B$70=1,$G178,1)*(1-Inputs!$C$70*$H178*(1-Inputs!$E$54*Inputs!$B$70))*(1+$I178)*IF(Inputs!$D$29=0,1,(MAX(AI177,0)/Inputs!$D$6)^Inputs!$D$29)</f>
        <v>1318.0816583647572</v>
      </c>
      <c r="AG178" s="38">
        <f>Inputs!$D$32*AI177/Inputs!$D$6</f>
        <v>301.82985045317901</v>
      </c>
      <c r="AH178" s="38">
        <f>Inputs!$D$33</f>
        <v>1500</v>
      </c>
      <c r="AI178" s="38">
        <f t="shared" si="107"/>
        <v>60120.628586133862</v>
      </c>
      <c r="AJ178" s="38">
        <f t="shared" si="108"/>
        <v>0</v>
      </c>
      <c r="AK178" s="38">
        <f>Inputs!$D$19*(1-Inputs!$C$70*$H178)+Inputs!$D$21+Inputs!$B$70*$J178</f>
        <v>404800</v>
      </c>
      <c r="AL178" s="38">
        <f t="shared" si="109"/>
        <v>-344679.37141386612</v>
      </c>
      <c r="AM178" s="38">
        <f t="shared" si="110"/>
        <v>1</v>
      </c>
      <c r="AN178" s="38">
        <f>MAX(0,MIN(Inputs!$B$36,AS177,AO178+AP178+AQ178+Inputs!$B$6-AR177))</f>
        <v>0</v>
      </c>
      <c r="AO178" s="38">
        <f>Inputs!$B$27*(1+Inputs!$B$28)^($A178/12)*IF(Inputs!$B$71=1,$G178,1)*(1-Inputs!$C$71*$H178*(1-Inputs!$E$54*Inputs!$B$71))*(1+$I178)*IF(Inputs!$B$29=0,1,(MAX(AR177,0)/Inputs!$B$6)^Inputs!$B$29)</f>
        <v>26295.468812582363</v>
      </c>
      <c r="AP178" s="38">
        <f>Inputs!$B$32*AR177/Inputs!$B$6</f>
        <v>0</v>
      </c>
      <c r="AQ178" s="38">
        <f>Inputs!$B$33</f>
        <v>2500</v>
      </c>
      <c r="AR178" s="38">
        <f t="shared" si="111"/>
        <v>0</v>
      </c>
      <c r="AS178" s="38">
        <f t="shared" si="112"/>
        <v>0</v>
      </c>
      <c r="AT178" s="38">
        <f>Inputs!$B$19*(1-Inputs!$C$71*$H178)+Inputs!$B$21+Inputs!$B$71*$J178</f>
        <v>601000</v>
      </c>
      <c r="AU178" s="38">
        <f t="shared" si="113"/>
        <v>-601000</v>
      </c>
      <c r="AV178" s="38">
        <f t="shared" si="114"/>
        <v>1</v>
      </c>
      <c r="AW178" s="38">
        <f>MAX(0,MIN(Inputs!$C$36,BB177,AX178+AY178+AZ178+Inputs!$C$6-BA177))</f>
        <v>0</v>
      </c>
      <c r="AX178" s="38">
        <f>Inputs!$C$27*(1+Inputs!$C$28)^($A178/12)*IF(Inputs!$B$71=1,$G178,1)*(1-Inputs!$C$71*$H178*(1-Inputs!$E$54*Inputs!$B$71))*(1+$I178)*IF(Inputs!$C$29=0,1,(MAX(BA177,0)/Inputs!$C$6)^Inputs!$C$29)</f>
        <v>0</v>
      </c>
      <c r="AY178" s="38">
        <f>Inputs!$C$32*BA177/Inputs!$C$6</f>
        <v>0</v>
      </c>
      <c r="AZ178" s="38">
        <f>Inputs!$C$33</f>
        <v>2000</v>
      </c>
      <c r="BA178" s="38">
        <f t="shared" si="115"/>
        <v>0</v>
      </c>
      <c r="BB178" s="38">
        <f t="shared" si="116"/>
        <v>0</v>
      </c>
      <c r="BC178" s="38">
        <f>Inputs!$C$19*(1-Inputs!$C$71*$H178)+Inputs!$C$21+Inputs!$B$71*$J178</f>
        <v>501000</v>
      </c>
      <c r="BD178" s="38">
        <f t="shared" si="117"/>
        <v>-501000</v>
      </c>
      <c r="BE178" s="38">
        <f t="shared" si="118"/>
        <v>1</v>
      </c>
      <c r="BF178" s="38">
        <f>MAX(0,MIN(Inputs!$D$36,BK177,BG178+BH178+BI178+Inputs!$D$6-BJ177))</f>
        <v>0</v>
      </c>
      <c r="BG178" s="38">
        <f>Inputs!$D$27*(1+Inputs!$D$28)^($A178/12)*IF(Inputs!$B$71=1,$G178,1)*(1-Inputs!$C$71*$H178*(1-Inputs!$E$54*Inputs!$B$71))*(1+$I178)*IF(Inputs!$D$29=0,1,(MAX(BJ177,0)/Inputs!$D$6)^Inputs!$D$29)</f>
        <v>1555.1132079406709</v>
      </c>
      <c r="BH178" s="38">
        <f>Inputs!$D$32*BJ177/Inputs!$D$6</f>
        <v>592.18149160333223</v>
      </c>
      <c r="BI178" s="38">
        <f>Inputs!$D$33</f>
        <v>1500</v>
      </c>
      <c r="BJ178" s="38">
        <f t="shared" si="119"/>
        <v>120428.827350678</v>
      </c>
      <c r="BK178" s="38">
        <f t="shared" si="120"/>
        <v>0</v>
      </c>
      <c r="BL178" s="38">
        <f>Inputs!$D$19*(1-Inputs!$C$71*$H178)+Inputs!$D$21+Inputs!$B$71*$J178</f>
        <v>410800</v>
      </c>
      <c r="BM178" s="38">
        <f t="shared" si="121"/>
        <v>-290371.17264932202</v>
      </c>
      <c r="BN178" s="38">
        <f t="shared" si="122"/>
        <v>1</v>
      </c>
      <c r="BO178" s="38">
        <f>MAX(0,MIN(Inputs!$B$36,BT177,BP178+BQ178+BR178+Inputs!$B$6-BS177))</f>
        <v>0</v>
      </c>
      <c r="BP178" s="38">
        <f>Inputs!$B$27*(1+Inputs!$B$28)^($A178/12)*IF(Inputs!$B$72=1,$G178,1)*(1-Inputs!$C$72*$H178*(1-Inputs!$E$54*Inputs!$B$72))*(1+$I178)*IF(Inputs!$B$29=0,1,(MAX(BS177,0)/Inputs!$B$6)^Inputs!$B$29)</f>
        <v>28096.35973438013</v>
      </c>
      <c r="BQ178" s="38">
        <f>Inputs!$B$32*BS177/Inputs!$B$6</f>
        <v>0</v>
      </c>
      <c r="BR178" s="38">
        <f>Inputs!$B$33</f>
        <v>2500</v>
      </c>
      <c r="BS178" s="38">
        <f t="shared" si="123"/>
        <v>0</v>
      </c>
      <c r="BT178" s="38">
        <f t="shared" si="124"/>
        <v>0</v>
      </c>
      <c r="BU178" s="38">
        <f>Inputs!$B$19*(1-Inputs!$C$72*$H178)+Inputs!$B$21+Inputs!$B$72*$J178</f>
        <v>577500</v>
      </c>
      <c r="BV178" s="38">
        <f t="shared" si="125"/>
        <v>-577500</v>
      </c>
      <c r="BW178" s="38">
        <f t="shared" si="126"/>
        <v>1</v>
      </c>
      <c r="BX178" s="38">
        <f>MAX(0,MIN(Inputs!$C$36,CC177,BY178+BZ178+CA178+Inputs!$C$6-CB177))</f>
        <v>0</v>
      </c>
      <c r="BY178" s="38">
        <f>Inputs!$C$27*(1+Inputs!$C$28)^($A178/12)*IF(Inputs!$B$72=1,$G178,1)*(1-Inputs!$C$72*$H178*(1-Inputs!$E$54*Inputs!$B$72))*(1+$I178)*IF(Inputs!$C$29=0,1,(MAX(CB177,0)/Inputs!$C$6)^Inputs!$C$29)</f>
        <v>0</v>
      </c>
      <c r="BZ178" s="38">
        <f>Inputs!$C$32*CB177/Inputs!$C$6</f>
        <v>0</v>
      </c>
      <c r="CA178" s="38">
        <f>Inputs!$C$33</f>
        <v>2000</v>
      </c>
      <c r="CB178" s="38">
        <f t="shared" si="127"/>
        <v>0</v>
      </c>
      <c r="CC178" s="38">
        <f t="shared" si="128"/>
        <v>0</v>
      </c>
      <c r="CD178" s="38">
        <f>Inputs!$C$19*(1-Inputs!$C$72*$H178)+Inputs!$C$21+Inputs!$B$72*$J178</f>
        <v>480000</v>
      </c>
      <c r="CE178" s="38">
        <f t="shared" si="129"/>
        <v>-480000</v>
      </c>
      <c r="CF178" s="38">
        <f t="shared" si="130"/>
        <v>1</v>
      </c>
      <c r="CG178" s="38">
        <f>MAX(0,MIN(Inputs!$D$36,CL177,CH178+CI178+CJ178+Inputs!$D$6-CK177))</f>
        <v>0</v>
      </c>
      <c r="CH178" s="38">
        <f>Inputs!$D$27*(1+Inputs!$D$28)^($A178/12)*IF(Inputs!$B$72=1,$G178,1)*(1-Inputs!$C$72*$H178*(1-Inputs!$E$54*Inputs!$B$72))*(1+$I178)*IF(Inputs!$D$29=0,1,(MAX(CK177,0)/Inputs!$D$6)^Inputs!$D$29)</f>
        <v>1469.5013871530114</v>
      </c>
      <c r="CI178" s="38">
        <f>Inputs!$D$32*CK177/Inputs!$D$6</f>
        <v>463.16159090677365</v>
      </c>
      <c r="CJ178" s="38">
        <f>Inputs!$D$33</f>
        <v>1500</v>
      </c>
      <c r="CK178" s="38">
        <f t="shared" si="131"/>
        <v>93610.71797383565</v>
      </c>
      <c r="CL178" s="38">
        <f t="shared" si="132"/>
        <v>0</v>
      </c>
      <c r="CM178" s="38">
        <f>Inputs!$D$19*(1-Inputs!$C$72*$H178)+Inputs!$D$21+Inputs!$B$72*$J178</f>
        <v>392150</v>
      </c>
      <c r="CN178" s="38">
        <f t="shared" si="133"/>
        <v>-298539.28202616435</v>
      </c>
      <c r="CO178" s="38">
        <f t="shared" si="134"/>
        <v>1</v>
      </c>
      <c r="CP178" s="38">
        <f>MAX(0,MIN(Inputs!$B$36,CU177,CQ178+CR178+CS178+Inputs!$B$6-CT177))</f>
        <v>0</v>
      </c>
      <c r="CQ178" s="38">
        <f>Inputs!$B$27*(1+Inputs!$B$28)^($A178/12)*IF(Inputs!$B$73=1,$G178,1)*(1-Inputs!$C$73*$H178*(1-Inputs!$E$54*Inputs!$B$73))*(1+$I178)*IF(Inputs!$B$29=0,1,(MAX(CT177,0)/Inputs!$B$6)^Inputs!$B$29)</f>
        <v>24980.695371953247</v>
      </c>
      <c r="CR178" s="38">
        <f>Inputs!$B$32*CT177/Inputs!$B$6</f>
        <v>0</v>
      </c>
      <c r="CS178" s="38">
        <f>Inputs!$B$33</f>
        <v>2500</v>
      </c>
      <c r="CT178" s="38">
        <f t="shared" si="135"/>
        <v>0</v>
      </c>
      <c r="CU178" s="38">
        <f t="shared" si="136"/>
        <v>0</v>
      </c>
      <c r="CV178" s="38">
        <f>Inputs!$B$19*(1-Inputs!$C$73*$H178)+Inputs!$B$21+Inputs!$B$73*$J178</f>
        <v>583500</v>
      </c>
      <c r="CW178" s="38">
        <f t="shared" si="137"/>
        <v>-583500</v>
      </c>
      <c r="CX178" s="38">
        <f t="shared" si="138"/>
        <v>1</v>
      </c>
      <c r="CY178" s="38">
        <f>MAX(0,MIN(Inputs!$C$36,DD177,CZ178+DA178+DB178+Inputs!$C$6-DC177))</f>
        <v>0</v>
      </c>
      <c r="CZ178" s="38">
        <f>Inputs!$C$27*(1+Inputs!$C$28)^($A178/12)*IF(Inputs!$B$73=1,$G178,1)*(1-Inputs!$C$73*$H178*(1-Inputs!$E$54*Inputs!$B$73))*(1+$I178)*IF(Inputs!$C$29=0,1,(MAX(DC177,0)/Inputs!$C$6)^Inputs!$C$29)</f>
        <v>0</v>
      </c>
      <c r="DA178" s="38">
        <f>Inputs!$C$32*DC177/Inputs!$C$6</f>
        <v>0</v>
      </c>
      <c r="DB178" s="38">
        <f>Inputs!$C$33</f>
        <v>2000</v>
      </c>
      <c r="DC178" s="38">
        <f t="shared" si="139"/>
        <v>0</v>
      </c>
      <c r="DD178" s="38">
        <f t="shared" si="140"/>
        <v>0</v>
      </c>
      <c r="DE178" s="38">
        <f>Inputs!$C$19*(1-Inputs!$C$73*$H178)+Inputs!$C$21+Inputs!$B$73*$J178</f>
        <v>486000</v>
      </c>
      <c r="DF178" s="38">
        <f t="shared" si="141"/>
        <v>-486000</v>
      </c>
      <c r="DG178" s="38">
        <f t="shared" si="142"/>
        <v>1</v>
      </c>
      <c r="DH178" s="38">
        <f>MAX(0,MIN(Inputs!$D$36,DM177,DI178+DJ178+DK178+Inputs!$D$6-DL177))</f>
        <v>0</v>
      </c>
      <c r="DI178" s="38">
        <f>Inputs!$D$27*(1+Inputs!$D$28)^($A178/12)*IF(Inputs!$B$73=1,$G178,1)*(1-Inputs!$C$73*$H178*(1-Inputs!$E$54*Inputs!$B$73))*(1+$I178)*IF(Inputs!$D$29=0,1,(MAX(DL177,0)/Inputs!$D$6)^Inputs!$D$29)</f>
        <v>1576.624853383554</v>
      </c>
      <c r="DJ178" s="38">
        <f>Inputs!$D$32*DL177/Inputs!$D$6</f>
        <v>674.4353661082223</v>
      </c>
      <c r="DK178" s="38">
        <f>Inputs!$D$33</f>
        <v>1500</v>
      </c>
      <c r="DL178" s="38">
        <f t="shared" si="143"/>
        <v>137559.20696508815</v>
      </c>
      <c r="DM178" s="38">
        <f t="shared" si="144"/>
        <v>0</v>
      </c>
      <c r="DN178" s="38">
        <f>Inputs!$D$19*(1-Inputs!$C$73*$H178)+Inputs!$D$21+Inputs!$B$73*$J178</f>
        <v>398150</v>
      </c>
      <c r="DO178" s="38">
        <f t="shared" si="145"/>
        <v>-260590.79303491185</v>
      </c>
      <c r="DP178" s="38">
        <f t="shared" si="146"/>
        <v>1</v>
      </c>
    </row>
    <row r="179" spans="1:120" x14ac:dyDescent="0.35">
      <c r="A179" s="29">
        <v>174</v>
      </c>
      <c r="B179" s="34">
        <f>EDATE(Inputs!$B$67,$A179)</f>
        <v>51561</v>
      </c>
      <c r="C179" s="35">
        <f>IF(Inputs!$E$47&lt;=0,Inputs!$E$46,Inputs!$E$44+(Inputs!$E$46-Inputs!$E$44)*MIN($A179/Inputs!$E$47,1))</f>
        <v>0.7</v>
      </c>
      <c r="D179" s="35">
        <f>MIN(Inputs!$E$57,Inputs!$E$55*(1+Inputs!$E$56)^($A179/12))*Inputs!$E$58*(1+Inputs!$E$59)^($A179/12)/Inputs!$E$45</f>
        <v>1.5</v>
      </c>
      <c r="E179" s="35">
        <f>MAX(Inputs!$E$44,MIN(C179,D179))</f>
        <v>0.7</v>
      </c>
      <c r="F179" s="35">
        <f>IF(Inputs!$E$50&lt;=0,Inputs!$E$49,Inputs!$E$48+(Inputs!$E$49-Inputs!$E$48)*MIN($A179/Inputs!$E$50,1))</f>
        <v>0.12</v>
      </c>
      <c r="G179" s="36">
        <f>(Inputs!$E$41*(1-E179*Inputs!$E$51)+Inputs!$E$42*(1-F179*Inputs!$E$51))/(Inputs!$E$41*(1-Inputs!$E$44*Inputs!$E$51)+Inputs!$E$42*(1-Inputs!$E$48*Inputs!$E$51))</f>
        <v>0.8423127463863338</v>
      </c>
      <c r="H179" s="35">
        <f>IF(Inputs!$E$53&lt;=0,Inputs!$E$52,Inputs!$E$52*MIN($A179/Inputs!$E$53,1))</f>
        <v>0.1</v>
      </c>
      <c r="I179" s="35">
        <f>IF(Inputs!$E$64&lt;=0,Inputs!$E$63,Inputs!$E$62+(Inputs!$E$63-Inputs!$E$62)*MIN($A179/Inputs!$E$64,1))</f>
        <v>0.03</v>
      </c>
      <c r="J179" s="37">
        <f>(E179-Inputs!$E$44)*Inputs!$E$45/Inputs!$E$60*Inputs!$E$61</f>
        <v>5999.9999999999991</v>
      </c>
      <c r="K179" s="29">
        <f t="shared" si="98"/>
        <v>0</v>
      </c>
      <c r="L179" s="29"/>
      <c r="M179" s="38">
        <f>MAX(0,MIN(Inputs!$B$36,R178,N179+O179+P179+Inputs!$B$6-Q178))</f>
        <v>0</v>
      </c>
      <c r="N179" s="38">
        <f>Inputs!$B$27*(1+Inputs!$B$28)^($A179/12)*IF(Inputs!$B$70=1,$G179,1)*(1-Inputs!$C$70*$H179*(1-Inputs!$E$54*Inputs!$B$70))*(1+$I179)*IF(Inputs!$B$29=0,1,(MAX(Q178,0)/Inputs!$B$6)^Inputs!$B$29)</f>
        <v>31345.364202008783</v>
      </c>
      <c r="O179" s="38">
        <f>Inputs!$B$32*Q178/Inputs!$B$6</f>
        <v>0</v>
      </c>
      <c r="P179" s="38">
        <f>Inputs!$B$33</f>
        <v>2500</v>
      </c>
      <c r="Q179" s="38">
        <f t="shared" si="99"/>
        <v>0</v>
      </c>
      <c r="R179" s="38">
        <f t="shared" si="100"/>
        <v>0</v>
      </c>
      <c r="S179" s="38">
        <f>Inputs!$B$19*(1-Inputs!$C$70*$H179)+Inputs!$B$21+Inputs!$B$70*$J179</f>
        <v>595000</v>
      </c>
      <c r="T179" s="38">
        <f t="shared" si="101"/>
        <v>-595000</v>
      </c>
      <c r="U179" s="38">
        <f t="shared" si="102"/>
        <v>1</v>
      </c>
      <c r="V179" s="38">
        <f>MAX(0,MIN(Inputs!$C$36,AA178,W179+X179+Y179+Inputs!$C$6-Z178))</f>
        <v>0</v>
      </c>
      <c r="W179" s="38">
        <f>Inputs!$C$27*(1+Inputs!$C$28)^($A179/12)*IF(Inputs!$B$70=1,$G179,1)*(1-Inputs!$C$70*$H179*(1-Inputs!$E$54*Inputs!$B$70))*(1+$I179)*IF(Inputs!$C$29=0,1,(MAX(Z178,0)/Inputs!$C$6)^Inputs!$C$29)</f>
        <v>0</v>
      </c>
      <c r="X179" s="38">
        <f>Inputs!$C$32*Z178/Inputs!$C$6</f>
        <v>0</v>
      </c>
      <c r="Y179" s="38">
        <f>Inputs!$C$33</f>
        <v>2000</v>
      </c>
      <c r="Z179" s="38">
        <f t="shared" si="103"/>
        <v>0</v>
      </c>
      <c r="AA179" s="38">
        <f t="shared" si="104"/>
        <v>0</v>
      </c>
      <c r="AB179" s="38">
        <f>Inputs!$C$19*(1-Inputs!$C$70*$H179)+Inputs!$C$21+Inputs!$B$70*$J179</f>
        <v>495000</v>
      </c>
      <c r="AC179" s="38">
        <f t="shared" si="105"/>
        <v>-495000</v>
      </c>
      <c r="AD179" s="38">
        <f t="shared" si="106"/>
        <v>1</v>
      </c>
      <c r="AE179" s="38">
        <f>MAX(0,MIN(Inputs!$D$36,AJ178,AF179+AG179+AH179+Inputs!$D$6-AI178))</f>
        <v>0</v>
      </c>
      <c r="AF179" s="38">
        <f>Inputs!$D$27*(1+Inputs!$D$28)^($A179/12)*IF(Inputs!$B$70=1,$G179,1)*(1-Inputs!$C$70*$H179*(1-Inputs!$E$54*Inputs!$B$70))*(1+$I179)*IF(Inputs!$D$29=0,1,(MAX(AI178,0)/Inputs!$D$6)^Inputs!$D$29)</f>
        <v>1279.6756956512511</v>
      </c>
      <c r="AG179" s="38">
        <f>Inputs!$D$32*AI178/Inputs!$D$6</f>
        <v>286.93936370654797</v>
      </c>
      <c r="AH179" s="38">
        <f>Inputs!$D$33</f>
        <v>1500</v>
      </c>
      <c r="AI179" s="38">
        <f t="shared" si="107"/>
        <v>57054.013526776056</v>
      </c>
      <c r="AJ179" s="38">
        <f t="shared" si="108"/>
        <v>0</v>
      </c>
      <c r="AK179" s="38">
        <f>Inputs!$D$19*(1-Inputs!$C$70*$H179)+Inputs!$D$21+Inputs!$B$70*$J179</f>
        <v>404800</v>
      </c>
      <c r="AL179" s="38">
        <f t="shared" si="109"/>
        <v>-347745.98647322395</v>
      </c>
      <c r="AM179" s="38">
        <f t="shared" si="110"/>
        <v>1</v>
      </c>
      <c r="AN179" s="38">
        <f>MAX(0,MIN(Inputs!$B$36,AS178,AO179+AP179+AQ179+Inputs!$B$6-AR178))</f>
        <v>0</v>
      </c>
      <c r="AO179" s="38">
        <f>Inputs!$B$27*(1+Inputs!$B$28)^($A179/12)*IF(Inputs!$B$71=1,$G179,1)*(1-Inputs!$C$71*$H179*(1-Inputs!$E$54*Inputs!$B$71))*(1+$I179)*IF(Inputs!$B$29=0,1,(MAX(AR178,0)/Inputs!$B$6)^Inputs!$B$29)</f>
        <v>26402.599807473889</v>
      </c>
      <c r="AP179" s="38">
        <f>Inputs!$B$32*AR178/Inputs!$B$6</f>
        <v>0</v>
      </c>
      <c r="AQ179" s="38">
        <f>Inputs!$B$33</f>
        <v>2500</v>
      </c>
      <c r="AR179" s="38">
        <f t="shared" si="111"/>
        <v>0</v>
      </c>
      <c r="AS179" s="38">
        <f t="shared" si="112"/>
        <v>0</v>
      </c>
      <c r="AT179" s="38">
        <f>Inputs!$B$19*(1-Inputs!$C$71*$H179)+Inputs!$B$21+Inputs!$B$71*$J179</f>
        <v>601000</v>
      </c>
      <c r="AU179" s="38">
        <f t="shared" si="113"/>
        <v>-601000</v>
      </c>
      <c r="AV179" s="38">
        <f t="shared" si="114"/>
        <v>1</v>
      </c>
      <c r="AW179" s="38">
        <f>MAX(0,MIN(Inputs!$C$36,BB178,AX179+AY179+AZ179+Inputs!$C$6-BA178))</f>
        <v>0</v>
      </c>
      <c r="AX179" s="38">
        <f>Inputs!$C$27*(1+Inputs!$C$28)^($A179/12)*IF(Inputs!$B$71=1,$G179,1)*(1-Inputs!$C$71*$H179*(1-Inputs!$E$54*Inputs!$B$71))*(1+$I179)*IF(Inputs!$C$29=0,1,(MAX(BA178,0)/Inputs!$C$6)^Inputs!$C$29)</f>
        <v>0</v>
      </c>
      <c r="AY179" s="38">
        <f>Inputs!$C$32*BA178/Inputs!$C$6</f>
        <v>0</v>
      </c>
      <c r="AZ179" s="38">
        <f>Inputs!$C$33</f>
        <v>2000</v>
      </c>
      <c r="BA179" s="38">
        <f t="shared" si="115"/>
        <v>0</v>
      </c>
      <c r="BB179" s="38">
        <f t="shared" si="116"/>
        <v>0</v>
      </c>
      <c r="BC179" s="38">
        <f>Inputs!$C$19*(1-Inputs!$C$71*$H179)+Inputs!$C$21+Inputs!$B$71*$J179</f>
        <v>501000</v>
      </c>
      <c r="BD179" s="38">
        <f t="shared" si="117"/>
        <v>-501000</v>
      </c>
      <c r="BE179" s="38">
        <f t="shared" si="118"/>
        <v>1</v>
      </c>
      <c r="BF179" s="38">
        <f>MAX(0,MIN(Inputs!$D$36,BK178,BG179+BH179+BI179+Inputs!$D$6-BJ178))</f>
        <v>0</v>
      </c>
      <c r="BG179" s="38">
        <f>Inputs!$D$27*(1+Inputs!$D$28)^($A179/12)*IF(Inputs!$B$71=1,$G179,1)*(1-Inputs!$C$71*$H179*(1-Inputs!$E$54*Inputs!$B$71))*(1+$I179)*IF(Inputs!$D$29=0,1,(MAX(BJ178,0)/Inputs!$D$6)^Inputs!$D$29)</f>
        <v>1525.5511261339254</v>
      </c>
      <c r="BH179" s="38">
        <f>Inputs!$D$32*BJ178/Inputs!$D$6</f>
        <v>574.77394871914498</v>
      </c>
      <c r="BI179" s="38">
        <f>Inputs!$D$33</f>
        <v>1500</v>
      </c>
      <c r="BJ179" s="38">
        <f t="shared" si="119"/>
        <v>116828.50227582493</v>
      </c>
      <c r="BK179" s="38">
        <f t="shared" si="120"/>
        <v>0</v>
      </c>
      <c r="BL179" s="38">
        <f>Inputs!$D$19*(1-Inputs!$C$71*$H179)+Inputs!$D$21+Inputs!$B$71*$J179</f>
        <v>410800</v>
      </c>
      <c r="BM179" s="38">
        <f t="shared" si="121"/>
        <v>-293971.4977241751</v>
      </c>
      <c r="BN179" s="38">
        <f t="shared" si="122"/>
        <v>1</v>
      </c>
      <c r="BO179" s="38">
        <f>MAX(0,MIN(Inputs!$B$36,BT178,BP179+BQ179+BR179+Inputs!$B$6-BS178))</f>
        <v>0</v>
      </c>
      <c r="BP179" s="38">
        <f>Inputs!$B$27*(1+Inputs!$B$28)^($A179/12)*IF(Inputs!$B$72=1,$G179,1)*(1-Inputs!$C$72*$H179*(1-Inputs!$E$54*Inputs!$B$72))*(1+$I179)*IF(Inputs!$B$29=0,1,(MAX(BS178,0)/Inputs!$B$6)^Inputs!$B$29)</f>
        <v>28210.827781807904</v>
      </c>
      <c r="BQ179" s="38">
        <f>Inputs!$B$32*BS178/Inputs!$B$6</f>
        <v>0</v>
      </c>
      <c r="BR179" s="38">
        <f>Inputs!$B$33</f>
        <v>2500</v>
      </c>
      <c r="BS179" s="38">
        <f t="shared" si="123"/>
        <v>0</v>
      </c>
      <c r="BT179" s="38">
        <f t="shared" si="124"/>
        <v>0</v>
      </c>
      <c r="BU179" s="38">
        <f>Inputs!$B$19*(1-Inputs!$C$72*$H179)+Inputs!$B$21+Inputs!$B$72*$J179</f>
        <v>577500</v>
      </c>
      <c r="BV179" s="38">
        <f t="shared" si="125"/>
        <v>-577500</v>
      </c>
      <c r="BW179" s="38">
        <f t="shared" si="126"/>
        <v>1</v>
      </c>
      <c r="BX179" s="38">
        <f>MAX(0,MIN(Inputs!$C$36,CC178,BY179+BZ179+CA179+Inputs!$C$6-CB178))</f>
        <v>0</v>
      </c>
      <c r="BY179" s="38">
        <f>Inputs!$C$27*(1+Inputs!$C$28)^($A179/12)*IF(Inputs!$B$72=1,$G179,1)*(1-Inputs!$C$72*$H179*(1-Inputs!$E$54*Inputs!$B$72))*(1+$I179)*IF(Inputs!$C$29=0,1,(MAX(CB178,0)/Inputs!$C$6)^Inputs!$C$29)</f>
        <v>0</v>
      </c>
      <c r="BZ179" s="38">
        <f>Inputs!$C$32*CB178/Inputs!$C$6</f>
        <v>0</v>
      </c>
      <c r="CA179" s="38">
        <f>Inputs!$C$33</f>
        <v>2000</v>
      </c>
      <c r="CB179" s="38">
        <f t="shared" si="127"/>
        <v>0</v>
      </c>
      <c r="CC179" s="38">
        <f t="shared" si="128"/>
        <v>0</v>
      </c>
      <c r="CD179" s="38">
        <f>Inputs!$C$19*(1-Inputs!$C$72*$H179)+Inputs!$C$21+Inputs!$B$72*$J179</f>
        <v>480000</v>
      </c>
      <c r="CE179" s="38">
        <f t="shared" si="129"/>
        <v>-480000</v>
      </c>
      <c r="CF179" s="38">
        <f t="shared" si="130"/>
        <v>1</v>
      </c>
      <c r="CG179" s="38">
        <f>MAX(0,MIN(Inputs!$D$36,CL178,CH179+CI179+CJ179+Inputs!$D$6-CK178))</f>
        <v>0</v>
      </c>
      <c r="CH179" s="38">
        <f>Inputs!$D$27*(1+Inputs!$D$28)^($A179/12)*IF(Inputs!$B$72=1,$G179,1)*(1-Inputs!$C$72*$H179*(1-Inputs!$E$54*Inputs!$B$72))*(1+$I179)*IF(Inputs!$D$29=0,1,(MAX(CK178,0)/Inputs!$D$6)^Inputs!$D$29)</f>
        <v>1437.1214211724694</v>
      </c>
      <c r="CI179" s="38">
        <f>Inputs!$D$32*CK178/Inputs!$D$6</f>
        <v>446.77842669330653</v>
      </c>
      <c r="CJ179" s="38">
        <f>Inputs!$D$33</f>
        <v>1500</v>
      </c>
      <c r="CK179" s="38">
        <f t="shared" si="131"/>
        <v>90226.818125969876</v>
      </c>
      <c r="CL179" s="38">
        <f t="shared" si="132"/>
        <v>0</v>
      </c>
      <c r="CM179" s="38">
        <f>Inputs!$D$19*(1-Inputs!$C$72*$H179)+Inputs!$D$21+Inputs!$B$72*$J179</f>
        <v>392150</v>
      </c>
      <c r="CN179" s="38">
        <f t="shared" si="133"/>
        <v>-301923.18187403015</v>
      </c>
      <c r="CO179" s="38">
        <f t="shared" si="134"/>
        <v>1</v>
      </c>
      <c r="CP179" s="38">
        <f>MAX(0,MIN(Inputs!$B$36,CU178,CQ179+CR179+CS179+Inputs!$B$6-CT178))</f>
        <v>0</v>
      </c>
      <c r="CQ179" s="38">
        <f>Inputs!$B$27*(1+Inputs!$B$28)^($A179/12)*IF(Inputs!$B$73=1,$G179,1)*(1-Inputs!$C$73*$H179*(1-Inputs!$E$54*Inputs!$B$73))*(1+$I179)*IF(Inputs!$B$29=0,1,(MAX(CT178,0)/Inputs!$B$6)^Inputs!$B$29)</f>
        <v>25082.469817100195</v>
      </c>
      <c r="CR179" s="38">
        <f>Inputs!$B$32*CT178/Inputs!$B$6</f>
        <v>0</v>
      </c>
      <c r="CS179" s="38">
        <f>Inputs!$B$33</f>
        <v>2500</v>
      </c>
      <c r="CT179" s="38">
        <f t="shared" si="135"/>
        <v>0</v>
      </c>
      <c r="CU179" s="38">
        <f t="shared" si="136"/>
        <v>0</v>
      </c>
      <c r="CV179" s="38">
        <f>Inputs!$B$19*(1-Inputs!$C$73*$H179)+Inputs!$B$21+Inputs!$B$73*$J179</f>
        <v>583500</v>
      </c>
      <c r="CW179" s="38">
        <f t="shared" si="137"/>
        <v>-583500</v>
      </c>
      <c r="CX179" s="38">
        <f t="shared" si="138"/>
        <v>1</v>
      </c>
      <c r="CY179" s="38">
        <f>MAX(0,MIN(Inputs!$C$36,DD178,CZ179+DA179+DB179+Inputs!$C$6-DC178))</f>
        <v>0</v>
      </c>
      <c r="CZ179" s="38">
        <f>Inputs!$C$27*(1+Inputs!$C$28)^($A179/12)*IF(Inputs!$B$73=1,$G179,1)*(1-Inputs!$C$73*$H179*(1-Inputs!$E$54*Inputs!$B$73))*(1+$I179)*IF(Inputs!$C$29=0,1,(MAX(DC178,0)/Inputs!$C$6)^Inputs!$C$29)</f>
        <v>0</v>
      </c>
      <c r="DA179" s="38">
        <f>Inputs!$C$32*DC178/Inputs!$C$6</f>
        <v>0</v>
      </c>
      <c r="DB179" s="38">
        <f>Inputs!$C$33</f>
        <v>2000</v>
      </c>
      <c r="DC179" s="38">
        <f t="shared" si="139"/>
        <v>0</v>
      </c>
      <c r="DD179" s="38">
        <f t="shared" si="140"/>
        <v>0</v>
      </c>
      <c r="DE179" s="38">
        <f>Inputs!$C$19*(1-Inputs!$C$73*$H179)+Inputs!$C$21+Inputs!$B$73*$J179</f>
        <v>486000</v>
      </c>
      <c r="DF179" s="38">
        <f t="shared" si="141"/>
        <v>-486000</v>
      </c>
      <c r="DG179" s="38">
        <f t="shared" si="142"/>
        <v>1</v>
      </c>
      <c r="DH179" s="38">
        <f>MAX(0,MIN(Inputs!$D$36,DM178,DI179+DJ179+DK179+Inputs!$D$6-DL178))</f>
        <v>0</v>
      </c>
      <c r="DI179" s="38">
        <f>Inputs!$D$27*(1+Inputs!$D$28)^($A179/12)*IF(Inputs!$B$73=1,$G179,1)*(1-Inputs!$C$73*$H179*(1-Inputs!$E$54*Inputs!$B$73))*(1+$I179)*IF(Inputs!$D$29=0,1,(MAX(DL178,0)/Inputs!$D$6)^Inputs!$D$29)</f>
        <v>1548.9235221582369</v>
      </c>
      <c r="DJ179" s="38">
        <f>Inputs!$D$32*DL178/Inputs!$D$6</f>
        <v>656.53257869701156</v>
      </c>
      <c r="DK179" s="38">
        <f>Inputs!$D$33</f>
        <v>1500</v>
      </c>
      <c r="DL179" s="38">
        <f t="shared" si="143"/>
        <v>133853.75086423289</v>
      </c>
      <c r="DM179" s="38">
        <f t="shared" si="144"/>
        <v>0</v>
      </c>
      <c r="DN179" s="38">
        <f>Inputs!$D$19*(1-Inputs!$C$73*$H179)+Inputs!$D$21+Inputs!$B$73*$J179</f>
        <v>398150</v>
      </c>
      <c r="DO179" s="38">
        <f t="shared" si="145"/>
        <v>-264296.24913576711</v>
      </c>
      <c r="DP179" s="38">
        <f t="shared" si="146"/>
        <v>1</v>
      </c>
    </row>
    <row r="180" spans="1:120" x14ac:dyDescent="0.35">
      <c r="A180" s="29">
        <v>175</v>
      </c>
      <c r="B180" s="34">
        <f>EDATE(Inputs!$B$67,$A180)</f>
        <v>51592</v>
      </c>
      <c r="C180" s="35">
        <f>IF(Inputs!$E$47&lt;=0,Inputs!$E$46,Inputs!$E$44+(Inputs!$E$46-Inputs!$E$44)*MIN($A180/Inputs!$E$47,1))</f>
        <v>0.7</v>
      </c>
      <c r="D180" s="35">
        <f>MIN(Inputs!$E$57,Inputs!$E$55*(1+Inputs!$E$56)^($A180/12))*Inputs!$E$58*(1+Inputs!$E$59)^($A180/12)/Inputs!$E$45</f>
        <v>1.5</v>
      </c>
      <c r="E180" s="35">
        <f>MAX(Inputs!$E$44,MIN(C180,D180))</f>
        <v>0.7</v>
      </c>
      <c r="F180" s="35">
        <f>IF(Inputs!$E$50&lt;=0,Inputs!$E$49,Inputs!$E$48+(Inputs!$E$49-Inputs!$E$48)*MIN($A180/Inputs!$E$50,1))</f>
        <v>0.12</v>
      </c>
      <c r="G180" s="36">
        <f>(Inputs!$E$41*(1-E180*Inputs!$E$51)+Inputs!$E$42*(1-F180*Inputs!$E$51))/(Inputs!$E$41*(1-Inputs!$E$44*Inputs!$E$51)+Inputs!$E$42*(1-Inputs!$E$48*Inputs!$E$51))</f>
        <v>0.8423127463863338</v>
      </c>
      <c r="H180" s="35">
        <f>IF(Inputs!$E$53&lt;=0,Inputs!$E$52,Inputs!$E$52*MIN($A180/Inputs!$E$53,1))</f>
        <v>0.1</v>
      </c>
      <c r="I180" s="35">
        <f>IF(Inputs!$E$64&lt;=0,Inputs!$E$63,Inputs!$E$62+(Inputs!$E$63-Inputs!$E$62)*MIN($A180/Inputs!$E$64,1))</f>
        <v>0.03</v>
      </c>
      <c r="J180" s="37">
        <f>(E180-Inputs!$E$44)*Inputs!$E$45/Inputs!$E$60*Inputs!$E$61</f>
        <v>5999.9999999999991</v>
      </c>
      <c r="K180" s="29">
        <f t="shared" si="98"/>
        <v>0</v>
      </c>
      <c r="L180" s="29"/>
      <c r="M180" s="38">
        <f>MAX(0,MIN(Inputs!$B$36,R179,N180+O180+P180+Inputs!$B$6-Q179))</f>
        <v>0</v>
      </c>
      <c r="N180" s="38">
        <f>Inputs!$B$27*(1+Inputs!$B$28)^($A180/12)*IF(Inputs!$B$70=1,$G180,1)*(1-Inputs!$C$70*$H180*(1-Inputs!$E$54*Inputs!$B$70))*(1+$I180)*IF(Inputs!$B$29=0,1,(MAX(Q179,0)/Inputs!$B$6)^Inputs!$B$29)</f>
        <v>31473.069095811305</v>
      </c>
      <c r="O180" s="38">
        <f>Inputs!$B$32*Q179/Inputs!$B$6</f>
        <v>0</v>
      </c>
      <c r="P180" s="38">
        <f>Inputs!$B$33</f>
        <v>2500</v>
      </c>
      <c r="Q180" s="38">
        <f t="shared" si="99"/>
        <v>0</v>
      </c>
      <c r="R180" s="38">
        <f t="shared" si="100"/>
        <v>0</v>
      </c>
      <c r="S180" s="38">
        <f>Inputs!$B$19*(1-Inputs!$C$70*$H180)+Inputs!$B$21+Inputs!$B$70*$J180</f>
        <v>595000</v>
      </c>
      <c r="T180" s="38">
        <f t="shared" si="101"/>
        <v>-595000</v>
      </c>
      <c r="U180" s="38">
        <f t="shared" si="102"/>
        <v>1</v>
      </c>
      <c r="V180" s="38">
        <f>MAX(0,MIN(Inputs!$C$36,AA179,W180+X180+Y180+Inputs!$C$6-Z179))</f>
        <v>0</v>
      </c>
      <c r="W180" s="38">
        <f>Inputs!$C$27*(1+Inputs!$C$28)^($A180/12)*IF(Inputs!$B$70=1,$G180,1)*(1-Inputs!$C$70*$H180*(1-Inputs!$E$54*Inputs!$B$70))*(1+$I180)*IF(Inputs!$C$29=0,1,(MAX(Z179,0)/Inputs!$C$6)^Inputs!$C$29)</f>
        <v>0</v>
      </c>
      <c r="X180" s="38">
        <f>Inputs!$C$32*Z179/Inputs!$C$6</f>
        <v>0</v>
      </c>
      <c r="Y180" s="38">
        <f>Inputs!$C$33</f>
        <v>2000</v>
      </c>
      <c r="Z180" s="38">
        <f t="shared" si="103"/>
        <v>0</v>
      </c>
      <c r="AA180" s="38">
        <f t="shared" si="104"/>
        <v>0</v>
      </c>
      <c r="AB180" s="38">
        <f>Inputs!$C$19*(1-Inputs!$C$70*$H180)+Inputs!$C$21+Inputs!$B$70*$J180</f>
        <v>495000</v>
      </c>
      <c r="AC180" s="38">
        <f t="shared" si="105"/>
        <v>-495000</v>
      </c>
      <c r="AD180" s="38">
        <f t="shared" si="106"/>
        <v>1</v>
      </c>
      <c r="AE180" s="38">
        <f>MAX(0,MIN(Inputs!$D$36,AJ179,AF180+AG180+AH180+Inputs!$D$6-AI179))</f>
        <v>0</v>
      </c>
      <c r="AF180" s="38">
        <f>Inputs!$D$27*(1+Inputs!$D$28)^($A180/12)*IF(Inputs!$B$70=1,$G180,1)*(1-Inputs!$C$70*$H180*(1-Inputs!$E$54*Inputs!$B$70))*(1+$I180)*IF(Inputs!$D$29=0,1,(MAX(AI179,0)/Inputs!$D$6)^Inputs!$D$29)</f>
        <v>1241.2946954120418</v>
      </c>
      <c r="AG180" s="38">
        <f>Inputs!$D$32*AI179/Inputs!$D$6</f>
        <v>272.30324637779484</v>
      </c>
      <c r="AH180" s="38">
        <f>Inputs!$D$33</f>
        <v>1500</v>
      </c>
      <c r="AI180" s="38">
        <f t="shared" si="107"/>
        <v>54040.415584986222</v>
      </c>
      <c r="AJ180" s="38">
        <f t="shared" si="108"/>
        <v>0</v>
      </c>
      <c r="AK180" s="38">
        <f>Inputs!$D$19*(1-Inputs!$C$70*$H180)+Inputs!$D$21+Inputs!$B$70*$J180</f>
        <v>404800</v>
      </c>
      <c r="AL180" s="38">
        <f t="shared" si="109"/>
        <v>-350759.58441501379</v>
      </c>
      <c r="AM180" s="38">
        <f t="shared" si="110"/>
        <v>1</v>
      </c>
      <c r="AN180" s="38">
        <f>MAX(0,MIN(Inputs!$B$36,AS179,AO180+AP180+AQ180+Inputs!$B$6-AR179))</f>
        <v>0</v>
      </c>
      <c r="AO180" s="38">
        <f>Inputs!$B$27*(1+Inputs!$B$28)^($A180/12)*IF(Inputs!$B$71=1,$G180,1)*(1-Inputs!$C$71*$H180*(1-Inputs!$E$54*Inputs!$B$71))*(1+$I180)*IF(Inputs!$B$29=0,1,(MAX(AR179,0)/Inputs!$B$6)^Inputs!$B$29)</f>
        <v>26510.167267299665</v>
      </c>
      <c r="AP180" s="38">
        <f>Inputs!$B$32*AR179/Inputs!$B$6</f>
        <v>0</v>
      </c>
      <c r="AQ180" s="38">
        <f>Inputs!$B$33</f>
        <v>2500</v>
      </c>
      <c r="AR180" s="38">
        <f t="shared" si="111"/>
        <v>0</v>
      </c>
      <c r="AS180" s="38">
        <f t="shared" si="112"/>
        <v>0</v>
      </c>
      <c r="AT180" s="38">
        <f>Inputs!$B$19*(1-Inputs!$C$71*$H180)+Inputs!$B$21+Inputs!$B$71*$J180</f>
        <v>601000</v>
      </c>
      <c r="AU180" s="38">
        <f t="shared" si="113"/>
        <v>-601000</v>
      </c>
      <c r="AV180" s="38">
        <f t="shared" si="114"/>
        <v>1</v>
      </c>
      <c r="AW180" s="38">
        <f>MAX(0,MIN(Inputs!$C$36,BB179,AX180+AY180+AZ180+Inputs!$C$6-BA179))</f>
        <v>0</v>
      </c>
      <c r="AX180" s="38">
        <f>Inputs!$C$27*(1+Inputs!$C$28)^($A180/12)*IF(Inputs!$B$71=1,$G180,1)*(1-Inputs!$C$71*$H180*(1-Inputs!$E$54*Inputs!$B$71))*(1+$I180)*IF(Inputs!$C$29=0,1,(MAX(BA179,0)/Inputs!$C$6)^Inputs!$C$29)</f>
        <v>0</v>
      </c>
      <c r="AY180" s="38">
        <f>Inputs!$C$32*BA179/Inputs!$C$6</f>
        <v>0</v>
      </c>
      <c r="AZ180" s="38">
        <f>Inputs!$C$33</f>
        <v>2000</v>
      </c>
      <c r="BA180" s="38">
        <f t="shared" si="115"/>
        <v>0</v>
      </c>
      <c r="BB180" s="38">
        <f t="shared" si="116"/>
        <v>0</v>
      </c>
      <c r="BC180" s="38">
        <f>Inputs!$C$19*(1-Inputs!$C$71*$H180)+Inputs!$C$21+Inputs!$B$71*$J180</f>
        <v>501000</v>
      </c>
      <c r="BD180" s="38">
        <f t="shared" si="117"/>
        <v>-501000</v>
      </c>
      <c r="BE180" s="38">
        <f t="shared" si="118"/>
        <v>1</v>
      </c>
      <c r="BF180" s="38">
        <f>MAX(0,MIN(Inputs!$D$36,BK179,BG180+BH180+BI180+Inputs!$D$6-BJ179))</f>
        <v>0</v>
      </c>
      <c r="BG180" s="38">
        <f>Inputs!$D$27*(1+Inputs!$D$28)^($A180/12)*IF(Inputs!$B$71=1,$G180,1)*(1-Inputs!$C$71*$H180*(1-Inputs!$E$54*Inputs!$B$71))*(1+$I180)*IF(Inputs!$D$29=0,1,(MAX(BJ179,0)/Inputs!$D$6)^Inputs!$D$29)</f>
        <v>1496.1652941929717</v>
      </c>
      <c r="BH180" s="38">
        <f>Inputs!$D$32*BJ179/Inputs!$D$6</f>
        <v>557.59057904370991</v>
      </c>
      <c r="BI180" s="38">
        <f>Inputs!$D$33</f>
        <v>1500</v>
      </c>
      <c r="BJ180" s="38">
        <f t="shared" si="119"/>
        <v>113274.74640258824</v>
      </c>
      <c r="BK180" s="38">
        <f t="shared" si="120"/>
        <v>0</v>
      </c>
      <c r="BL180" s="38">
        <f>Inputs!$D$19*(1-Inputs!$C$71*$H180)+Inputs!$D$21+Inputs!$B$71*$J180</f>
        <v>410800</v>
      </c>
      <c r="BM180" s="38">
        <f t="shared" si="121"/>
        <v>-297525.25359741179</v>
      </c>
      <c r="BN180" s="38">
        <f t="shared" si="122"/>
        <v>1</v>
      </c>
      <c r="BO180" s="38">
        <f>MAX(0,MIN(Inputs!$B$36,BT179,BP180+BQ180+BR180+Inputs!$B$6-BS179))</f>
        <v>0</v>
      </c>
      <c r="BP180" s="38">
        <f>Inputs!$B$27*(1+Inputs!$B$28)^($A180/12)*IF(Inputs!$B$72=1,$G180,1)*(1-Inputs!$C$72*$H180*(1-Inputs!$E$54*Inputs!$B$72))*(1+$I180)*IF(Inputs!$B$29=0,1,(MAX(BS179,0)/Inputs!$B$6)^Inputs!$B$29)</f>
        <v>28325.762186230175</v>
      </c>
      <c r="BQ180" s="38">
        <f>Inputs!$B$32*BS179/Inputs!$B$6</f>
        <v>0</v>
      </c>
      <c r="BR180" s="38">
        <f>Inputs!$B$33</f>
        <v>2500</v>
      </c>
      <c r="BS180" s="38">
        <f t="shared" si="123"/>
        <v>0</v>
      </c>
      <c r="BT180" s="38">
        <f t="shared" si="124"/>
        <v>0</v>
      </c>
      <c r="BU180" s="38">
        <f>Inputs!$B$19*(1-Inputs!$C$72*$H180)+Inputs!$B$21+Inputs!$B$72*$J180</f>
        <v>577500</v>
      </c>
      <c r="BV180" s="38">
        <f t="shared" si="125"/>
        <v>-577500</v>
      </c>
      <c r="BW180" s="38">
        <f t="shared" si="126"/>
        <v>1</v>
      </c>
      <c r="BX180" s="38">
        <f>MAX(0,MIN(Inputs!$C$36,CC179,BY180+BZ180+CA180+Inputs!$C$6-CB179))</f>
        <v>0</v>
      </c>
      <c r="BY180" s="38">
        <f>Inputs!$C$27*(1+Inputs!$C$28)^($A180/12)*IF(Inputs!$B$72=1,$G180,1)*(1-Inputs!$C$72*$H180*(1-Inputs!$E$54*Inputs!$B$72))*(1+$I180)*IF(Inputs!$C$29=0,1,(MAX(CB179,0)/Inputs!$C$6)^Inputs!$C$29)</f>
        <v>0</v>
      </c>
      <c r="BZ180" s="38">
        <f>Inputs!$C$32*CB179/Inputs!$C$6</f>
        <v>0</v>
      </c>
      <c r="CA180" s="38">
        <f>Inputs!$C$33</f>
        <v>2000</v>
      </c>
      <c r="CB180" s="38">
        <f t="shared" si="127"/>
        <v>0</v>
      </c>
      <c r="CC180" s="38">
        <f t="shared" si="128"/>
        <v>0</v>
      </c>
      <c r="CD180" s="38">
        <f>Inputs!$C$19*(1-Inputs!$C$72*$H180)+Inputs!$C$21+Inputs!$B$72*$J180</f>
        <v>480000</v>
      </c>
      <c r="CE180" s="38">
        <f t="shared" si="129"/>
        <v>-480000</v>
      </c>
      <c r="CF180" s="38">
        <f t="shared" si="130"/>
        <v>1</v>
      </c>
      <c r="CG180" s="38">
        <f>MAX(0,MIN(Inputs!$D$36,CL179,CH180+CI180+CJ180+Inputs!$D$6-CK179))</f>
        <v>0</v>
      </c>
      <c r="CH180" s="38">
        <f>Inputs!$D$27*(1+Inputs!$D$28)^($A180/12)*IF(Inputs!$B$72=1,$G180,1)*(1-Inputs!$C$72*$H180*(1-Inputs!$E$54*Inputs!$B$72))*(1+$I180)*IF(Inputs!$D$29=0,1,(MAX(CK179,0)/Inputs!$D$6)^Inputs!$D$29)</f>
        <v>1404.8893801505305</v>
      </c>
      <c r="CI180" s="38">
        <f>Inputs!$D$32*CK179/Inputs!$D$6</f>
        <v>430.62799560121988</v>
      </c>
      <c r="CJ180" s="38">
        <f>Inputs!$D$33</f>
        <v>1500</v>
      </c>
      <c r="CK180" s="38">
        <f t="shared" si="131"/>
        <v>86891.300750218128</v>
      </c>
      <c r="CL180" s="38">
        <f t="shared" si="132"/>
        <v>0</v>
      </c>
      <c r="CM180" s="38">
        <f>Inputs!$D$19*(1-Inputs!$C$72*$H180)+Inputs!$D$21+Inputs!$B$72*$J180</f>
        <v>392150</v>
      </c>
      <c r="CN180" s="38">
        <f t="shared" si="133"/>
        <v>-305258.6992497819</v>
      </c>
      <c r="CO180" s="38">
        <f t="shared" si="134"/>
        <v>1</v>
      </c>
      <c r="CP180" s="38">
        <f>MAX(0,MIN(Inputs!$B$36,CU179,CQ180+CR180+CS180+Inputs!$B$6-CT179))</f>
        <v>0</v>
      </c>
      <c r="CQ180" s="38">
        <f>Inputs!$B$27*(1+Inputs!$B$28)^($A180/12)*IF(Inputs!$B$73=1,$G180,1)*(1-Inputs!$C$73*$H180*(1-Inputs!$E$54*Inputs!$B$73))*(1+$I180)*IF(Inputs!$B$29=0,1,(MAX(CT179,0)/Inputs!$B$6)^Inputs!$B$29)</f>
        <v>25184.65890393468</v>
      </c>
      <c r="CR180" s="38">
        <f>Inputs!$B$32*CT179/Inputs!$B$6</f>
        <v>0</v>
      </c>
      <c r="CS180" s="38">
        <f>Inputs!$B$33</f>
        <v>2500</v>
      </c>
      <c r="CT180" s="38">
        <f t="shared" si="135"/>
        <v>0</v>
      </c>
      <c r="CU180" s="38">
        <f t="shared" si="136"/>
        <v>0</v>
      </c>
      <c r="CV180" s="38">
        <f>Inputs!$B$19*(1-Inputs!$C$73*$H180)+Inputs!$B$21+Inputs!$B$73*$J180</f>
        <v>583500</v>
      </c>
      <c r="CW180" s="38">
        <f t="shared" si="137"/>
        <v>-583500</v>
      </c>
      <c r="CX180" s="38">
        <f t="shared" si="138"/>
        <v>1</v>
      </c>
      <c r="CY180" s="38">
        <f>MAX(0,MIN(Inputs!$C$36,DD179,CZ180+DA180+DB180+Inputs!$C$6-DC179))</f>
        <v>0</v>
      </c>
      <c r="CZ180" s="38">
        <f>Inputs!$C$27*(1+Inputs!$C$28)^($A180/12)*IF(Inputs!$B$73=1,$G180,1)*(1-Inputs!$C$73*$H180*(1-Inputs!$E$54*Inputs!$B$73))*(1+$I180)*IF(Inputs!$C$29=0,1,(MAX(DC179,0)/Inputs!$C$6)^Inputs!$C$29)</f>
        <v>0</v>
      </c>
      <c r="DA180" s="38">
        <f>Inputs!$C$32*DC179/Inputs!$C$6</f>
        <v>0</v>
      </c>
      <c r="DB180" s="38">
        <f>Inputs!$C$33</f>
        <v>2000</v>
      </c>
      <c r="DC180" s="38">
        <f t="shared" si="139"/>
        <v>0</v>
      </c>
      <c r="DD180" s="38">
        <f t="shared" si="140"/>
        <v>0</v>
      </c>
      <c r="DE180" s="38">
        <f>Inputs!$C$19*(1-Inputs!$C$73*$H180)+Inputs!$C$21+Inputs!$B$73*$J180</f>
        <v>486000</v>
      </c>
      <c r="DF180" s="38">
        <f t="shared" si="141"/>
        <v>-486000</v>
      </c>
      <c r="DG180" s="38">
        <f t="shared" si="142"/>
        <v>1</v>
      </c>
      <c r="DH180" s="38">
        <f>MAX(0,MIN(Inputs!$D$36,DM179,DI180+DJ180+DK180+Inputs!$D$6-DL179))</f>
        <v>0</v>
      </c>
      <c r="DI180" s="38">
        <f>Inputs!$D$27*(1+Inputs!$D$28)^($A180/12)*IF(Inputs!$B$73=1,$G180,1)*(1-Inputs!$C$73*$H180*(1-Inputs!$E$54*Inputs!$B$73))*(1+$I180)*IF(Inputs!$D$29=0,1,(MAX(DL179,0)/Inputs!$D$6)^Inputs!$D$29)</f>
        <v>1521.4022349454983</v>
      </c>
      <c r="DJ180" s="38">
        <f>Inputs!$D$32*DL179/Inputs!$D$6</f>
        <v>638.8474473065661</v>
      </c>
      <c r="DK180" s="38">
        <f>Inputs!$D$33</f>
        <v>1500</v>
      </c>
      <c r="DL180" s="38">
        <f t="shared" si="143"/>
        <v>130193.50118198083</v>
      </c>
      <c r="DM180" s="38">
        <f t="shared" si="144"/>
        <v>0</v>
      </c>
      <c r="DN180" s="38">
        <f>Inputs!$D$19*(1-Inputs!$C$73*$H180)+Inputs!$D$21+Inputs!$B$73*$J180</f>
        <v>398150</v>
      </c>
      <c r="DO180" s="38">
        <f t="shared" si="145"/>
        <v>-267956.49881801917</v>
      </c>
      <c r="DP180" s="38">
        <f t="shared" si="146"/>
        <v>1</v>
      </c>
    </row>
    <row r="181" spans="1:120" x14ac:dyDescent="0.35">
      <c r="A181" s="29">
        <v>176</v>
      </c>
      <c r="B181" s="34">
        <f>EDATE(Inputs!$B$67,$A181)</f>
        <v>51622</v>
      </c>
      <c r="C181" s="35">
        <f>IF(Inputs!$E$47&lt;=0,Inputs!$E$46,Inputs!$E$44+(Inputs!$E$46-Inputs!$E$44)*MIN($A181/Inputs!$E$47,1))</f>
        <v>0.7</v>
      </c>
      <c r="D181" s="35">
        <f>MIN(Inputs!$E$57,Inputs!$E$55*(1+Inputs!$E$56)^($A181/12))*Inputs!$E$58*(1+Inputs!$E$59)^($A181/12)/Inputs!$E$45</f>
        <v>1.5</v>
      </c>
      <c r="E181" s="35">
        <f>MAX(Inputs!$E$44,MIN(C181,D181))</f>
        <v>0.7</v>
      </c>
      <c r="F181" s="35">
        <f>IF(Inputs!$E$50&lt;=0,Inputs!$E$49,Inputs!$E$48+(Inputs!$E$49-Inputs!$E$48)*MIN($A181/Inputs!$E$50,1))</f>
        <v>0.12</v>
      </c>
      <c r="G181" s="36">
        <f>(Inputs!$E$41*(1-E181*Inputs!$E$51)+Inputs!$E$42*(1-F181*Inputs!$E$51))/(Inputs!$E$41*(1-Inputs!$E$44*Inputs!$E$51)+Inputs!$E$42*(1-Inputs!$E$48*Inputs!$E$51))</f>
        <v>0.8423127463863338</v>
      </c>
      <c r="H181" s="35">
        <f>IF(Inputs!$E$53&lt;=0,Inputs!$E$52,Inputs!$E$52*MIN($A181/Inputs!$E$53,1))</f>
        <v>0.1</v>
      </c>
      <c r="I181" s="35">
        <f>IF(Inputs!$E$64&lt;=0,Inputs!$E$63,Inputs!$E$62+(Inputs!$E$63-Inputs!$E$62)*MIN($A181/Inputs!$E$64,1))</f>
        <v>0.03</v>
      </c>
      <c r="J181" s="37">
        <f>(E181-Inputs!$E$44)*Inputs!$E$45/Inputs!$E$60*Inputs!$E$61</f>
        <v>5999.9999999999991</v>
      </c>
      <c r="K181" s="29">
        <f t="shared" si="98"/>
        <v>0</v>
      </c>
      <c r="L181" s="29"/>
      <c r="M181" s="38">
        <f>MAX(0,MIN(Inputs!$B$36,R180,N181+O181+P181+Inputs!$B$6-Q180))</f>
        <v>0</v>
      </c>
      <c r="N181" s="38">
        <f>Inputs!$B$27*(1+Inputs!$B$28)^($A181/12)*IF(Inputs!$B$70=1,$G181,1)*(1-Inputs!$C$70*$H181*(1-Inputs!$E$54*Inputs!$B$70))*(1+$I181)*IF(Inputs!$B$29=0,1,(MAX(Q180,0)/Inputs!$B$6)^Inputs!$B$29)</f>
        <v>31601.294275158951</v>
      </c>
      <c r="O181" s="38">
        <f>Inputs!$B$32*Q180/Inputs!$B$6</f>
        <v>0</v>
      </c>
      <c r="P181" s="38">
        <f>Inputs!$B$33</f>
        <v>2500</v>
      </c>
      <c r="Q181" s="38">
        <f t="shared" si="99"/>
        <v>0</v>
      </c>
      <c r="R181" s="38">
        <f t="shared" si="100"/>
        <v>0</v>
      </c>
      <c r="S181" s="38">
        <f>Inputs!$B$19*(1-Inputs!$C$70*$H181)+Inputs!$B$21+Inputs!$B$70*$J181</f>
        <v>595000</v>
      </c>
      <c r="T181" s="38">
        <f t="shared" si="101"/>
        <v>-595000</v>
      </c>
      <c r="U181" s="38">
        <f t="shared" si="102"/>
        <v>1</v>
      </c>
      <c r="V181" s="38">
        <f>MAX(0,MIN(Inputs!$C$36,AA180,W181+X181+Y181+Inputs!$C$6-Z180))</f>
        <v>0</v>
      </c>
      <c r="W181" s="38">
        <f>Inputs!$C$27*(1+Inputs!$C$28)^($A181/12)*IF(Inputs!$B$70=1,$G181,1)*(1-Inputs!$C$70*$H181*(1-Inputs!$E$54*Inputs!$B$70))*(1+$I181)*IF(Inputs!$C$29=0,1,(MAX(Z180,0)/Inputs!$C$6)^Inputs!$C$29)</f>
        <v>0</v>
      </c>
      <c r="X181" s="38">
        <f>Inputs!$C$32*Z180/Inputs!$C$6</f>
        <v>0</v>
      </c>
      <c r="Y181" s="38">
        <f>Inputs!$C$33</f>
        <v>2000</v>
      </c>
      <c r="Z181" s="38">
        <f t="shared" si="103"/>
        <v>0</v>
      </c>
      <c r="AA181" s="38">
        <f t="shared" si="104"/>
        <v>0</v>
      </c>
      <c r="AB181" s="38">
        <f>Inputs!$C$19*(1-Inputs!$C$70*$H181)+Inputs!$C$21+Inputs!$B$70*$J181</f>
        <v>495000</v>
      </c>
      <c r="AC181" s="38">
        <f t="shared" si="105"/>
        <v>-495000</v>
      </c>
      <c r="AD181" s="38">
        <f t="shared" si="106"/>
        <v>1</v>
      </c>
      <c r="AE181" s="38">
        <f>MAX(0,MIN(Inputs!$D$36,AJ180,AF181+AG181+AH181+Inputs!$D$6-AI180))</f>
        <v>0</v>
      </c>
      <c r="AF181" s="38">
        <f>Inputs!$D$27*(1+Inputs!$D$28)^($A181/12)*IF(Inputs!$B$70=1,$G181,1)*(1-Inputs!$C$70*$H181*(1-Inputs!$E$54*Inputs!$B$70))*(1+$I181)*IF(Inputs!$D$29=0,1,(MAX(AI180,0)/Inputs!$D$6)^Inputs!$D$29)</f>
        <v>1202.9145361193741</v>
      </c>
      <c r="AG181" s="38">
        <f>Inputs!$D$32*AI180/Inputs!$D$6</f>
        <v>257.92016529197969</v>
      </c>
      <c r="AH181" s="38">
        <f>Inputs!$D$33</f>
        <v>1500</v>
      </c>
      <c r="AI181" s="38">
        <f t="shared" si="107"/>
        <v>51079.580883574868</v>
      </c>
      <c r="AJ181" s="38">
        <f t="shared" si="108"/>
        <v>0</v>
      </c>
      <c r="AK181" s="38">
        <f>Inputs!$D$19*(1-Inputs!$C$70*$H181)+Inputs!$D$21+Inputs!$B$70*$J181</f>
        <v>404800</v>
      </c>
      <c r="AL181" s="38">
        <f t="shared" si="109"/>
        <v>-353720.41911642515</v>
      </c>
      <c r="AM181" s="38">
        <f t="shared" si="110"/>
        <v>1</v>
      </c>
      <c r="AN181" s="38">
        <f>MAX(0,MIN(Inputs!$B$36,AS180,AO181+AP181+AQ181+Inputs!$B$6-AR180))</f>
        <v>0</v>
      </c>
      <c r="AO181" s="38">
        <f>Inputs!$B$27*(1+Inputs!$B$28)^($A181/12)*IF(Inputs!$B$71=1,$G181,1)*(1-Inputs!$C$71*$H181*(1-Inputs!$E$54*Inputs!$B$71))*(1+$I181)*IF(Inputs!$B$29=0,1,(MAX(AR180,0)/Inputs!$B$6)^Inputs!$B$29)</f>
        <v>26618.172970271862</v>
      </c>
      <c r="AP181" s="38">
        <f>Inputs!$B$32*AR180/Inputs!$B$6</f>
        <v>0</v>
      </c>
      <c r="AQ181" s="38">
        <f>Inputs!$B$33</f>
        <v>2500</v>
      </c>
      <c r="AR181" s="38">
        <f t="shared" si="111"/>
        <v>0</v>
      </c>
      <c r="AS181" s="38">
        <f t="shared" si="112"/>
        <v>0</v>
      </c>
      <c r="AT181" s="38">
        <f>Inputs!$B$19*(1-Inputs!$C$71*$H181)+Inputs!$B$21+Inputs!$B$71*$J181</f>
        <v>601000</v>
      </c>
      <c r="AU181" s="38">
        <f t="shared" si="113"/>
        <v>-601000</v>
      </c>
      <c r="AV181" s="38">
        <f t="shared" si="114"/>
        <v>1</v>
      </c>
      <c r="AW181" s="38">
        <f>MAX(0,MIN(Inputs!$C$36,BB180,AX181+AY181+AZ181+Inputs!$C$6-BA180))</f>
        <v>0</v>
      </c>
      <c r="AX181" s="38">
        <f>Inputs!$C$27*(1+Inputs!$C$28)^($A181/12)*IF(Inputs!$B$71=1,$G181,1)*(1-Inputs!$C$71*$H181*(1-Inputs!$E$54*Inputs!$B$71))*(1+$I181)*IF(Inputs!$C$29=0,1,(MAX(BA180,0)/Inputs!$C$6)^Inputs!$C$29)</f>
        <v>0</v>
      </c>
      <c r="AY181" s="38">
        <f>Inputs!$C$32*BA180/Inputs!$C$6</f>
        <v>0</v>
      </c>
      <c r="AZ181" s="38">
        <f>Inputs!$C$33</f>
        <v>2000</v>
      </c>
      <c r="BA181" s="38">
        <f t="shared" si="115"/>
        <v>0</v>
      </c>
      <c r="BB181" s="38">
        <f t="shared" si="116"/>
        <v>0</v>
      </c>
      <c r="BC181" s="38">
        <f>Inputs!$C$19*(1-Inputs!$C$71*$H181)+Inputs!$C$21+Inputs!$B$71*$J181</f>
        <v>501000</v>
      </c>
      <c r="BD181" s="38">
        <f t="shared" si="117"/>
        <v>-501000</v>
      </c>
      <c r="BE181" s="38">
        <f t="shared" si="118"/>
        <v>1</v>
      </c>
      <c r="BF181" s="38">
        <f>MAX(0,MIN(Inputs!$D$36,BK180,BG181+BH181+BI181+Inputs!$D$6-BJ180))</f>
        <v>0</v>
      </c>
      <c r="BG181" s="38">
        <f>Inputs!$D$27*(1+Inputs!$D$28)^($A181/12)*IF(Inputs!$B$71=1,$G181,1)*(1-Inputs!$C$71*$H181*(1-Inputs!$E$54*Inputs!$B$71))*(1+$I181)*IF(Inputs!$D$29=0,1,(MAX(BJ180,0)/Inputs!$D$6)^Inputs!$D$29)</f>
        <v>1466.9501467112004</v>
      </c>
      <c r="BH181" s="38">
        <f>Inputs!$D$32*BJ180/Inputs!$D$6</f>
        <v>540.62947146689839</v>
      </c>
      <c r="BI181" s="38">
        <f>Inputs!$D$33</f>
        <v>1500</v>
      </c>
      <c r="BJ181" s="38">
        <f t="shared" si="119"/>
        <v>109767.16678441013</v>
      </c>
      <c r="BK181" s="38">
        <f t="shared" si="120"/>
        <v>0</v>
      </c>
      <c r="BL181" s="38">
        <f>Inputs!$D$19*(1-Inputs!$C$71*$H181)+Inputs!$D$21+Inputs!$B$71*$J181</f>
        <v>410800</v>
      </c>
      <c r="BM181" s="38">
        <f t="shared" si="121"/>
        <v>-301032.83321558987</v>
      </c>
      <c r="BN181" s="38">
        <f t="shared" si="122"/>
        <v>1</v>
      </c>
      <c r="BO181" s="38">
        <f>MAX(0,MIN(Inputs!$B$36,BT180,BP181+BQ181+BR181+Inputs!$B$6-BS180))</f>
        <v>0</v>
      </c>
      <c r="BP181" s="38">
        <f>Inputs!$B$27*(1+Inputs!$B$28)^($A181/12)*IF(Inputs!$B$72=1,$G181,1)*(1-Inputs!$C$72*$H181*(1-Inputs!$E$54*Inputs!$B$72))*(1+$I181)*IF(Inputs!$B$29=0,1,(MAX(BS180,0)/Inputs!$B$6)^Inputs!$B$29)</f>
        <v>28441.164847643056</v>
      </c>
      <c r="BQ181" s="38">
        <f>Inputs!$B$32*BS180/Inputs!$B$6</f>
        <v>0</v>
      </c>
      <c r="BR181" s="38">
        <f>Inputs!$B$33</f>
        <v>2500</v>
      </c>
      <c r="BS181" s="38">
        <f t="shared" si="123"/>
        <v>0</v>
      </c>
      <c r="BT181" s="38">
        <f t="shared" si="124"/>
        <v>0</v>
      </c>
      <c r="BU181" s="38">
        <f>Inputs!$B$19*(1-Inputs!$C$72*$H181)+Inputs!$B$21+Inputs!$B$72*$J181</f>
        <v>577500</v>
      </c>
      <c r="BV181" s="38">
        <f t="shared" si="125"/>
        <v>-577500</v>
      </c>
      <c r="BW181" s="38">
        <f t="shared" si="126"/>
        <v>1</v>
      </c>
      <c r="BX181" s="38">
        <f>MAX(0,MIN(Inputs!$C$36,CC180,BY181+BZ181+CA181+Inputs!$C$6-CB180))</f>
        <v>0</v>
      </c>
      <c r="BY181" s="38">
        <f>Inputs!$C$27*(1+Inputs!$C$28)^($A181/12)*IF(Inputs!$B$72=1,$G181,1)*(1-Inputs!$C$72*$H181*(1-Inputs!$E$54*Inputs!$B$72))*(1+$I181)*IF(Inputs!$C$29=0,1,(MAX(CB180,0)/Inputs!$C$6)^Inputs!$C$29)</f>
        <v>0</v>
      </c>
      <c r="BZ181" s="38">
        <f>Inputs!$C$32*CB180/Inputs!$C$6</f>
        <v>0</v>
      </c>
      <c r="CA181" s="38">
        <f>Inputs!$C$33</f>
        <v>2000</v>
      </c>
      <c r="CB181" s="38">
        <f t="shared" si="127"/>
        <v>0</v>
      </c>
      <c r="CC181" s="38">
        <f t="shared" si="128"/>
        <v>0</v>
      </c>
      <c r="CD181" s="38">
        <f>Inputs!$C$19*(1-Inputs!$C$72*$H181)+Inputs!$C$21+Inputs!$B$72*$J181</f>
        <v>480000</v>
      </c>
      <c r="CE181" s="38">
        <f t="shared" si="129"/>
        <v>-480000</v>
      </c>
      <c r="CF181" s="38">
        <f t="shared" si="130"/>
        <v>1</v>
      </c>
      <c r="CG181" s="38">
        <f>MAX(0,MIN(Inputs!$D$36,CL180,CH181+CI181+CJ181+Inputs!$D$6-CK180))</f>
        <v>0</v>
      </c>
      <c r="CH181" s="38">
        <f>Inputs!$D$27*(1+Inputs!$D$28)^($A181/12)*IF(Inputs!$B$72=1,$G181,1)*(1-Inputs!$C$72*$H181*(1-Inputs!$E$54*Inputs!$B$72))*(1+$I181)*IF(Inputs!$D$29=0,1,(MAX(CK180,0)/Inputs!$D$6)^Inputs!$D$29)</f>
        <v>1372.7962735147617</v>
      </c>
      <c r="CI181" s="38">
        <f>Inputs!$D$32*CK180/Inputs!$D$6</f>
        <v>414.7084808533138</v>
      </c>
      <c r="CJ181" s="38">
        <f>Inputs!$D$33</f>
        <v>1500</v>
      </c>
      <c r="CK181" s="38">
        <f t="shared" si="131"/>
        <v>83603.795995850058</v>
      </c>
      <c r="CL181" s="38">
        <f t="shared" si="132"/>
        <v>0</v>
      </c>
      <c r="CM181" s="38">
        <f>Inputs!$D$19*(1-Inputs!$C$72*$H181)+Inputs!$D$21+Inputs!$B$72*$J181</f>
        <v>392150</v>
      </c>
      <c r="CN181" s="38">
        <f t="shared" si="133"/>
        <v>-308546.20400414994</v>
      </c>
      <c r="CO181" s="38">
        <f t="shared" si="134"/>
        <v>1</v>
      </c>
      <c r="CP181" s="38">
        <f>MAX(0,MIN(Inputs!$B$36,CU180,CQ181+CR181+CS181+Inputs!$B$6-CT180))</f>
        <v>0</v>
      </c>
      <c r="CQ181" s="38">
        <f>Inputs!$B$27*(1+Inputs!$B$28)^($A181/12)*IF(Inputs!$B$73=1,$G181,1)*(1-Inputs!$C$73*$H181*(1-Inputs!$E$54*Inputs!$B$73))*(1+$I181)*IF(Inputs!$B$29=0,1,(MAX(CT180,0)/Inputs!$B$6)^Inputs!$B$29)</f>
        <v>25287.26432175827</v>
      </c>
      <c r="CR181" s="38">
        <f>Inputs!$B$32*CT180/Inputs!$B$6</f>
        <v>0</v>
      </c>
      <c r="CS181" s="38">
        <f>Inputs!$B$33</f>
        <v>2500</v>
      </c>
      <c r="CT181" s="38">
        <f t="shared" si="135"/>
        <v>0</v>
      </c>
      <c r="CU181" s="38">
        <f t="shared" si="136"/>
        <v>0</v>
      </c>
      <c r="CV181" s="38">
        <f>Inputs!$B$19*(1-Inputs!$C$73*$H181)+Inputs!$B$21+Inputs!$B$73*$J181</f>
        <v>583500</v>
      </c>
      <c r="CW181" s="38">
        <f t="shared" si="137"/>
        <v>-583500</v>
      </c>
      <c r="CX181" s="38">
        <f t="shared" si="138"/>
        <v>1</v>
      </c>
      <c r="CY181" s="38">
        <f>MAX(0,MIN(Inputs!$C$36,DD180,CZ181+DA181+DB181+Inputs!$C$6-DC180))</f>
        <v>0</v>
      </c>
      <c r="CZ181" s="38">
        <f>Inputs!$C$27*(1+Inputs!$C$28)^($A181/12)*IF(Inputs!$B$73=1,$G181,1)*(1-Inputs!$C$73*$H181*(1-Inputs!$E$54*Inputs!$B$73))*(1+$I181)*IF(Inputs!$C$29=0,1,(MAX(DC180,0)/Inputs!$C$6)^Inputs!$C$29)</f>
        <v>0</v>
      </c>
      <c r="DA181" s="38">
        <f>Inputs!$C$32*DC180/Inputs!$C$6</f>
        <v>0</v>
      </c>
      <c r="DB181" s="38">
        <f>Inputs!$C$33</f>
        <v>2000</v>
      </c>
      <c r="DC181" s="38">
        <f t="shared" si="139"/>
        <v>0</v>
      </c>
      <c r="DD181" s="38">
        <f t="shared" si="140"/>
        <v>0</v>
      </c>
      <c r="DE181" s="38">
        <f>Inputs!$C$19*(1-Inputs!$C$73*$H181)+Inputs!$C$21+Inputs!$B$73*$J181</f>
        <v>486000</v>
      </c>
      <c r="DF181" s="38">
        <f t="shared" si="141"/>
        <v>-486000</v>
      </c>
      <c r="DG181" s="38">
        <f t="shared" si="142"/>
        <v>1</v>
      </c>
      <c r="DH181" s="38">
        <f>MAX(0,MIN(Inputs!$D$36,DM180,DI181+DJ181+DK181+Inputs!$D$6-DL180))</f>
        <v>0</v>
      </c>
      <c r="DI181" s="38">
        <f>Inputs!$D$27*(1+Inputs!$D$28)^($A181/12)*IF(Inputs!$B$73=1,$G181,1)*(1-Inputs!$C$73*$H181*(1-Inputs!$E$54*Inputs!$B$73))*(1+$I181)*IF(Inputs!$D$29=0,1,(MAX(DL180,0)/Inputs!$D$6)^Inputs!$D$29)</f>
        <v>1494.0566470531714</v>
      </c>
      <c r="DJ181" s="38">
        <f>Inputs!$D$32*DL180/Inputs!$D$6</f>
        <v>621.37807382309029</v>
      </c>
      <c r="DK181" s="38">
        <f>Inputs!$D$33</f>
        <v>1500</v>
      </c>
      <c r="DL181" s="38">
        <f t="shared" si="143"/>
        <v>126578.06646110456</v>
      </c>
      <c r="DM181" s="38">
        <f t="shared" si="144"/>
        <v>0</v>
      </c>
      <c r="DN181" s="38">
        <f>Inputs!$D$19*(1-Inputs!$C$73*$H181)+Inputs!$D$21+Inputs!$B$73*$J181</f>
        <v>398150</v>
      </c>
      <c r="DO181" s="38">
        <f t="shared" si="145"/>
        <v>-271571.93353889545</v>
      </c>
      <c r="DP181" s="38">
        <f t="shared" si="146"/>
        <v>1</v>
      </c>
    </row>
    <row r="182" spans="1:120" x14ac:dyDescent="0.35">
      <c r="A182" s="29">
        <v>177</v>
      </c>
      <c r="B182" s="34">
        <f>EDATE(Inputs!$B$67,$A182)</f>
        <v>51653</v>
      </c>
      <c r="C182" s="35">
        <f>IF(Inputs!$E$47&lt;=0,Inputs!$E$46,Inputs!$E$44+(Inputs!$E$46-Inputs!$E$44)*MIN($A182/Inputs!$E$47,1))</f>
        <v>0.7</v>
      </c>
      <c r="D182" s="35">
        <f>MIN(Inputs!$E$57,Inputs!$E$55*(1+Inputs!$E$56)^($A182/12))*Inputs!$E$58*(1+Inputs!$E$59)^($A182/12)/Inputs!$E$45</f>
        <v>1.5</v>
      </c>
      <c r="E182" s="35">
        <f>MAX(Inputs!$E$44,MIN(C182,D182))</f>
        <v>0.7</v>
      </c>
      <c r="F182" s="35">
        <f>IF(Inputs!$E$50&lt;=0,Inputs!$E$49,Inputs!$E$48+(Inputs!$E$49-Inputs!$E$48)*MIN($A182/Inputs!$E$50,1))</f>
        <v>0.12</v>
      </c>
      <c r="G182" s="36">
        <f>(Inputs!$E$41*(1-E182*Inputs!$E$51)+Inputs!$E$42*(1-F182*Inputs!$E$51))/(Inputs!$E$41*(1-Inputs!$E$44*Inputs!$E$51)+Inputs!$E$42*(1-Inputs!$E$48*Inputs!$E$51))</f>
        <v>0.8423127463863338</v>
      </c>
      <c r="H182" s="35">
        <f>IF(Inputs!$E$53&lt;=0,Inputs!$E$52,Inputs!$E$52*MIN($A182/Inputs!$E$53,1))</f>
        <v>0.1</v>
      </c>
      <c r="I182" s="35">
        <f>IF(Inputs!$E$64&lt;=0,Inputs!$E$63,Inputs!$E$62+(Inputs!$E$63-Inputs!$E$62)*MIN($A182/Inputs!$E$64,1))</f>
        <v>0.03</v>
      </c>
      <c r="J182" s="37">
        <f>(E182-Inputs!$E$44)*Inputs!$E$45/Inputs!$E$60*Inputs!$E$61</f>
        <v>5999.9999999999991</v>
      </c>
      <c r="K182" s="29">
        <f t="shared" si="98"/>
        <v>0</v>
      </c>
      <c r="L182" s="29"/>
      <c r="M182" s="38">
        <f>MAX(0,MIN(Inputs!$B$36,R181,N182+O182+P182+Inputs!$B$6-Q181))</f>
        <v>0</v>
      </c>
      <c r="N182" s="38">
        <f>Inputs!$B$27*(1+Inputs!$B$28)^($A182/12)*IF(Inputs!$B$70=1,$G182,1)*(1-Inputs!$C$70*$H182*(1-Inputs!$E$54*Inputs!$B$70))*(1+$I182)*IF(Inputs!$B$29=0,1,(MAX(Q181,0)/Inputs!$B$6)^Inputs!$B$29)</f>
        <v>31730.041859759451</v>
      </c>
      <c r="O182" s="38">
        <f>Inputs!$B$32*Q181/Inputs!$B$6</f>
        <v>0</v>
      </c>
      <c r="P182" s="38">
        <f>Inputs!$B$33</f>
        <v>2500</v>
      </c>
      <c r="Q182" s="38">
        <f t="shared" si="99"/>
        <v>0</v>
      </c>
      <c r="R182" s="38">
        <f t="shared" si="100"/>
        <v>0</v>
      </c>
      <c r="S182" s="38">
        <f>Inputs!$B$19*(1-Inputs!$C$70*$H182)+Inputs!$B$21+Inputs!$B$70*$J182</f>
        <v>595000</v>
      </c>
      <c r="T182" s="38">
        <f t="shared" si="101"/>
        <v>-595000</v>
      </c>
      <c r="U182" s="38">
        <f t="shared" si="102"/>
        <v>1</v>
      </c>
      <c r="V182" s="38">
        <f>MAX(0,MIN(Inputs!$C$36,AA181,W182+X182+Y182+Inputs!$C$6-Z181))</f>
        <v>0</v>
      </c>
      <c r="W182" s="38">
        <f>Inputs!$C$27*(1+Inputs!$C$28)^($A182/12)*IF(Inputs!$B$70=1,$G182,1)*(1-Inputs!$C$70*$H182*(1-Inputs!$E$54*Inputs!$B$70))*(1+$I182)*IF(Inputs!$C$29=0,1,(MAX(Z181,0)/Inputs!$C$6)^Inputs!$C$29)</f>
        <v>0</v>
      </c>
      <c r="X182" s="38">
        <f>Inputs!$C$32*Z181/Inputs!$C$6</f>
        <v>0</v>
      </c>
      <c r="Y182" s="38">
        <f>Inputs!$C$33</f>
        <v>2000</v>
      </c>
      <c r="Z182" s="38">
        <f t="shared" si="103"/>
        <v>0</v>
      </c>
      <c r="AA182" s="38">
        <f t="shared" si="104"/>
        <v>0</v>
      </c>
      <c r="AB182" s="38">
        <f>Inputs!$C$19*(1-Inputs!$C$70*$H182)+Inputs!$C$21+Inputs!$B$70*$J182</f>
        <v>495000</v>
      </c>
      <c r="AC182" s="38">
        <f t="shared" si="105"/>
        <v>-495000</v>
      </c>
      <c r="AD182" s="38">
        <f t="shared" si="106"/>
        <v>1</v>
      </c>
      <c r="AE182" s="38">
        <f>MAX(0,MIN(Inputs!$D$36,AJ181,AF182+AG182+AH182+Inputs!$D$6-AI181))</f>
        <v>0</v>
      </c>
      <c r="AF182" s="38">
        <f>Inputs!$D$27*(1+Inputs!$D$28)^($A182/12)*IF(Inputs!$B$70=1,$G182,1)*(1-Inputs!$C$70*$H182*(1-Inputs!$E$54*Inputs!$B$70))*(1+$I182)*IF(Inputs!$D$29=0,1,(MAX(AI181,0)/Inputs!$D$6)^Inputs!$D$29)</f>
        <v>1164.5086778362411</v>
      </c>
      <c r="AG182" s="38">
        <f>Inputs!$D$32*AI181/Inputs!$D$6</f>
        <v>243.78890876251643</v>
      </c>
      <c r="AH182" s="38">
        <f>Inputs!$D$33</f>
        <v>1500</v>
      </c>
      <c r="AI182" s="38">
        <f t="shared" si="107"/>
        <v>48171.283296976115</v>
      </c>
      <c r="AJ182" s="38">
        <f t="shared" si="108"/>
        <v>0</v>
      </c>
      <c r="AK182" s="38">
        <f>Inputs!$D$19*(1-Inputs!$C$70*$H182)+Inputs!$D$21+Inputs!$B$70*$J182</f>
        <v>404800</v>
      </c>
      <c r="AL182" s="38">
        <f t="shared" si="109"/>
        <v>-356628.71670302388</v>
      </c>
      <c r="AM182" s="38">
        <f t="shared" si="110"/>
        <v>1</v>
      </c>
      <c r="AN182" s="38">
        <f>MAX(0,MIN(Inputs!$B$36,AS181,AO182+AP182+AQ182+Inputs!$B$6-AR181))</f>
        <v>0</v>
      </c>
      <c r="AO182" s="38">
        <f>Inputs!$B$27*(1+Inputs!$B$28)^($A182/12)*IF(Inputs!$B$71=1,$G182,1)*(1-Inputs!$C$71*$H182*(1-Inputs!$E$54*Inputs!$B$71))*(1+$I182)*IF(Inputs!$B$29=0,1,(MAX(AR181,0)/Inputs!$B$6)^Inputs!$B$29)</f>
        <v>26726.618701847317</v>
      </c>
      <c r="AP182" s="38">
        <f>Inputs!$B$32*AR181/Inputs!$B$6</f>
        <v>0</v>
      </c>
      <c r="AQ182" s="38">
        <f>Inputs!$B$33</f>
        <v>2500</v>
      </c>
      <c r="AR182" s="38">
        <f t="shared" si="111"/>
        <v>0</v>
      </c>
      <c r="AS182" s="38">
        <f t="shared" si="112"/>
        <v>0</v>
      </c>
      <c r="AT182" s="38">
        <f>Inputs!$B$19*(1-Inputs!$C$71*$H182)+Inputs!$B$21+Inputs!$B$71*$J182</f>
        <v>601000</v>
      </c>
      <c r="AU182" s="38">
        <f t="shared" si="113"/>
        <v>-601000</v>
      </c>
      <c r="AV182" s="38">
        <f t="shared" si="114"/>
        <v>1</v>
      </c>
      <c r="AW182" s="38">
        <f>MAX(0,MIN(Inputs!$C$36,BB181,AX182+AY182+AZ182+Inputs!$C$6-BA181))</f>
        <v>0</v>
      </c>
      <c r="AX182" s="38">
        <f>Inputs!$C$27*(1+Inputs!$C$28)^($A182/12)*IF(Inputs!$B$71=1,$G182,1)*(1-Inputs!$C$71*$H182*(1-Inputs!$E$54*Inputs!$B$71))*(1+$I182)*IF(Inputs!$C$29=0,1,(MAX(BA181,0)/Inputs!$C$6)^Inputs!$C$29)</f>
        <v>0</v>
      </c>
      <c r="AY182" s="38">
        <f>Inputs!$C$32*BA181/Inputs!$C$6</f>
        <v>0</v>
      </c>
      <c r="AZ182" s="38">
        <f>Inputs!$C$33</f>
        <v>2000</v>
      </c>
      <c r="BA182" s="38">
        <f t="shared" si="115"/>
        <v>0</v>
      </c>
      <c r="BB182" s="38">
        <f t="shared" si="116"/>
        <v>0</v>
      </c>
      <c r="BC182" s="38">
        <f>Inputs!$C$19*(1-Inputs!$C$71*$H182)+Inputs!$C$21+Inputs!$B$71*$J182</f>
        <v>501000</v>
      </c>
      <c r="BD182" s="38">
        <f t="shared" si="117"/>
        <v>-501000</v>
      </c>
      <c r="BE182" s="38">
        <f t="shared" si="118"/>
        <v>1</v>
      </c>
      <c r="BF182" s="38">
        <f>MAX(0,MIN(Inputs!$D$36,BK181,BG182+BH182+BI182+Inputs!$D$6-BJ181))</f>
        <v>0</v>
      </c>
      <c r="BG182" s="38">
        <f>Inputs!$D$27*(1+Inputs!$D$28)^($A182/12)*IF(Inputs!$B$71=1,$G182,1)*(1-Inputs!$C$71*$H182*(1-Inputs!$E$54*Inputs!$B$71))*(1+$I182)*IF(Inputs!$D$29=0,1,(MAX(BJ181,0)/Inputs!$D$6)^Inputs!$D$29)</f>
        <v>1437.8999438316389</v>
      </c>
      <c r="BH182" s="38">
        <f>Inputs!$D$32*BJ181/Inputs!$D$6</f>
        <v>523.88875056195752</v>
      </c>
      <c r="BI182" s="38">
        <f>Inputs!$D$33</f>
        <v>1500</v>
      </c>
      <c r="BJ182" s="38">
        <f t="shared" si="119"/>
        <v>106305.37809001653</v>
      </c>
      <c r="BK182" s="38">
        <f t="shared" si="120"/>
        <v>0</v>
      </c>
      <c r="BL182" s="38">
        <f>Inputs!$D$19*(1-Inputs!$C$71*$H182)+Inputs!$D$21+Inputs!$B$71*$J182</f>
        <v>410800</v>
      </c>
      <c r="BM182" s="38">
        <f t="shared" si="121"/>
        <v>-304494.62190998346</v>
      </c>
      <c r="BN182" s="38">
        <f t="shared" si="122"/>
        <v>1</v>
      </c>
      <c r="BO182" s="38">
        <f>MAX(0,MIN(Inputs!$B$36,BT181,BP182+BQ182+BR182+Inputs!$B$6-BS181))</f>
        <v>0</v>
      </c>
      <c r="BP182" s="38">
        <f>Inputs!$B$27*(1+Inputs!$B$28)^($A182/12)*IF(Inputs!$B$72=1,$G182,1)*(1-Inputs!$C$72*$H182*(1-Inputs!$E$54*Inputs!$B$72))*(1+$I182)*IF(Inputs!$B$29=0,1,(MAX(BS181,0)/Inputs!$B$6)^Inputs!$B$29)</f>
        <v>28557.037673783503</v>
      </c>
      <c r="BQ182" s="38">
        <f>Inputs!$B$32*BS181/Inputs!$B$6</f>
        <v>0</v>
      </c>
      <c r="BR182" s="38">
        <f>Inputs!$B$33</f>
        <v>2500</v>
      </c>
      <c r="BS182" s="38">
        <f t="shared" si="123"/>
        <v>0</v>
      </c>
      <c r="BT182" s="38">
        <f t="shared" si="124"/>
        <v>0</v>
      </c>
      <c r="BU182" s="38">
        <f>Inputs!$B$19*(1-Inputs!$C$72*$H182)+Inputs!$B$21+Inputs!$B$72*$J182</f>
        <v>577500</v>
      </c>
      <c r="BV182" s="38">
        <f t="shared" si="125"/>
        <v>-577500</v>
      </c>
      <c r="BW182" s="38">
        <f t="shared" si="126"/>
        <v>1</v>
      </c>
      <c r="BX182" s="38">
        <f>MAX(0,MIN(Inputs!$C$36,CC181,BY182+BZ182+CA182+Inputs!$C$6-CB181))</f>
        <v>0</v>
      </c>
      <c r="BY182" s="38">
        <f>Inputs!$C$27*(1+Inputs!$C$28)^($A182/12)*IF(Inputs!$B$72=1,$G182,1)*(1-Inputs!$C$72*$H182*(1-Inputs!$E$54*Inputs!$B$72))*(1+$I182)*IF(Inputs!$C$29=0,1,(MAX(CB181,0)/Inputs!$C$6)^Inputs!$C$29)</f>
        <v>0</v>
      </c>
      <c r="BZ182" s="38">
        <f>Inputs!$C$32*CB181/Inputs!$C$6</f>
        <v>0</v>
      </c>
      <c r="CA182" s="38">
        <f>Inputs!$C$33</f>
        <v>2000</v>
      </c>
      <c r="CB182" s="38">
        <f t="shared" si="127"/>
        <v>0</v>
      </c>
      <c r="CC182" s="38">
        <f t="shared" si="128"/>
        <v>0</v>
      </c>
      <c r="CD182" s="38">
        <f>Inputs!$C$19*(1-Inputs!$C$72*$H182)+Inputs!$C$21+Inputs!$B$72*$J182</f>
        <v>480000</v>
      </c>
      <c r="CE182" s="38">
        <f t="shared" si="129"/>
        <v>-480000</v>
      </c>
      <c r="CF182" s="38">
        <f t="shared" si="130"/>
        <v>1</v>
      </c>
      <c r="CG182" s="38">
        <f>MAX(0,MIN(Inputs!$D$36,CL181,CH182+CI182+CJ182+Inputs!$D$6-CK181))</f>
        <v>0</v>
      </c>
      <c r="CH182" s="38">
        <f>Inputs!$D$27*(1+Inputs!$D$28)^($A182/12)*IF(Inputs!$B$72=1,$G182,1)*(1-Inputs!$C$72*$H182*(1-Inputs!$E$54*Inputs!$B$72))*(1+$I182)*IF(Inputs!$D$29=0,1,(MAX(CK181,0)/Inputs!$D$6)^Inputs!$D$29)</f>
        <v>1340.8326431574392</v>
      </c>
      <c r="CI182" s="38">
        <f>Inputs!$D$32*CK181/Inputs!$D$6</f>
        <v>399.01811725292072</v>
      </c>
      <c r="CJ182" s="38">
        <f>Inputs!$D$33</f>
        <v>1500</v>
      </c>
      <c r="CK182" s="38">
        <f t="shared" si="131"/>
        <v>80363.945235439693</v>
      </c>
      <c r="CL182" s="38">
        <f t="shared" si="132"/>
        <v>0</v>
      </c>
      <c r="CM182" s="38">
        <f>Inputs!$D$19*(1-Inputs!$C$72*$H182)+Inputs!$D$21+Inputs!$B$72*$J182</f>
        <v>392150</v>
      </c>
      <c r="CN182" s="38">
        <f t="shared" si="133"/>
        <v>-311786.05476456031</v>
      </c>
      <c r="CO182" s="38">
        <f t="shared" si="134"/>
        <v>1</v>
      </c>
      <c r="CP182" s="38">
        <f>MAX(0,MIN(Inputs!$B$36,CU181,CQ182+CR182+CS182+Inputs!$B$6-CT181))</f>
        <v>0</v>
      </c>
      <c r="CQ182" s="38">
        <f>Inputs!$B$27*(1+Inputs!$B$28)^($A182/12)*IF(Inputs!$B$73=1,$G182,1)*(1-Inputs!$C$73*$H182*(1-Inputs!$E$54*Inputs!$B$73))*(1+$I182)*IF(Inputs!$B$29=0,1,(MAX(CT181,0)/Inputs!$B$6)^Inputs!$B$29)</f>
        <v>25390.287766754951</v>
      </c>
      <c r="CR182" s="38">
        <f>Inputs!$B$32*CT181/Inputs!$B$6</f>
        <v>0</v>
      </c>
      <c r="CS182" s="38">
        <f>Inputs!$B$33</f>
        <v>2500</v>
      </c>
      <c r="CT182" s="38">
        <f t="shared" si="135"/>
        <v>0</v>
      </c>
      <c r="CU182" s="38">
        <f t="shared" si="136"/>
        <v>0</v>
      </c>
      <c r="CV182" s="38">
        <f>Inputs!$B$19*(1-Inputs!$C$73*$H182)+Inputs!$B$21+Inputs!$B$73*$J182</f>
        <v>583500</v>
      </c>
      <c r="CW182" s="38">
        <f t="shared" si="137"/>
        <v>-583500</v>
      </c>
      <c r="CX182" s="38">
        <f t="shared" si="138"/>
        <v>1</v>
      </c>
      <c r="CY182" s="38">
        <f>MAX(0,MIN(Inputs!$C$36,DD181,CZ182+DA182+DB182+Inputs!$C$6-DC181))</f>
        <v>0</v>
      </c>
      <c r="CZ182" s="38">
        <f>Inputs!$C$27*(1+Inputs!$C$28)^($A182/12)*IF(Inputs!$B$73=1,$G182,1)*(1-Inputs!$C$73*$H182*(1-Inputs!$E$54*Inputs!$B$73))*(1+$I182)*IF(Inputs!$C$29=0,1,(MAX(DC181,0)/Inputs!$C$6)^Inputs!$C$29)</f>
        <v>0</v>
      </c>
      <c r="DA182" s="38">
        <f>Inputs!$C$32*DC181/Inputs!$C$6</f>
        <v>0</v>
      </c>
      <c r="DB182" s="38">
        <f>Inputs!$C$33</f>
        <v>2000</v>
      </c>
      <c r="DC182" s="38">
        <f t="shared" si="139"/>
        <v>0</v>
      </c>
      <c r="DD182" s="38">
        <f t="shared" si="140"/>
        <v>0</v>
      </c>
      <c r="DE182" s="38">
        <f>Inputs!$C$19*(1-Inputs!$C$73*$H182)+Inputs!$C$21+Inputs!$B$73*$J182</f>
        <v>486000</v>
      </c>
      <c r="DF182" s="38">
        <f t="shared" si="141"/>
        <v>-486000</v>
      </c>
      <c r="DG182" s="38">
        <f t="shared" si="142"/>
        <v>1</v>
      </c>
      <c r="DH182" s="38">
        <f>MAX(0,MIN(Inputs!$D$36,DM181,DI182+DJ182+DK182+Inputs!$D$6-DL181))</f>
        <v>0</v>
      </c>
      <c r="DI182" s="38">
        <f>Inputs!$D$27*(1+Inputs!$D$28)^($A182/12)*IF(Inputs!$B$73=1,$G182,1)*(1-Inputs!$C$73*$H182*(1-Inputs!$E$54*Inputs!$B$73))*(1+$I182)*IF(Inputs!$D$29=0,1,(MAX(DL181,0)/Inputs!$D$6)^Inputs!$D$29)</f>
        <v>1466.8823172755638</v>
      </c>
      <c r="DJ182" s="38">
        <f>Inputs!$D$32*DL181/Inputs!$D$6</f>
        <v>604.12258992799912</v>
      </c>
      <c r="DK182" s="38">
        <f>Inputs!$D$33</f>
        <v>1500</v>
      </c>
      <c r="DL182" s="38">
        <f t="shared" si="143"/>
        <v>123007.061553901</v>
      </c>
      <c r="DM182" s="38">
        <f t="shared" si="144"/>
        <v>0</v>
      </c>
      <c r="DN182" s="38">
        <f>Inputs!$D$19*(1-Inputs!$C$73*$H182)+Inputs!$D$21+Inputs!$B$73*$J182</f>
        <v>398150</v>
      </c>
      <c r="DO182" s="38">
        <f t="shared" si="145"/>
        <v>-275142.938446099</v>
      </c>
      <c r="DP182" s="38">
        <f t="shared" si="146"/>
        <v>1</v>
      </c>
    </row>
    <row r="183" spans="1:120" x14ac:dyDescent="0.35">
      <c r="A183" s="29">
        <v>178</v>
      </c>
      <c r="B183" s="34">
        <f>EDATE(Inputs!$B$67,$A183)</f>
        <v>51683</v>
      </c>
      <c r="C183" s="35">
        <f>IF(Inputs!$E$47&lt;=0,Inputs!$E$46,Inputs!$E$44+(Inputs!$E$46-Inputs!$E$44)*MIN($A183/Inputs!$E$47,1))</f>
        <v>0.7</v>
      </c>
      <c r="D183" s="35">
        <f>MIN(Inputs!$E$57,Inputs!$E$55*(1+Inputs!$E$56)^($A183/12))*Inputs!$E$58*(1+Inputs!$E$59)^($A183/12)/Inputs!$E$45</f>
        <v>1.5</v>
      </c>
      <c r="E183" s="35">
        <f>MAX(Inputs!$E$44,MIN(C183,D183))</f>
        <v>0.7</v>
      </c>
      <c r="F183" s="35">
        <f>IF(Inputs!$E$50&lt;=0,Inputs!$E$49,Inputs!$E$48+(Inputs!$E$49-Inputs!$E$48)*MIN($A183/Inputs!$E$50,1))</f>
        <v>0.12</v>
      </c>
      <c r="G183" s="36">
        <f>(Inputs!$E$41*(1-E183*Inputs!$E$51)+Inputs!$E$42*(1-F183*Inputs!$E$51))/(Inputs!$E$41*(1-Inputs!$E$44*Inputs!$E$51)+Inputs!$E$42*(1-Inputs!$E$48*Inputs!$E$51))</f>
        <v>0.8423127463863338</v>
      </c>
      <c r="H183" s="35">
        <f>IF(Inputs!$E$53&lt;=0,Inputs!$E$52,Inputs!$E$52*MIN($A183/Inputs!$E$53,1))</f>
        <v>0.1</v>
      </c>
      <c r="I183" s="35">
        <f>IF(Inputs!$E$64&lt;=0,Inputs!$E$63,Inputs!$E$62+(Inputs!$E$63-Inputs!$E$62)*MIN($A183/Inputs!$E$64,1))</f>
        <v>0.03</v>
      </c>
      <c r="J183" s="37">
        <f>(E183-Inputs!$E$44)*Inputs!$E$45/Inputs!$E$60*Inputs!$E$61</f>
        <v>5999.9999999999991</v>
      </c>
      <c r="K183" s="29">
        <f t="shared" si="98"/>
        <v>0</v>
      </c>
      <c r="L183" s="29"/>
      <c r="M183" s="38">
        <f>MAX(0,MIN(Inputs!$B$36,R182,N183+O183+P183+Inputs!$B$6-Q182))</f>
        <v>0</v>
      </c>
      <c r="N183" s="38">
        <f>Inputs!$B$27*(1+Inputs!$B$28)^($A183/12)*IF(Inputs!$B$70=1,$G183,1)*(1-Inputs!$C$70*$H183*(1-Inputs!$E$54*Inputs!$B$70))*(1+$I183)*IF(Inputs!$B$29=0,1,(MAX(Q182,0)/Inputs!$B$6)^Inputs!$B$29)</f>
        <v>31859.313977956452</v>
      </c>
      <c r="O183" s="38">
        <f>Inputs!$B$32*Q182/Inputs!$B$6</f>
        <v>0</v>
      </c>
      <c r="P183" s="38">
        <f>Inputs!$B$33</f>
        <v>2500</v>
      </c>
      <c r="Q183" s="38">
        <f t="shared" si="99"/>
        <v>0</v>
      </c>
      <c r="R183" s="38">
        <f t="shared" si="100"/>
        <v>0</v>
      </c>
      <c r="S183" s="38">
        <f>Inputs!$B$19*(1-Inputs!$C$70*$H183)+Inputs!$B$21+Inputs!$B$70*$J183</f>
        <v>595000</v>
      </c>
      <c r="T183" s="38">
        <f t="shared" si="101"/>
        <v>-595000</v>
      </c>
      <c r="U183" s="38">
        <f t="shared" si="102"/>
        <v>1</v>
      </c>
      <c r="V183" s="38">
        <f>MAX(0,MIN(Inputs!$C$36,AA182,W183+X183+Y183+Inputs!$C$6-Z182))</f>
        <v>0</v>
      </c>
      <c r="W183" s="38">
        <f>Inputs!$C$27*(1+Inputs!$C$28)^($A183/12)*IF(Inputs!$B$70=1,$G183,1)*(1-Inputs!$C$70*$H183*(1-Inputs!$E$54*Inputs!$B$70))*(1+$I183)*IF(Inputs!$C$29=0,1,(MAX(Z182,0)/Inputs!$C$6)^Inputs!$C$29)</f>
        <v>0</v>
      </c>
      <c r="X183" s="38">
        <f>Inputs!$C$32*Z182/Inputs!$C$6</f>
        <v>0</v>
      </c>
      <c r="Y183" s="38">
        <f>Inputs!$C$33</f>
        <v>2000</v>
      </c>
      <c r="Z183" s="38">
        <f t="shared" si="103"/>
        <v>0</v>
      </c>
      <c r="AA183" s="38">
        <f t="shared" si="104"/>
        <v>0</v>
      </c>
      <c r="AB183" s="38">
        <f>Inputs!$C$19*(1-Inputs!$C$70*$H183)+Inputs!$C$21+Inputs!$B$70*$J183</f>
        <v>495000</v>
      </c>
      <c r="AC183" s="38">
        <f t="shared" si="105"/>
        <v>-495000</v>
      </c>
      <c r="AD183" s="38">
        <f t="shared" si="106"/>
        <v>1</v>
      </c>
      <c r="AE183" s="38">
        <f>MAX(0,MIN(Inputs!$D$36,AJ182,AF183+AG183+AH183+Inputs!$D$6-AI182))</f>
        <v>0</v>
      </c>
      <c r="AF183" s="38">
        <f>Inputs!$D$27*(1+Inputs!$D$28)^($A183/12)*IF(Inputs!$B$70=1,$G183,1)*(1-Inputs!$C$70*$H183*(1-Inputs!$E$54*Inputs!$B$70))*(1+$I183)*IF(Inputs!$D$29=0,1,(MAX(AI182,0)/Inputs!$D$6)^Inputs!$D$29)</f>
        <v>1126.047753558212</v>
      </c>
      <c r="AG183" s="38">
        <f>Inputs!$D$32*AI182/Inputs!$D$6</f>
        <v>229.90839755374967</v>
      </c>
      <c r="AH183" s="38">
        <f>Inputs!$D$33</f>
        <v>1500</v>
      </c>
      <c r="AI183" s="38">
        <f t="shared" si="107"/>
        <v>45315.327145864154</v>
      </c>
      <c r="AJ183" s="38">
        <f t="shared" si="108"/>
        <v>0</v>
      </c>
      <c r="AK183" s="38">
        <f>Inputs!$D$19*(1-Inputs!$C$70*$H183)+Inputs!$D$21+Inputs!$B$70*$J183</f>
        <v>404800</v>
      </c>
      <c r="AL183" s="38">
        <f t="shared" si="109"/>
        <v>-359484.67285413586</v>
      </c>
      <c r="AM183" s="38">
        <f t="shared" si="110"/>
        <v>1</v>
      </c>
      <c r="AN183" s="38">
        <f>MAX(0,MIN(Inputs!$B$36,AS182,AO183+AP183+AQ183+Inputs!$B$6-AR182))</f>
        <v>0</v>
      </c>
      <c r="AO183" s="38">
        <f>Inputs!$B$27*(1+Inputs!$B$28)^($A183/12)*IF(Inputs!$B$71=1,$G183,1)*(1-Inputs!$C$71*$H183*(1-Inputs!$E$54*Inputs!$B$71))*(1+$I183)*IF(Inputs!$B$29=0,1,(MAX(AR182,0)/Inputs!$B$6)^Inputs!$B$29)</f>
        <v>26835.506254757012</v>
      </c>
      <c r="AP183" s="38">
        <f>Inputs!$B$32*AR182/Inputs!$B$6</f>
        <v>0</v>
      </c>
      <c r="AQ183" s="38">
        <f>Inputs!$B$33</f>
        <v>2500</v>
      </c>
      <c r="AR183" s="38">
        <f t="shared" si="111"/>
        <v>0</v>
      </c>
      <c r="AS183" s="38">
        <f t="shared" si="112"/>
        <v>0</v>
      </c>
      <c r="AT183" s="38">
        <f>Inputs!$B$19*(1-Inputs!$C$71*$H183)+Inputs!$B$21+Inputs!$B$71*$J183</f>
        <v>601000</v>
      </c>
      <c r="AU183" s="38">
        <f t="shared" si="113"/>
        <v>-601000</v>
      </c>
      <c r="AV183" s="38">
        <f t="shared" si="114"/>
        <v>1</v>
      </c>
      <c r="AW183" s="38">
        <f>MAX(0,MIN(Inputs!$C$36,BB182,AX183+AY183+AZ183+Inputs!$C$6-BA182))</f>
        <v>0</v>
      </c>
      <c r="AX183" s="38">
        <f>Inputs!$C$27*(1+Inputs!$C$28)^($A183/12)*IF(Inputs!$B$71=1,$G183,1)*(1-Inputs!$C$71*$H183*(1-Inputs!$E$54*Inputs!$B$71))*(1+$I183)*IF(Inputs!$C$29=0,1,(MAX(BA182,0)/Inputs!$C$6)^Inputs!$C$29)</f>
        <v>0</v>
      </c>
      <c r="AY183" s="38">
        <f>Inputs!$C$32*BA182/Inputs!$C$6</f>
        <v>0</v>
      </c>
      <c r="AZ183" s="38">
        <f>Inputs!$C$33</f>
        <v>2000</v>
      </c>
      <c r="BA183" s="38">
        <f t="shared" si="115"/>
        <v>0</v>
      </c>
      <c r="BB183" s="38">
        <f t="shared" si="116"/>
        <v>0</v>
      </c>
      <c r="BC183" s="38">
        <f>Inputs!$C$19*(1-Inputs!$C$71*$H183)+Inputs!$C$21+Inputs!$B$71*$J183</f>
        <v>501000</v>
      </c>
      <c r="BD183" s="38">
        <f t="shared" si="117"/>
        <v>-501000</v>
      </c>
      <c r="BE183" s="38">
        <f t="shared" si="118"/>
        <v>1</v>
      </c>
      <c r="BF183" s="38">
        <f>MAX(0,MIN(Inputs!$D$36,BK182,BG183+BH183+BI183+Inputs!$D$6-BJ182))</f>
        <v>0</v>
      </c>
      <c r="BG183" s="38">
        <f>Inputs!$D$27*(1+Inputs!$D$28)^($A183/12)*IF(Inputs!$B$71=1,$G183,1)*(1-Inputs!$C$71*$H183*(1-Inputs!$E$54*Inputs!$B$71))*(1+$I183)*IF(Inputs!$D$29=0,1,(MAX(BJ182,0)/Inputs!$D$6)^Inputs!$D$29)</f>
        <v>1409.0087541655621</v>
      </c>
      <c r="BH183" s="38">
        <f>Inputs!$D$32*BJ182/Inputs!$D$6</f>
        <v>507.36657724780616</v>
      </c>
      <c r="BI183" s="38">
        <f>Inputs!$D$33</f>
        <v>1500</v>
      </c>
      <c r="BJ183" s="38">
        <f t="shared" si="119"/>
        <v>102889.00275860315</v>
      </c>
      <c r="BK183" s="38">
        <f t="shared" si="120"/>
        <v>0</v>
      </c>
      <c r="BL183" s="38">
        <f>Inputs!$D$19*(1-Inputs!$C$71*$H183)+Inputs!$D$21+Inputs!$B$71*$J183</f>
        <v>410800</v>
      </c>
      <c r="BM183" s="38">
        <f t="shared" si="121"/>
        <v>-307910.99724139686</v>
      </c>
      <c r="BN183" s="38">
        <f t="shared" si="122"/>
        <v>1</v>
      </c>
      <c r="BO183" s="38">
        <f>MAX(0,MIN(Inputs!$B$36,BT182,BP183+BQ183+BR183+Inputs!$B$6-BS182))</f>
        <v>0</v>
      </c>
      <c r="BP183" s="38">
        <f>Inputs!$B$27*(1+Inputs!$B$28)^($A183/12)*IF(Inputs!$B$72=1,$G183,1)*(1-Inputs!$C$72*$H183*(1-Inputs!$E$54*Inputs!$B$72))*(1+$I183)*IF(Inputs!$B$29=0,1,(MAX(BS182,0)/Inputs!$B$6)^Inputs!$B$29)</f>
        <v>28673.382580160807</v>
      </c>
      <c r="BQ183" s="38">
        <f>Inputs!$B$32*BS182/Inputs!$B$6</f>
        <v>0</v>
      </c>
      <c r="BR183" s="38">
        <f>Inputs!$B$33</f>
        <v>2500</v>
      </c>
      <c r="BS183" s="38">
        <f t="shared" si="123"/>
        <v>0</v>
      </c>
      <c r="BT183" s="38">
        <f t="shared" si="124"/>
        <v>0</v>
      </c>
      <c r="BU183" s="38">
        <f>Inputs!$B$19*(1-Inputs!$C$72*$H183)+Inputs!$B$21+Inputs!$B$72*$J183</f>
        <v>577500</v>
      </c>
      <c r="BV183" s="38">
        <f t="shared" si="125"/>
        <v>-577500</v>
      </c>
      <c r="BW183" s="38">
        <f t="shared" si="126"/>
        <v>1</v>
      </c>
      <c r="BX183" s="38">
        <f>MAX(0,MIN(Inputs!$C$36,CC182,BY183+BZ183+CA183+Inputs!$C$6-CB182))</f>
        <v>0</v>
      </c>
      <c r="BY183" s="38">
        <f>Inputs!$C$27*(1+Inputs!$C$28)^($A183/12)*IF(Inputs!$B$72=1,$G183,1)*(1-Inputs!$C$72*$H183*(1-Inputs!$E$54*Inputs!$B$72))*(1+$I183)*IF(Inputs!$C$29=0,1,(MAX(CB182,0)/Inputs!$C$6)^Inputs!$C$29)</f>
        <v>0</v>
      </c>
      <c r="BZ183" s="38">
        <f>Inputs!$C$32*CB182/Inputs!$C$6</f>
        <v>0</v>
      </c>
      <c r="CA183" s="38">
        <f>Inputs!$C$33</f>
        <v>2000</v>
      </c>
      <c r="CB183" s="38">
        <f t="shared" si="127"/>
        <v>0</v>
      </c>
      <c r="CC183" s="38">
        <f t="shared" si="128"/>
        <v>0</v>
      </c>
      <c r="CD183" s="38">
        <f>Inputs!$C$19*(1-Inputs!$C$72*$H183)+Inputs!$C$21+Inputs!$B$72*$J183</f>
        <v>480000</v>
      </c>
      <c r="CE183" s="38">
        <f t="shared" si="129"/>
        <v>-480000</v>
      </c>
      <c r="CF183" s="38">
        <f t="shared" si="130"/>
        <v>1</v>
      </c>
      <c r="CG183" s="38">
        <f>MAX(0,MIN(Inputs!$D$36,CL182,CH183+CI183+CJ183+Inputs!$D$6-CK182))</f>
        <v>0</v>
      </c>
      <c r="CH183" s="38">
        <f>Inputs!$D$27*(1+Inputs!$D$28)^($A183/12)*IF(Inputs!$B$72=1,$G183,1)*(1-Inputs!$C$72*$H183*(1-Inputs!$E$54*Inputs!$B$72))*(1+$I183)*IF(Inputs!$D$29=0,1,(MAX(CK182,0)/Inputs!$D$6)^Inputs!$D$29)</f>
        <v>1308.9885098162347</v>
      </c>
      <c r="CI183" s="38">
        <f>Inputs!$D$32*CK182/Inputs!$D$6</f>
        <v>383.55519316914399</v>
      </c>
      <c r="CJ183" s="38">
        <f>Inputs!$D$33</f>
        <v>1500</v>
      </c>
      <c r="CK183" s="38">
        <f t="shared" si="131"/>
        <v>77171.401532454314</v>
      </c>
      <c r="CL183" s="38">
        <f t="shared" si="132"/>
        <v>0</v>
      </c>
      <c r="CM183" s="38">
        <f>Inputs!$D$19*(1-Inputs!$C$72*$H183)+Inputs!$D$21+Inputs!$B$72*$J183</f>
        <v>392150</v>
      </c>
      <c r="CN183" s="38">
        <f t="shared" si="133"/>
        <v>-314978.5984675457</v>
      </c>
      <c r="CO183" s="38">
        <f t="shared" si="134"/>
        <v>1</v>
      </c>
      <c r="CP183" s="38">
        <f>MAX(0,MIN(Inputs!$B$36,CU182,CQ183+CR183+CS183+Inputs!$B$6-CT182))</f>
        <v>0</v>
      </c>
      <c r="CQ183" s="38">
        <f>Inputs!$B$27*(1+Inputs!$B$28)^($A183/12)*IF(Inputs!$B$73=1,$G183,1)*(1-Inputs!$C$73*$H183*(1-Inputs!$E$54*Inputs!$B$73))*(1+$I183)*IF(Inputs!$B$29=0,1,(MAX(CT182,0)/Inputs!$B$6)^Inputs!$B$29)</f>
        <v>25493.730942019163</v>
      </c>
      <c r="CR183" s="38">
        <f>Inputs!$B$32*CT182/Inputs!$B$6</f>
        <v>0</v>
      </c>
      <c r="CS183" s="38">
        <f>Inputs!$B$33</f>
        <v>2500</v>
      </c>
      <c r="CT183" s="38">
        <f t="shared" si="135"/>
        <v>0</v>
      </c>
      <c r="CU183" s="38">
        <f t="shared" si="136"/>
        <v>0</v>
      </c>
      <c r="CV183" s="38">
        <f>Inputs!$B$19*(1-Inputs!$C$73*$H183)+Inputs!$B$21+Inputs!$B$73*$J183</f>
        <v>583500</v>
      </c>
      <c r="CW183" s="38">
        <f t="shared" si="137"/>
        <v>-583500</v>
      </c>
      <c r="CX183" s="38">
        <f t="shared" si="138"/>
        <v>1</v>
      </c>
      <c r="CY183" s="38">
        <f>MAX(0,MIN(Inputs!$C$36,DD182,CZ183+DA183+DB183+Inputs!$C$6-DC182))</f>
        <v>0</v>
      </c>
      <c r="CZ183" s="38">
        <f>Inputs!$C$27*(1+Inputs!$C$28)^($A183/12)*IF(Inputs!$B$73=1,$G183,1)*(1-Inputs!$C$73*$H183*(1-Inputs!$E$54*Inputs!$B$73))*(1+$I183)*IF(Inputs!$C$29=0,1,(MAX(DC182,0)/Inputs!$C$6)^Inputs!$C$29)</f>
        <v>0</v>
      </c>
      <c r="DA183" s="38">
        <f>Inputs!$C$32*DC182/Inputs!$C$6</f>
        <v>0</v>
      </c>
      <c r="DB183" s="38">
        <f>Inputs!$C$33</f>
        <v>2000</v>
      </c>
      <c r="DC183" s="38">
        <f t="shared" si="139"/>
        <v>0</v>
      </c>
      <c r="DD183" s="38">
        <f t="shared" si="140"/>
        <v>0</v>
      </c>
      <c r="DE183" s="38">
        <f>Inputs!$C$19*(1-Inputs!$C$73*$H183)+Inputs!$C$21+Inputs!$B$73*$J183</f>
        <v>486000</v>
      </c>
      <c r="DF183" s="38">
        <f t="shared" si="141"/>
        <v>-486000</v>
      </c>
      <c r="DG183" s="38">
        <f t="shared" si="142"/>
        <v>1</v>
      </c>
      <c r="DH183" s="38">
        <f>MAX(0,MIN(Inputs!$D$36,DM182,DI183+DJ183+DK183+Inputs!$D$6-DL182))</f>
        <v>0</v>
      </c>
      <c r="DI183" s="38">
        <f>Inputs!$D$27*(1+Inputs!$D$28)^($A183/12)*IF(Inputs!$B$73=1,$G183,1)*(1-Inputs!$C$73*$H183*(1-Inputs!$E$54*Inputs!$B$73))*(1+$I183)*IF(Inputs!$D$29=0,1,(MAX(DL182,0)/Inputs!$D$6)^Inputs!$D$29)</f>
        <v>1439.8746988601501</v>
      </c>
      <c r="DJ183" s="38">
        <f>Inputs!$D$32*DL182/Inputs!$D$6</f>
        <v>587.07915741634577</v>
      </c>
      <c r="DK183" s="38">
        <f>Inputs!$D$33</f>
        <v>1500</v>
      </c>
      <c r="DL183" s="38">
        <f t="shared" si="143"/>
        <v>119480.10769762451</v>
      </c>
      <c r="DM183" s="38">
        <f t="shared" si="144"/>
        <v>0</v>
      </c>
      <c r="DN183" s="38">
        <f>Inputs!$D$19*(1-Inputs!$C$73*$H183)+Inputs!$D$21+Inputs!$B$73*$J183</f>
        <v>398150</v>
      </c>
      <c r="DO183" s="38">
        <f t="shared" si="145"/>
        <v>-278669.89230237552</v>
      </c>
      <c r="DP183" s="38">
        <f t="shared" si="146"/>
        <v>1</v>
      </c>
    </row>
    <row r="184" spans="1:120" x14ac:dyDescent="0.35">
      <c r="A184" s="29">
        <v>179</v>
      </c>
      <c r="B184" s="34">
        <f>EDATE(Inputs!$B$67,$A184)</f>
        <v>51714</v>
      </c>
      <c r="C184" s="35">
        <f>IF(Inputs!$E$47&lt;=0,Inputs!$E$46,Inputs!$E$44+(Inputs!$E$46-Inputs!$E$44)*MIN($A184/Inputs!$E$47,1))</f>
        <v>0.7</v>
      </c>
      <c r="D184" s="35">
        <f>MIN(Inputs!$E$57,Inputs!$E$55*(1+Inputs!$E$56)^($A184/12))*Inputs!$E$58*(1+Inputs!$E$59)^($A184/12)/Inputs!$E$45</f>
        <v>1.5</v>
      </c>
      <c r="E184" s="35">
        <f>MAX(Inputs!$E$44,MIN(C184,D184))</f>
        <v>0.7</v>
      </c>
      <c r="F184" s="35">
        <f>IF(Inputs!$E$50&lt;=0,Inputs!$E$49,Inputs!$E$48+(Inputs!$E$49-Inputs!$E$48)*MIN($A184/Inputs!$E$50,1))</f>
        <v>0.12</v>
      </c>
      <c r="G184" s="36">
        <f>(Inputs!$E$41*(1-E184*Inputs!$E$51)+Inputs!$E$42*(1-F184*Inputs!$E$51))/(Inputs!$E$41*(1-Inputs!$E$44*Inputs!$E$51)+Inputs!$E$42*(1-Inputs!$E$48*Inputs!$E$51))</f>
        <v>0.8423127463863338</v>
      </c>
      <c r="H184" s="35">
        <f>IF(Inputs!$E$53&lt;=0,Inputs!$E$52,Inputs!$E$52*MIN($A184/Inputs!$E$53,1))</f>
        <v>0.1</v>
      </c>
      <c r="I184" s="35">
        <f>IF(Inputs!$E$64&lt;=0,Inputs!$E$63,Inputs!$E$62+(Inputs!$E$63-Inputs!$E$62)*MIN($A184/Inputs!$E$64,1))</f>
        <v>0.03</v>
      </c>
      <c r="J184" s="37">
        <f>(E184-Inputs!$E$44)*Inputs!$E$45/Inputs!$E$60*Inputs!$E$61</f>
        <v>5999.9999999999991</v>
      </c>
      <c r="K184" s="29">
        <f t="shared" si="98"/>
        <v>0</v>
      </c>
      <c r="L184" s="29"/>
      <c r="M184" s="38">
        <f>MAX(0,MIN(Inputs!$B$36,R183,N184+O184+P184+Inputs!$B$6-Q183))</f>
        <v>0</v>
      </c>
      <c r="N184" s="38">
        <f>Inputs!$B$27*(1+Inputs!$B$28)^($A184/12)*IF(Inputs!$B$70=1,$G184,1)*(1-Inputs!$C$70*$H184*(1-Inputs!$E$54*Inputs!$B$70))*(1+$I184)*IF(Inputs!$B$29=0,1,(MAX(Q183,0)/Inputs!$B$6)^Inputs!$B$29)</f>
        <v>31989.11276676476</v>
      </c>
      <c r="O184" s="38">
        <f>Inputs!$B$32*Q183/Inputs!$B$6</f>
        <v>0</v>
      </c>
      <c r="P184" s="38">
        <f>Inputs!$B$33</f>
        <v>2500</v>
      </c>
      <c r="Q184" s="38">
        <f t="shared" si="99"/>
        <v>0</v>
      </c>
      <c r="R184" s="38">
        <f t="shared" si="100"/>
        <v>0</v>
      </c>
      <c r="S184" s="38">
        <f>Inputs!$B$19*(1-Inputs!$C$70*$H184)+Inputs!$B$21+Inputs!$B$70*$J184</f>
        <v>595000</v>
      </c>
      <c r="T184" s="38">
        <f t="shared" si="101"/>
        <v>-595000</v>
      </c>
      <c r="U184" s="38">
        <f t="shared" si="102"/>
        <v>1</v>
      </c>
      <c r="V184" s="38">
        <f>MAX(0,MIN(Inputs!$C$36,AA183,W184+X184+Y184+Inputs!$C$6-Z183))</f>
        <v>0</v>
      </c>
      <c r="W184" s="38">
        <f>Inputs!$C$27*(1+Inputs!$C$28)^($A184/12)*IF(Inputs!$B$70=1,$G184,1)*(1-Inputs!$C$70*$H184*(1-Inputs!$E$54*Inputs!$B$70))*(1+$I184)*IF(Inputs!$C$29=0,1,(MAX(Z183,0)/Inputs!$C$6)^Inputs!$C$29)</f>
        <v>0</v>
      </c>
      <c r="X184" s="38">
        <f>Inputs!$C$32*Z183/Inputs!$C$6</f>
        <v>0</v>
      </c>
      <c r="Y184" s="38">
        <f>Inputs!$C$33</f>
        <v>2000</v>
      </c>
      <c r="Z184" s="38">
        <f t="shared" si="103"/>
        <v>0</v>
      </c>
      <c r="AA184" s="38">
        <f t="shared" si="104"/>
        <v>0</v>
      </c>
      <c r="AB184" s="38">
        <f>Inputs!$C$19*(1-Inputs!$C$70*$H184)+Inputs!$C$21+Inputs!$B$70*$J184</f>
        <v>495000</v>
      </c>
      <c r="AC184" s="38">
        <f t="shared" si="105"/>
        <v>-495000</v>
      </c>
      <c r="AD184" s="38">
        <f t="shared" si="106"/>
        <v>1</v>
      </c>
      <c r="AE184" s="38">
        <f>MAX(0,MIN(Inputs!$D$36,AJ183,AF184+AG184+AH184+Inputs!$D$6-AI183))</f>
        <v>0</v>
      </c>
      <c r="AF184" s="38">
        <f>Inputs!$D$27*(1+Inputs!$D$28)^($A184/12)*IF(Inputs!$B$70=1,$G184,1)*(1-Inputs!$C$70*$H184*(1-Inputs!$E$54*Inputs!$B$70))*(1+$I184)*IF(Inputs!$D$29=0,1,(MAX(AI183,0)/Inputs!$D$6)^Inputs!$D$29)</f>
        <v>1087.4990694604162</v>
      </c>
      <c r="AG184" s="38">
        <f>Inputs!$D$32*AI183/Inputs!$D$6</f>
        <v>216.27769774162437</v>
      </c>
      <c r="AH184" s="38">
        <f>Inputs!$D$33</f>
        <v>1500</v>
      </c>
      <c r="AI184" s="38">
        <f t="shared" si="107"/>
        <v>42511.550378662119</v>
      </c>
      <c r="AJ184" s="38">
        <f t="shared" si="108"/>
        <v>0</v>
      </c>
      <c r="AK184" s="38">
        <f>Inputs!$D$19*(1-Inputs!$C$70*$H184)+Inputs!$D$21+Inputs!$B$70*$J184</f>
        <v>404800</v>
      </c>
      <c r="AL184" s="38">
        <f t="shared" si="109"/>
        <v>-362288.44962133787</v>
      </c>
      <c r="AM184" s="38">
        <f t="shared" si="110"/>
        <v>1</v>
      </c>
      <c r="AN184" s="38">
        <f>MAX(0,MIN(Inputs!$B$36,AS183,AO184+AP184+AQ184+Inputs!$B$6-AR183))</f>
        <v>0</v>
      </c>
      <c r="AO184" s="38">
        <f>Inputs!$B$27*(1+Inputs!$B$28)^($A184/12)*IF(Inputs!$B$71=1,$G184,1)*(1-Inputs!$C$71*$H184*(1-Inputs!$E$54*Inputs!$B$71))*(1+$I184)*IF(Inputs!$B$29=0,1,(MAX(AR183,0)/Inputs!$B$6)^Inputs!$B$29)</f>
        <v>26944.837429035757</v>
      </c>
      <c r="AP184" s="38">
        <f>Inputs!$B$32*AR183/Inputs!$B$6</f>
        <v>0</v>
      </c>
      <c r="AQ184" s="38">
        <f>Inputs!$B$33</f>
        <v>2500</v>
      </c>
      <c r="AR184" s="38">
        <f t="shared" si="111"/>
        <v>0</v>
      </c>
      <c r="AS184" s="38">
        <f t="shared" si="112"/>
        <v>0</v>
      </c>
      <c r="AT184" s="38">
        <f>Inputs!$B$19*(1-Inputs!$C$71*$H184)+Inputs!$B$21+Inputs!$B$71*$J184</f>
        <v>601000</v>
      </c>
      <c r="AU184" s="38">
        <f t="shared" si="113"/>
        <v>-601000</v>
      </c>
      <c r="AV184" s="38">
        <f t="shared" si="114"/>
        <v>1</v>
      </c>
      <c r="AW184" s="38">
        <f>MAX(0,MIN(Inputs!$C$36,BB183,AX184+AY184+AZ184+Inputs!$C$6-BA183))</f>
        <v>0</v>
      </c>
      <c r="AX184" s="38">
        <f>Inputs!$C$27*(1+Inputs!$C$28)^($A184/12)*IF(Inputs!$B$71=1,$G184,1)*(1-Inputs!$C$71*$H184*(1-Inputs!$E$54*Inputs!$B$71))*(1+$I184)*IF(Inputs!$C$29=0,1,(MAX(BA183,0)/Inputs!$C$6)^Inputs!$C$29)</f>
        <v>0</v>
      </c>
      <c r="AY184" s="38">
        <f>Inputs!$C$32*BA183/Inputs!$C$6</f>
        <v>0</v>
      </c>
      <c r="AZ184" s="38">
        <f>Inputs!$C$33</f>
        <v>2000</v>
      </c>
      <c r="BA184" s="38">
        <f t="shared" si="115"/>
        <v>0</v>
      </c>
      <c r="BB184" s="38">
        <f t="shared" si="116"/>
        <v>0</v>
      </c>
      <c r="BC184" s="38">
        <f>Inputs!$C$19*(1-Inputs!$C$71*$H184)+Inputs!$C$21+Inputs!$B$71*$J184</f>
        <v>501000</v>
      </c>
      <c r="BD184" s="38">
        <f t="shared" si="117"/>
        <v>-501000</v>
      </c>
      <c r="BE184" s="38">
        <f t="shared" si="118"/>
        <v>1</v>
      </c>
      <c r="BF184" s="38">
        <f>MAX(0,MIN(Inputs!$D$36,BK183,BG184+BH184+BI184+Inputs!$D$6-BJ183))</f>
        <v>0</v>
      </c>
      <c r="BG184" s="38">
        <f>Inputs!$D$27*(1+Inputs!$D$28)^($A184/12)*IF(Inputs!$B$71=1,$G184,1)*(1-Inputs!$C$71*$H184*(1-Inputs!$E$54*Inputs!$B$71))*(1+$I184)*IF(Inputs!$D$29=0,1,(MAX(BJ183,0)/Inputs!$D$6)^Inputs!$D$29)</f>
        <v>1380.2704358282338</v>
      </c>
      <c r="BH184" s="38">
        <f>Inputs!$D$32*BJ183/Inputs!$D$6</f>
        <v>491.06114952969688</v>
      </c>
      <c r="BI184" s="38">
        <f>Inputs!$D$33</f>
        <v>1500</v>
      </c>
      <c r="BJ184" s="38">
        <f t="shared" si="119"/>
        <v>99517.671173245224</v>
      </c>
      <c r="BK184" s="38">
        <f t="shared" si="120"/>
        <v>0</v>
      </c>
      <c r="BL184" s="38">
        <f>Inputs!$D$19*(1-Inputs!$C$71*$H184)+Inputs!$D$21+Inputs!$B$71*$J184</f>
        <v>410800</v>
      </c>
      <c r="BM184" s="38">
        <f t="shared" si="121"/>
        <v>-311282.32882675476</v>
      </c>
      <c r="BN184" s="38">
        <f t="shared" si="122"/>
        <v>1</v>
      </c>
      <c r="BO184" s="38">
        <f>MAX(0,MIN(Inputs!$B$36,BT183,BP184+BQ184+BR184+Inputs!$B$6-BS183))</f>
        <v>0</v>
      </c>
      <c r="BP184" s="38">
        <f>Inputs!$B$27*(1+Inputs!$B$28)^($A184/12)*IF(Inputs!$B$72=1,$G184,1)*(1-Inputs!$C$72*$H184*(1-Inputs!$E$54*Inputs!$B$72))*(1+$I184)*IF(Inputs!$B$29=0,1,(MAX(BS183,0)/Inputs!$B$6)^Inputs!$B$29)</f>
        <v>28790.201490088282</v>
      </c>
      <c r="BQ184" s="38">
        <f>Inputs!$B$32*BS183/Inputs!$B$6</f>
        <v>0</v>
      </c>
      <c r="BR184" s="38">
        <f>Inputs!$B$33</f>
        <v>2500</v>
      </c>
      <c r="BS184" s="38">
        <f t="shared" si="123"/>
        <v>0</v>
      </c>
      <c r="BT184" s="38">
        <f t="shared" si="124"/>
        <v>0</v>
      </c>
      <c r="BU184" s="38">
        <f>Inputs!$B$19*(1-Inputs!$C$72*$H184)+Inputs!$B$21+Inputs!$B$72*$J184</f>
        <v>577500</v>
      </c>
      <c r="BV184" s="38">
        <f t="shared" si="125"/>
        <v>-577500</v>
      </c>
      <c r="BW184" s="38">
        <f t="shared" si="126"/>
        <v>1</v>
      </c>
      <c r="BX184" s="38">
        <f>MAX(0,MIN(Inputs!$C$36,CC183,BY184+BZ184+CA184+Inputs!$C$6-CB183))</f>
        <v>0</v>
      </c>
      <c r="BY184" s="38">
        <f>Inputs!$C$27*(1+Inputs!$C$28)^($A184/12)*IF(Inputs!$B$72=1,$G184,1)*(1-Inputs!$C$72*$H184*(1-Inputs!$E$54*Inputs!$B$72))*(1+$I184)*IF(Inputs!$C$29=0,1,(MAX(CB183,0)/Inputs!$C$6)^Inputs!$C$29)</f>
        <v>0</v>
      </c>
      <c r="BZ184" s="38">
        <f>Inputs!$C$32*CB183/Inputs!$C$6</f>
        <v>0</v>
      </c>
      <c r="CA184" s="38">
        <f>Inputs!$C$33</f>
        <v>2000</v>
      </c>
      <c r="CB184" s="38">
        <f t="shared" si="127"/>
        <v>0</v>
      </c>
      <c r="CC184" s="38">
        <f t="shared" si="128"/>
        <v>0</v>
      </c>
      <c r="CD184" s="38">
        <f>Inputs!$C$19*(1-Inputs!$C$72*$H184)+Inputs!$C$21+Inputs!$B$72*$J184</f>
        <v>480000</v>
      </c>
      <c r="CE184" s="38">
        <f t="shared" si="129"/>
        <v>-480000</v>
      </c>
      <c r="CF184" s="38">
        <f t="shared" si="130"/>
        <v>1</v>
      </c>
      <c r="CG184" s="38">
        <f>MAX(0,MIN(Inputs!$D$36,CL183,CH184+CI184+CJ184+Inputs!$D$6-CK183))</f>
        <v>0</v>
      </c>
      <c r="CH184" s="38">
        <f>Inputs!$D$27*(1+Inputs!$D$28)^($A184/12)*IF(Inputs!$B$72=1,$G184,1)*(1-Inputs!$C$72*$H184*(1-Inputs!$E$54*Inputs!$B$72))*(1+$I184)*IF(Inputs!$D$29=0,1,(MAX(CK183,0)/Inputs!$D$6)^Inputs!$D$29)</f>
        <v>1277.2533118655385</v>
      </c>
      <c r="CI184" s="38">
        <f>Inputs!$D$32*CK183/Inputs!$D$6</f>
        <v>368.31805276853197</v>
      </c>
      <c r="CJ184" s="38">
        <f>Inputs!$D$33</f>
        <v>1500</v>
      </c>
      <c r="CK184" s="38">
        <f t="shared" si="131"/>
        <v>74025.830167820241</v>
      </c>
      <c r="CL184" s="38">
        <f t="shared" si="132"/>
        <v>0</v>
      </c>
      <c r="CM184" s="38">
        <f>Inputs!$D$19*(1-Inputs!$C$72*$H184)+Inputs!$D$21+Inputs!$B$72*$J184</f>
        <v>392150</v>
      </c>
      <c r="CN184" s="38">
        <f t="shared" si="133"/>
        <v>-318124.16983217979</v>
      </c>
      <c r="CO184" s="38">
        <f t="shared" si="134"/>
        <v>1</v>
      </c>
      <c r="CP184" s="38">
        <f>MAX(0,MIN(Inputs!$B$36,CU183,CQ184+CR184+CS184+Inputs!$B$6-CT183))</f>
        <v>0</v>
      </c>
      <c r="CQ184" s="38">
        <f>Inputs!$B$27*(1+Inputs!$B$28)^($A184/12)*IF(Inputs!$B$73=1,$G184,1)*(1-Inputs!$C$73*$H184*(1-Inputs!$E$54*Inputs!$B$73))*(1+$I184)*IF(Inputs!$B$29=0,1,(MAX(CT183,0)/Inputs!$B$6)^Inputs!$B$29)</f>
        <v>25597.595557583969</v>
      </c>
      <c r="CR184" s="38">
        <f>Inputs!$B$32*CT183/Inputs!$B$6</f>
        <v>0</v>
      </c>
      <c r="CS184" s="38">
        <f>Inputs!$B$33</f>
        <v>2500</v>
      </c>
      <c r="CT184" s="38">
        <f t="shared" si="135"/>
        <v>0</v>
      </c>
      <c r="CU184" s="38">
        <f t="shared" si="136"/>
        <v>0</v>
      </c>
      <c r="CV184" s="38">
        <f>Inputs!$B$19*(1-Inputs!$C$73*$H184)+Inputs!$B$21+Inputs!$B$73*$J184</f>
        <v>583500</v>
      </c>
      <c r="CW184" s="38">
        <f t="shared" si="137"/>
        <v>-583500</v>
      </c>
      <c r="CX184" s="38">
        <f t="shared" si="138"/>
        <v>1</v>
      </c>
      <c r="CY184" s="38">
        <f>MAX(0,MIN(Inputs!$C$36,DD183,CZ184+DA184+DB184+Inputs!$C$6-DC183))</f>
        <v>0</v>
      </c>
      <c r="CZ184" s="38">
        <f>Inputs!$C$27*(1+Inputs!$C$28)^($A184/12)*IF(Inputs!$B$73=1,$G184,1)*(1-Inputs!$C$73*$H184*(1-Inputs!$E$54*Inputs!$B$73))*(1+$I184)*IF(Inputs!$C$29=0,1,(MAX(DC183,0)/Inputs!$C$6)^Inputs!$C$29)</f>
        <v>0</v>
      </c>
      <c r="DA184" s="38">
        <f>Inputs!$C$32*DC183/Inputs!$C$6</f>
        <v>0</v>
      </c>
      <c r="DB184" s="38">
        <f>Inputs!$C$33</f>
        <v>2000</v>
      </c>
      <c r="DC184" s="38">
        <f t="shared" si="139"/>
        <v>0</v>
      </c>
      <c r="DD184" s="38">
        <f t="shared" si="140"/>
        <v>0</v>
      </c>
      <c r="DE184" s="38">
        <f>Inputs!$C$19*(1-Inputs!$C$73*$H184)+Inputs!$C$21+Inputs!$B$73*$J184</f>
        <v>486000</v>
      </c>
      <c r="DF184" s="38">
        <f t="shared" si="141"/>
        <v>-486000</v>
      </c>
      <c r="DG184" s="38">
        <f t="shared" si="142"/>
        <v>1</v>
      </c>
      <c r="DH184" s="38">
        <f>MAX(0,MIN(Inputs!$D$36,DM183,DI184+DJ184+DK184+Inputs!$D$6-DL183))</f>
        <v>0</v>
      </c>
      <c r="DI184" s="38">
        <f>Inputs!$D$27*(1+Inputs!$D$28)^($A184/12)*IF(Inputs!$B$73=1,$G184,1)*(1-Inputs!$C$73*$H184*(1-Inputs!$E$54*Inputs!$B$73))*(1+$I184)*IF(Inputs!$D$29=0,1,(MAX(DL183,0)/Inputs!$D$6)^Inputs!$D$29)</f>
        <v>1413.029129607625</v>
      </c>
      <c r="DJ184" s="38">
        <f>Inputs!$D$32*DL183/Inputs!$D$6</f>
        <v>570.24596855684422</v>
      </c>
      <c r="DK184" s="38">
        <f>Inputs!$D$33</f>
        <v>1500</v>
      </c>
      <c r="DL184" s="38">
        <f t="shared" si="143"/>
        <v>115996.83259946003</v>
      </c>
      <c r="DM184" s="38">
        <f t="shared" si="144"/>
        <v>0</v>
      </c>
      <c r="DN184" s="38">
        <f>Inputs!$D$19*(1-Inputs!$C$73*$H184)+Inputs!$D$21+Inputs!$B$73*$J184</f>
        <v>398150</v>
      </c>
      <c r="DO184" s="38">
        <f t="shared" si="145"/>
        <v>-282153.16740053997</v>
      </c>
      <c r="DP184" s="38">
        <f t="shared" si="146"/>
        <v>1</v>
      </c>
    </row>
    <row r="185" spans="1:120" x14ac:dyDescent="0.35">
      <c r="A185" s="29">
        <v>180</v>
      </c>
      <c r="B185" s="34">
        <f>EDATE(Inputs!$B$67,$A185)</f>
        <v>51745</v>
      </c>
      <c r="C185" s="35">
        <f>IF(Inputs!$E$47&lt;=0,Inputs!$E$46,Inputs!$E$44+(Inputs!$E$46-Inputs!$E$44)*MIN($A185/Inputs!$E$47,1))</f>
        <v>0.7</v>
      </c>
      <c r="D185" s="35">
        <f>MIN(Inputs!$E$57,Inputs!$E$55*(1+Inputs!$E$56)^($A185/12))*Inputs!$E$58*(1+Inputs!$E$59)^($A185/12)/Inputs!$E$45</f>
        <v>1.5</v>
      </c>
      <c r="E185" s="35">
        <f>MAX(Inputs!$E$44,MIN(C185,D185))</f>
        <v>0.7</v>
      </c>
      <c r="F185" s="35">
        <f>IF(Inputs!$E$50&lt;=0,Inputs!$E$49,Inputs!$E$48+(Inputs!$E$49-Inputs!$E$48)*MIN($A185/Inputs!$E$50,1))</f>
        <v>0.12</v>
      </c>
      <c r="G185" s="36">
        <f>(Inputs!$E$41*(1-E185*Inputs!$E$51)+Inputs!$E$42*(1-F185*Inputs!$E$51))/(Inputs!$E$41*(1-Inputs!$E$44*Inputs!$E$51)+Inputs!$E$42*(1-Inputs!$E$48*Inputs!$E$51))</f>
        <v>0.8423127463863338</v>
      </c>
      <c r="H185" s="35">
        <f>IF(Inputs!$E$53&lt;=0,Inputs!$E$52,Inputs!$E$52*MIN($A185/Inputs!$E$53,1))</f>
        <v>0.1</v>
      </c>
      <c r="I185" s="35">
        <f>IF(Inputs!$E$64&lt;=0,Inputs!$E$63,Inputs!$E$62+(Inputs!$E$63-Inputs!$E$62)*MIN($A185/Inputs!$E$64,1))</f>
        <v>0.03</v>
      </c>
      <c r="J185" s="37">
        <f>(E185-Inputs!$E$44)*Inputs!$E$45/Inputs!$E$60*Inputs!$E$61</f>
        <v>5999.9999999999991</v>
      </c>
      <c r="K185" s="29">
        <f t="shared" si="98"/>
        <v>0</v>
      </c>
      <c r="L185" s="29"/>
      <c r="M185" s="38">
        <f>MAX(0,MIN(Inputs!$B$36,R184,N185+O185+P185+Inputs!$B$6-Q184))</f>
        <v>0</v>
      </c>
      <c r="N185" s="38">
        <f>Inputs!$B$27*(1+Inputs!$B$28)^($A185/12)*IF(Inputs!$B$70=1,$G185,1)*(1-Inputs!$C$70*$H185*(1-Inputs!$E$54*Inputs!$B$70))*(1+$I185)*IF(Inputs!$B$29=0,1,(MAX(Q184,0)/Inputs!$B$6)^Inputs!$B$29)</f>
        <v>32119.440371905635</v>
      </c>
      <c r="O185" s="38">
        <f>Inputs!$B$32*Q184/Inputs!$B$6</f>
        <v>0</v>
      </c>
      <c r="P185" s="38">
        <f>Inputs!$B$33</f>
        <v>2500</v>
      </c>
      <c r="Q185" s="38">
        <f t="shared" si="99"/>
        <v>0</v>
      </c>
      <c r="R185" s="38">
        <f t="shared" si="100"/>
        <v>0</v>
      </c>
      <c r="S185" s="38">
        <f>Inputs!$B$19*(1-Inputs!$C$70*$H185)+Inputs!$B$21+Inputs!$B$70*$J185</f>
        <v>595000</v>
      </c>
      <c r="T185" s="38">
        <f t="shared" si="101"/>
        <v>-595000</v>
      </c>
      <c r="U185" s="38">
        <f t="shared" si="102"/>
        <v>1</v>
      </c>
      <c r="V185" s="38">
        <f>MAX(0,MIN(Inputs!$C$36,AA184,W185+X185+Y185+Inputs!$C$6-Z184))</f>
        <v>0</v>
      </c>
      <c r="W185" s="38">
        <f>Inputs!$C$27*(1+Inputs!$C$28)^($A185/12)*IF(Inputs!$B$70=1,$G185,1)*(1-Inputs!$C$70*$H185*(1-Inputs!$E$54*Inputs!$B$70))*(1+$I185)*IF(Inputs!$C$29=0,1,(MAX(Z184,0)/Inputs!$C$6)^Inputs!$C$29)</f>
        <v>0</v>
      </c>
      <c r="X185" s="38">
        <f>Inputs!$C$32*Z184/Inputs!$C$6</f>
        <v>0</v>
      </c>
      <c r="Y185" s="38">
        <f>Inputs!$C$33</f>
        <v>2000</v>
      </c>
      <c r="Z185" s="38">
        <f t="shared" si="103"/>
        <v>0</v>
      </c>
      <c r="AA185" s="38">
        <f t="shared" si="104"/>
        <v>0</v>
      </c>
      <c r="AB185" s="38">
        <f>Inputs!$C$19*(1-Inputs!$C$70*$H185)+Inputs!$C$21+Inputs!$B$70*$J185</f>
        <v>495000</v>
      </c>
      <c r="AC185" s="38">
        <f t="shared" si="105"/>
        <v>-495000</v>
      </c>
      <c r="AD185" s="38">
        <f t="shared" si="106"/>
        <v>1</v>
      </c>
      <c r="AE185" s="38">
        <f>MAX(0,MIN(Inputs!$D$36,AJ184,AF185+AG185+AH185+Inputs!$D$6-AI184))</f>
        <v>0</v>
      </c>
      <c r="AF185" s="38">
        <f>Inputs!$D$27*(1+Inputs!$D$28)^($A185/12)*IF(Inputs!$B$70=1,$G185,1)*(1-Inputs!$C$70*$H185*(1-Inputs!$E$54*Inputs!$B$70))*(1+$I185)*IF(Inputs!$D$29=0,1,(MAX(AI184,0)/Inputs!$D$6)^Inputs!$D$29)</f>
        <v>1048.8259880441813</v>
      </c>
      <c r="AG185" s="38">
        <f>Inputs!$D$32*AI184/Inputs!$D$6</f>
        <v>202.89603589816011</v>
      </c>
      <c r="AH185" s="38">
        <f>Inputs!$D$33</f>
        <v>1500</v>
      </c>
      <c r="AI185" s="38">
        <f t="shared" si="107"/>
        <v>39759.828354719779</v>
      </c>
      <c r="AJ185" s="38">
        <f t="shared" si="108"/>
        <v>0</v>
      </c>
      <c r="AK185" s="38">
        <f>Inputs!$D$19*(1-Inputs!$C$70*$H185)+Inputs!$D$21+Inputs!$B$70*$J185</f>
        <v>404800</v>
      </c>
      <c r="AL185" s="38">
        <f t="shared" si="109"/>
        <v>-365040.17164528021</v>
      </c>
      <c r="AM185" s="38">
        <f t="shared" si="110"/>
        <v>1</v>
      </c>
      <c r="AN185" s="38">
        <f>MAX(0,MIN(Inputs!$B$36,AS184,AO185+AP185+AQ185+Inputs!$B$6-AR184))</f>
        <v>0</v>
      </c>
      <c r="AO185" s="38">
        <f>Inputs!$B$27*(1+Inputs!$B$28)^($A185/12)*IF(Inputs!$B$71=1,$G185,1)*(1-Inputs!$C$71*$H185*(1-Inputs!$E$54*Inputs!$B$71))*(1+$I185)*IF(Inputs!$B$29=0,1,(MAX(AR184,0)/Inputs!$B$6)^Inputs!$B$29)</f>
        <v>27054.614032051923</v>
      </c>
      <c r="AP185" s="38">
        <f>Inputs!$B$32*AR184/Inputs!$B$6</f>
        <v>0</v>
      </c>
      <c r="AQ185" s="38">
        <f>Inputs!$B$33</f>
        <v>2500</v>
      </c>
      <c r="AR185" s="38">
        <f t="shared" si="111"/>
        <v>0</v>
      </c>
      <c r="AS185" s="38">
        <f t="shared" si="112"/>
        <v>0</v>
      </c>
      <c r="AT185" s="38">
        <f>Inputs!$B$19*(1-Inputs!$C$71*$H185)+Inputs!$B$21+Inputs!$B$71*$J185</f>
        <v>601000</v>
      </c>
      <c r="AU185" s="38">
        <f t="shared" si="113"/>
        <v>-601000</v>
      </c>
      <c r="AV185" s="38">
        <f t="shared" si="114"/>
        <v>1</v>
      </c>
      <c r="AW185" s="38">
        <f>MAX(0,MIN(Inputs!$C$36,BB184,AX185+AY185+AZ185+Inputs!$C$6-BA184))</f>
        <v>0</v>
      </c>
      <c r="AX185" s="38">
        <f>Inputs!$C$27*(1+Inputs!$C$28)^($A185/12)*IF(Inputs!$B$71=1,$G185,1)*(1-Inputs!$C$71*$H185*(1-Inputs!$E$54*Inputs!$B$71))*(1+$I185)*IF(Inputs!$C$29=0,1,(MAX(BA184,0)/Inputs!$C$6)^Inputs!$C$29)</f>
        <v>0</v>
      </c>
      <c r="AY185" s="38">
        <f>Inputs!$C$32*BA184/Inputs!$C$6</f>
        <v>0</v>
      </c>
      <c r="AZ185" s="38">
        <f>Inputs!$C$33</f>
        <v>2000</v>
      </c>
      <c r="BA185" s="38">
        <f t="shared" si="115"/>
        <v>0</v>
      </c>
      <c r="BB185" s="38">
        <f t="shared" si="116"/>
        <v>0</v>
      </c>
      <c r="BC185" s="38">
        <f>Inputs!$C$19*(1-Inputs!$C$71*$H185)+Inputs!$C$21+Inputs!$B$71*$J185</f>
        <v>501000</v>
      </c>
      <c r="BD185" s="38">
        <f t="shared" si="117"/>
        <v>-501000</v>
      </c>
      <c r="BE185" s="38">
        <f t="shared" si="118"/>
        <v>1</v>
      </c>
      <c r="BF185" s="38">
        <f>MAX(0,MIN(Inputs!$D$36,BK184,BG185+BH185+BI185+Inputs!$D$6-BJ184))</f>
        <v>0</v>
      </c>
      <c r="BG185" s="38">
        <f>Inputs!$D$27*(1+Inputs!$D$28)^($A185/12)*IF(Inputs!$B$71=1,$G185,1)*(1-Inputs!$C$71*$H185*(1-Inputs!$E$54*Inputs!$B$71))*(1+$I185)*IF(Inputs!$D$29=0,1,(MAX(BJ184,0)/Inputs!$D$6)^Inputs!$D$29)</f>
        <v>1351.6786153301734</v>
      </c>
      <c r="BH185" s="38">
        <f>Inputs!$D$32*BJ184/Inputs!$D$6</f>
        <v>474.97070332685223</v>
      </c>
      <c r="BI185" s="38">
        <f>Inputs!$D$33</f>
        <v>1500</v>
      </c>
      <c r="BJ185" s="38">
        <f t="shared" si="119"/>
        <v>96191.021854588194</v>
      </c>
      <c r="BK185" s="38">
        <f t="shared" si="120"/>
        <v>0</v>
      </c>
      <c r="BL185" s="38">
        <f>Inputs!$D$19*(1-Inputs!$C$71*$H185)+Inputs!$D$21+Inputs!$B$71*$J185</f>
        <v>410800</v>
      </c>
      <c r="BM185" s="38">
        <f t="shared" si="121"/>
        <v>-314608.97814541182</v>
      </c>
      <c r="BN185" s="38">
        <f t="shared" si="122"/>
        <v>1</v>
      </c>
      <c r="BO185" s="38">
        <f>MAX(0,MIN(Inputs!$B$36,BT184,BP185+BQ185+BR185+Inputs!$B$6-BS184))</f>
        <v>0</v>
      </c>
      <c r="BP185" s="38">
        <f>Inputs!$B$27*(1+Inputs!$B$28)^($A185/12)*IF(Inputs!$B$72=1,$G185,1)*(1-Inputs!$C$72*$H185*(1-Inputs!$E$54*Inputs!$B$72))*(1+$I185)*IF(Inputs!$B$29=0,1,(MAX(BS184,0)/Inputs!$B$6)^Inputs!$B$29)</f>
        <v>28907.496334715073</v>
      </c>
      <c r="BQ185" s="38">
        <f>Inputs!$B$32*BS184/Inputs!$B$6</f>
        <v>0</v>
      </c>
      <c r="BR185" s="38">
        <f>Inputs!$B$33</f>
        <v>2500</v>
      </c>
      <c r="BS185" s="38">
        <f t="shared" si="123"/>
        <v>0</v>
      </c>
      <c r="BT185" s="38">
        <f t="shared" si="124"/>
        <v>0</v>
      </c>
      <c r="BU185" s="38">
        <f>Inputs!$B$19*(1-Inputs!$C$72*$H185)+Inputs!$B$21+Inputs!$B$72*$J185</f>
        <v>577500</v>
      </c>
      <c r="BV185" s="38">
        <f t="shared" si="125"/>
        <v>-577500</v>
      </c>
      <c r="BW185" s="38">
        <f t="shared" si="126"/>
        <v>1</v>
      </c>
      <c r="BX185" s="38">
        <f>MAX(0,MIN(Inputs!$C$36,CC184,BY185+BZ185+CA185+Inputs!$C$6-CB184))</f>
        <v>0</v>
      </c>
      <c r="BY185" s="38">
        <f>Inputs!$C$27*(1+Inputs!$C$28)^($A185/12)*IF(Inputs!$B$72=1,$G185,1)*(1-Inputs!$C$72*$H185*(1-Inputs!$E$54*Inputs!$B$72))*(1+$I185)*IF(Inputs!$C$29=0,1,(MAX(CB184,0)/Inputs!$C$6)^Inputs!$C$29)</f>
        <v>0</v>
      </c>
      <c r="BZ185" s="38">
        <f>Inputs!$C$32*CB184/Inputs!$C$6</f>
        <v>0</v>
      </c>
      <c r="CA185" s="38">
        <f>Inputs!$C$33</f>
        <v>2000</v>
      </c>
      <c r="CB185" s="38">
        <f t="shared" si="127"/>
        <v>0</v>
      </c>
      <c r="CC185" s="38">
        <f t="shared" si="128"/>
        <v>0</v>
      </c>
      <c r="CD185" s="38">
        <f>Inputs!$C$19*(1-Inputs!$C$72*$H185)+Inputs!$C$21+Inputs!$B$72*$J185</f>
        <v>480000</v>
      </c>
      <c r="CE185" s="38">
        <f t="shared" si="129"/>
        <v>-480000</v>
      </c>
      <c r="CF185" s="38">
        <f t="shared" si="130"/>
        <v>1</v>
      </c>
      <c r="CG185" s="38">
        <f>MAX(0,MIN(Inputs!$D$36,CL184,CH185+CI185+CJ185+Inputs!$D$6-CK184))</f>
        <v>0</v>
      </c>
      <c r="CH185" s="38">
        <f>Inputs!$D$27*(1+Inputs!$D$28)^($A185/12)*IF(Inputs!$B$72=1,$G185,1)*(1-Inputs!$C$72*$H185*(1-Inputs!$E$54*Inputs!$B$72))*(1+$I185)*IF(Inputs!$D$29=0,1,(MAX(CK184,0)/Inputs!$D$6)^Inputs!$D$29)</f>
        <v>1245.6158351652907</v>
      </c>
      <c r="CI185" s="38">
        <f>Inputs!$D$32*CK184/Inputs!$D$6</f>
        <v>353.30509852823297</v>
      </c>
      <c r="CJ185" s="38">
        <f>Inputs!$D$33</f>
        <v>1500</v>
      </c>
      <c r="CK185" s="38">
        <f t="shared" si="131"/>
        <v>70926.909234126724</v>
      </c>
      <c r="CL185" s="38">
        <f t="shared" si="132"/>
        <v>0</v>
      </c>
      <c r="CM185" s="38">
        <f>Inputs!$D$19*(1-Inputs!$C$72*$H185)+Inputs!$D$21+Inputs!$B$72*$J185</f>
        <v>392150</v>
      </c>
      <c r="CN185" s="38">
        <f t="shared" si="133"/>
        <v>-321223.09076587326</v>
      </c>
      <c r="CO185" s="38">
        <f t="shared" si="134"/>
        <v>1</v>
      </c>
      <c r="CP185" s="38">
        <f>MAX(0,MIN(Inputs!$B$36,CU184,CQ185+CR185+CS185+Inputs!$B$6-CT184))</f>
        <v>0</v>
      </c>
      <c r="CQ185" s="38">
        <f>Inputs!$B$27*(1+Inputs!$B$28)^($A185/12)*IF(Inputs!$B$73=1,$G185,1)*(1-Inputs!$C$73*$H185*(1-Inputs!$E$54*Inputs!$B$73))*(1+$I185)*IF(Inputs!$B$29=0,1,(MAX(CT184,0)/Inputs!$B$6)^Inputs!$B$29)</f>
        <v>25701.883330449324</v>
      </c>
      <c r="CR185" s="38">
        <f>Inputs!$B$32*CT184/Inputs!$B$6</f>
        <v>0</v>
      </c>
      <c r="CS185" s="38">
        <f>Inputs!$B$33</f>
        <v>2500</v>
      </c>
      <c r="CT185" s="38">
        <f t="shared" si="135"/>
        <v>0</v>
      </c>
      <c r="CU185" s="38">
        <f t="shared" si="136"/>
        <v>0</v>
      </c>
      <c r="CV185" s="38">
        <f>Inputs!$B$19*(1-Inputs!$C$73*$H185)+Inputs!$B$21+Inputs!$B$73*$J185</f>
        <v>583500</v>
      </c>
      <c r="CW185" s="38">
        <f t="shared" si="137"/>
        <v>-583500</v>
      </c>
      <c r="CX185" s="38">
        <f t="shared" si="138"/>
        <v>1</v>
      </c>
      <c r="CY185" s="38">
        <f>MAX(0,MIN(Inputs!$C$36,DD184,CZ185+DA185+DB185+Inputs!$C$6-DC184))</f>
        <v>0</v>
      </c>
      <c r="CZ185" s="38">
        <f>Inputs!$C$27*(1+Inputs!$C$28)^($A185/12)*IF(Inputs!$B$73=1,$G185,1)*(1-Inputs!$C$73*$H185*(1-Inputs!$E$54*Inputs!$B$73))*(1+$I185)*IF(Inputs!$C$29=0,1,(MAX(DC184,0)/Inputs!$C$6)^Inputs!$C$29)</f>
        <v>0</v>
      </c>
      <c r="DA185" s="38">
        <f>Inputs!$C$32*DC184/Inputs!$C$6</f>
        <v>0</v>
      </c>
      <c r="DB185" s="38">
        <f>Inputs!$C$33</f>
        <v>2000</v>
      </c>
      <c r="DC185" s="38">
        <f t="shared" si="139"/>
        <v>0</v>
      </c>
      <c r="DD185" s="38">
        <f t="shared" si="140"/>
        <v>0</v>
      </c>
      <c r="DE185" s="38">
        <f>Inputs!$C$19*(1-Inputs!$C$73*$H185)+Inputs!$C$21+Inputs!$B$73*$J185</f>
        <v>486000</v>
      </c>
      <c r="DF185" s="38">
        <f t="shared" si="141"/>
        <v>-486000</v>
      </c>
      <c r="DG185" s="38">
        <f t="shared" si="142"/>
        <v>1</v>
      </c>
      <c r="DH185" s="38">
        <f>MAX(0,MIN(Inputs!$D$36,DM184,DI185+DJ185+DK185+Inputs!$D$6-DL184))</f>
        <v>0</v>
      </c>
      <c r="DI185" s="38">
        <f>Inputs!$D$27*(1+Inputs!$D$28)^($A185/12)*IF(Inputs!$B$73=1,$G185,1)*(1-Inputs!$C$73*$H185*(1-Inputs!$E$54*Inputs!$B$73))*(1+$I185)*IF(Inputs!$D$29=0,1,(MAX(DL184,0)/Inputs!$D$6)^Inputs!$D$29)</f>
        <v>1386.3408209998126</v>
      </c>
      <c r="DJ185" s="38">
        <f>Inputs!$D$32*DL184/Inputs!$D$6</f>
        <v>553.62124649742282</v>
      </c>
      <c r="DK185" s="38">
        <f>Inputs!$D$33</f>
        <v>1500</v>
      </c>
      <c r="DL185" s="38">
        <f t="shared" si="143"/>
        <v>112556.87053196279</v>
      </c>
      <c r="DM185" s="38">
        <f t="shared" si="144"/>
        <v>0</v>
      </c>
      <c r="DN185" s="38">
        <f>Inputs!$D$19*(1-Inputs!$C$73*$H185)+Inputs!$D$21+Inputs!$B$73*$J185</f>
        <v>398150</v>
      </c>
      <c r="DO185" s="38">
        <f t="shared" si="145"/>
        <v>-285593.12946803722</v>
      </c>
      <c r="DP185" s="38">
        <f t="shared" si="146"/>
        <v>1</v>
      </c>
    </row>
    <row r="186" spans="1:120" x14ac:dyDescent="0.35">
      <c r="A186" s="29">
        <v>181</v>
      </c>
      <c r="B186" s="34">
        <f>EDATE(Inputs!$B$67,$A186)</f>
        <v>51775</v>
      </c>
      <c r="C186" s="35">
        <f>IF(Inputs!$E$47&lt;=0,Inputs!$E$46,Inputs!$E$44+(Inputs!$E$46-Inputs!$E$44)*MIN($A186/Inputs!$E$47,1))</f>
        <v>0.7</v>
      </c>
      <c r="D186" s="35">
        <f>MIN(Inputs!$E$57,Inputs!$E$55*(1+Inputs!$E$56)^($A186/12))*Inputs!$E$58*(1+Inputs!$E$59)^($A186/12)/Inputs!$E$45</f>
        <v>1.5</v>
      </c>
      <c r="E186" s="35">
        <f>MAX(Inputs!$E$44,MIN(C186,D186))</f>
        <v>0.7</v>
      </c>
      <c r="F186" s="35">
        <f>IF(Inputs!$E$50&lt;=0,Inputs!$E$49,Inputs!$E$48+(Inputs!$E$49-Inputs!$E$48)*MIN($A186/Inputs!$E$50,1))</f>
        <v>0.12</v>
      </c>
      <c r="G186" s="36">
        <f>(Inputs!$E$41*(1-E186*Inputs!$E$51)+Inputs!$E$42*(1-F186*Inputs!$E$51))/(Inputs!$E$41*(1-Inputs!$E$44*Inputs!$E$51)+Inputs!$E$42*(1-Inputs!$E$48*Inputs!$E$51))</f>
        <v>0.8423127463863338</v>
      </c>
      <c r="H186" s="35">
        <f>IF(Inputs!$E$53&lt;=0,Inputs!$E$52,Inputs!$E$52*MIN($A186/Inputs!$E$53,1))</f>
        <v>0.1</v>
      </c>
      <c r="I186" s="35">
        <f>IF(Inputs!$E$64&lt;=0,Inputs!$E$63,Inputs!$E$62+(Inputs!$E$63-Inputs!$E$62)*MIN($A186/Inputs!$E$64,1))</f>
        <v>0.03</v>
      </c>
      <c r="J186" s="37">
        <f>(E186-Inputs!$E$44)*Inputs!$E$45/Inputs!$E$60*Inputs!$E$61</f>
        <v>5999.9999999999991</v>
      </c>
      <c r="K186" s="29">
        <f t="shared" si="98"/>
        <v>0</v>
      </c>
      <c r="L186" s="29"/>
      <c r="M186" s="38">
        <f>MAX(0,MIN(Inputs!$B$36,R185,N186+O186+P186+Inputs!$B$6-Q185))</f>
        <v>0</v>
      </c>
      <c r="N186" s="38">
        <f>Inputs!$B$27*(1+Inputs!$B$28)^($A186/12)*IF(Inputs!$B$70=1,$G186,1)*(1-Inputs!$C$70*$H186*(1-Inputs!$E$54*Inputs!$B$70))*(1+$I186)*IF(Inputs!$B$29=0,1,(MAX(Q185,0)/Inputs!$B$6)^Inputs!$B$29)</f>
        <v>32250.298947842304</v>
      </c>
      <c r="O186" s="38">
        <f>Inputs!$B$32*Q185/Inputs!$B$6</f>
        <v>0</v>
      </c>
      <c r="P186" s="38">
        <f>Inputs!$B$33</f>
        <v>2500</v>
      </c>
      <c r="Q186" s="38">
        <f t="shared" si="99"/>
        <v>0</v>
      </c>
      <c r="R186" s="38">
        <f t="shared" si="100"/>
        <v>0</v>
      </c>
      <c r="S186" s="38">
        <f>Inputs!$B$19*(1-Inputs!$C$70*$H186)+Inputs!$B$21+Inputs!$B$70*$J186</f>
        <v>595000</v>
      </c>
      <c r="T186" s="38">
        <f t="shared" si="101"/>
        <v>-595000</v>
      </c>
      <c r="U186" s="38">
        <f t="shared" si="102"/>
        <v>1</v>
      </c>
      <c r="V186" s="38">
        <f>MAX(0,MIN(Inputs!$C$36,AA185,W186+X186+Y186+Inputs!$C$6-Z185))</f>
        <v>0</v>
      </c>
      <c r="W186" s="38">
        <f>Inputs!$C$27*(1+Inputs!$C$28)^($A186/12)*IF(Inputs!$B$70=1,$G186,1)*(1-Inputs!$C$70*$H186*(1-Inputs!$E$54*Inputs!$B$70))*(1+$I186)*IF(Inputs!$C$29=0,1,(MAX(Z185,0)/Inputs!$C$6)^Inputs!$C$29)</f>
        <v>0</v>
      </c>
      <c r="X186" s="38">
        <f>Inputs!$C$32*Z185/Inputs!$C$6</f>
        <v>0</v>
      </c>
      <c r="Y186" s="38">
        <f>Inputs!$C$33</f>
        <v>2000</v>
      </c>
      <c r="Z186" s="38">
        <f t="shared" si="103"/>
        <v>0</v>
      </c>
      <c r="AA186" s="38">
        <f t="shared" si="104"/>
        <v>0</v>
      </c>
      <c r="AB186" s="38">
        <f>Inputs!$C$19*(1-Inputs!$C$70*$H186)+Inputs!$C$21+Inputs!$B$70*$J186</f>
        <v>495000</v>
      </c>
      <c r="AC186" s="38">
        <f t="shared" si="105"/>
        <v>-495000</v>
      </c>
      <c r="AD186" s="38">
        <f t="shared" si="106"/>
        <v>1</v>
      </c>
      <c r="AE186" s="38">
        <f>MAX(0,MIN(Inputs!$D$36,AJ185,AF186+AG186+AH186+Inputs!$D$6-AI185))</f>
        <v>0</v>
      </c>
      <c r="AF186" s="38">
        <f>Inputs!$D$27*(1+Inputs!$D$28)^($A186/12)*IF(Inputs!$B$70=1,$G186,1)*(1-Inputs!$C$70*$H186*(1-Inputs!$E$54*Inputs!$B$70))*(1+$I186)*IF(Inputs!$D$29=0,1,(MAX(AI185,0)/Inputs!$D$6)^Inputs!$D$29)</f>
        <v>1009.9871589481924</v>
      </c>
      <c r="AG186" s="38">
        <f>Inputs!$D$32*AI185/Inputs!$D$6</f>
        <v>189.76281714752622</v>
      </c>
      <c r="AH186" s="38">
        <f>Inputs!$D$33</f>
        <v>1500</v>
      </c>
      <c r="AI186" s="38">
        <f t="shared" si="107"/>
        <v>37060.078378624064</v>
      </c>
      <c r="AJ186" s="38">
        <f t="shared" si="108"/>
        <v>0</v>
      </c>
      <c r="AK186" s="38">
        <f>Inputs!$D$19*(1-Inputs!$C$70*$H186)+Inputs!$D$21+Inputs!$B$70*$J186</f>
        <v>404800</v>
      </c>
      <c r="AL186" s="38">
        <f t="shared" si="109"/>
        <v>-367739.92162137595</v>
      </c>
      <c r="AM186" s="38">
        <f t="shared" si="110"/>
        <v>1</v>
      </c>
      <c r="AN186" s="38">
        <f>MAX(0,MIN(Inputs!$B$36,AS185,AO186+AP186+AQ186+Inputs!$B$6-AR185))</f>
        <v>0</v>
      </c>
      <c r="AO186" s="38">
        <f>Inputs!$B$27*(1+Inputs!$B$28)^($A186/12)*IF(Inputs!$B$71=1,$G186,1)*(1-Inputs!$C$71*$H186*(1-Inputs!$E$54*Inputs!$B$71))*(1+$I186)*IF(Inputs!$B$29=0,1,(MAX(AR185,0)/Inputs!$B$6)^Inputs!$B$29)</f>
        <v>27164.837878537342</v>
      </c>
      <c r="AP186" s="38">
        <f>Inputs!$B$32*AR185/Inputs!$B$6</f>
        <v>0</v>
      </c>
      <c r="AQ186" s="38">
        <f>Inputs!$B$33</f>
        <v>2500</v>
      </c>
      <c r="AR186" s="38">
        <f t="shared" si="111"/>
        <v>0</v>
      </c>
      <c r="AS186" s="38">
        <f t="shared" si="112"/>
        <v>0</v>
      </c>
      <c r="AT186" s="38">
        <f>Inputs!$B$19*(1-Inputs!$C$71*$H186)+Inputs!$B$21+Inputs!$B$71*$J186</f>
        <v>601000</v>
      </c>
      <c r="AU186" s="38">
        <f t="shared" si="113"/>
        <v>-601000</v>
      </c>
      <c r="AV186" s="38">
        <f t="shared" si="114"/>
        <v>1</v>
      </c>
      <c r="AW186" s="38">
        <f>MAX(0,MIN(Inputs!$C$36,BB185,AX186+AY186+AZ186+Inputs!$C$6-BA185))</f>
        <v>0</v>
      </c>
      <c r="AX186" s="38">
        <f>Inputs!$C$27*(1+Inputs!$C$28)^($A186/12)*IF(Inputs!$B$71=1,$G186,1)*(1-Inputs!$C$71*$H186*(1-Inputs!$E$54*Inputs!$B$71))*(1+$I186)*IF(Inputs!$C$29=0,1,(MAX(BA185,0)/Inputs!$C$6)^Inputs!$C$29)</f>
        <v>0</v>
      </c>
      <c r="AY186" s="38">
        <f>Inputs!$C$32*BA185/Inputs!$C$6</f>
        <v>0</v>
      </c>
      <c r="AZ186" s="38">
        <f>Inputs!$C$33</f>
        <v>2000</v>
      </c>
      <c r="BA186" s="38">
        <f t="shared" si="115"/>
        <v>0</v>
      </c>
      <c r="BB186" s="38">
        <f t="shared" si="116"/>
        <v>0</v>
      </c>
      <c r="BC186" s="38">
        <f>Inputs!$C$19*(1-Inputs!$C$71*$H186)+Inputs!$C$21+Inputs!$B$71*$J186</f>
        <v>501000</v>
      </c>
      <c r="BD186" s="38">
        <f t="shared" si="117"/>
        <v>-501000</v>
      </c>
      <c r="BE186" s="38">
        <f t="shared" si="118"/>
        <v>1</v>
      </c>
      <c r="BF186" s="38">
        <f>MAX(0,MIN(Inputs!$D$36,BK185,BG186+BH186+BI186+Inputs!$D$6-BJ185))</f>
        <v>0</v>
      </c>
      <c r="BG186" s="38">
        <f>Inputs!$D$27*(1+Inputs!$D$28)^($A186/12)*IF(Inputs!$B$71=1,$G186,1)*(1-Inputs!$C$71*$H186*(1-Inputs!$E$54*Inputs!$B$71))*(1+$I186)*IF(Inputs!$D$29=0,1,(MAX(BJ185,0)/Inputs!$D$6)^Inputs!$D$29)</f>
        <v>1323.226664018481</v>
      </c>
      <c r="BH186" s="38">
        <f>Inputs!$D$32*BJ185/Inputs!$D$6</f>
        <v>459.09351339689817</v>
      </c>
      <c r="BI186" s="38">
        <f>Inputs!$D$33</f>
        <v>1500</v>
      </c>
      <c r="BJ186" s="38">
        <f t="shared" si="119"/>
        <v>92908.701677172809</v>
      </c>
      <c r="BK186" s="38">
        <f t="shared" si="120"/>
        <v>0</v>
      </c>
      <c r="BL186" s="38">
        <f>Inputs!$D$19*(1-Inputs!$C$71*$H186)+Inputs!$D$21+Inputs!$B$71*$J186</f>
        <v>410800</v>
      </c>
      <c r="BM186" s="38">
        <f t="shared" si="121"/>
        <v>-317891.29832282721</v>
      </c>
      <c r="BN186" s="38">
        <f t="shared" si="122"/>
        <v>1</v>
      </c>
      <c r="BO186" s="38">
        <f>MAX(0,MIN(Inputs!$B$36,BT185,BP186+BQ186+BR186+Inputs!$B$6-BS185))</f>
        <v>0</v>
      </c>
      <c r="BP186" s="38">
        <f>Inputs!$B$27*(1+Inputs!$B$28)^($A186/12)*IF(Inputs!$B$72=1,$G186,1)*(1-Inputs!$C$72*$H186*(1-Inputs!$E$54*Inputs!$B$72))*(1+$I186)*IF(Inputs!$B$29=0,1,(MAX(BS185,0)/Inputs!$B$6)^Inputs!$B$29)</f>
        <v>29025.269053058073</v>
      </c>
      <c r="BQ186" s="38">
        <f>Inputs!$B$32*BS185/Inputs!$B$6</f>
        <v>0</v>
      </c>
      <c r="BR186" s="38">
        <f>Inputs!$B$33</f>
        <v>2500</v>
      </c>
      <c r="BS186" s="38">
        <f t="shared" si="123"/>
        <v>0</v>
      </c>
      <c r="BT186" s="38">
        <f t="shared" si="124"/>
        <v>0</v>
      </c>
      <c r="BU186" s="38">
        <f>Inputs!$B$19*(1-Inputs!$C$72*$H186)+Inputs!$B$21+Inputs!$B$72*$J186</f>
        <v>577500</v>
      </c>
      <c r="BV186" s="38">
        <f t="shared" si="125"/>
        <v>-577500</v>
      </c>
      <c r="BW186" s="38">
        <f t="shared" si="126"/>
        <v>1</v>
      </c>
      <c r="BX186" s="38">
        <f>MAX(0,MIN(Inputs!$C$36,CC185,BY186+BZ186+CA186+Inputs!$C$6-CB185))</f>
        <v>0</v>
      </c>
      <c r="BY186" s="38">
        <f>Inputs!$C$27*(1+Inputs!$C$28)^($A186/12)*IF(Inputs!$B$72=1,$G186,1)*(1-Inputs!$C$72*$H186*(1-Inputs!$E$54*Inputs!$B$72))*(1+$I186)*IF(Inputs!$C$29=0,1,(MAX(CB185,0)/Inputs!$C$6)^Inputs!$C$29)</f>
        <v>0</v>
      </c>
      <c r="BZ186" s="38">
        <f>Inputs!$C$32*CB185/Inputs!$C$6</f>
        <v>0</v>
      </c>
      <c r="CA186" s="38">
        <f>Inputs!$C$33</f>
        <v>2000</v>
      </c>
      <c r="CB186" s="38">
        <f t="shared" si="127"/>
        <v>0</v>
      </c>
      <c r="CC186" s="38">
        <f t="shared" si="128"/>
        <v>0</v>
      </c>
      <c r="CD186" s="38">
        <f>Inputs!$C$19*(1-Inputs!$C$72*$H186)+Inputs!$C$21+Inputs!$B$72*$J186</f>
        <v>480000</v>
      </c>
      <c r="CE186" s="38">
        <f t="shared" si="129"/>
        <v>-480000</v>
      </c>
      <c r="CF186" s="38">
        <f t="shared" si="130"/>
        <v>1</v>
      </c>
      <c r="CG186" s="38">
        <f>MAX(0,MIN(Inputs!$D$36,CL185,CH186+CI186+CJ186+Inputs!$D$6-CK185))</f>
        <v>0</v>
      </c>
      <c r="CH186" s="38">
        <f>Inputs!$D$27*(1+Inputs!$D$28)^($A186/12)*IF(Inputs!$B$72=1,$G186,1)*(1-Inputs!$C$72*$H186*(1-Inputs!$E$54*Inputs!$B$72))*(1+$I186)*IF(Inputs!$D$29=0,1,(MAX(CK185,0)/Inputs!$D$6)^Inputs!$D$29)</f>
        <v>1214.0641323206964</v>
      </c>
      <c r="CI186" s="38">
        <f>Inputs!$D$32*CK185/Inputs!$D$6</f>
        <v>338.51479407196842</v>
      </c>
      <c r="CJ186" s="38">
        <f>Inputs!$D$33</f>
        <v>1500</v>
      </c>
      <c r="CK186" s="38">
        <f t="shared" si="131"/>
        <v>67874.330307734068</v>
      </c>
      <c r="CL186" s="38">
        <f t="shared" si="132"/>
        <v>0</v>
      </c>
      <c r="CM186" s="38">
        <f>Inputs!$D$19*(1-Inputs!$C$72*$H186)+Inputs!$D$21+Inputs!$B$72*$J186</f>
        <v>392150</v>
      </c>
      <c r="CN186" s="38">
        <f t="shared" si="133"/>
        <v>-324275.66969226592</v>
      </c>
      <c r="CO186" s="38">
        <f t="shared" si="134"/>
        <v>1</v>
      </c>
      <c r="CP186" s="38">
        <f>MAX(0,MIN(Inputs!$B$36,CU185,CQ186+CR186+CS186+Inputs!$B$6-CT185))</f>
        <v>0</v>
      </c>
      <c r="CQ186" s="38">
        <f>Inputs!$B$27*(1+Inputs!$B$28)^($A186/12)*IF(Inputs!$B$73=1,$G186,1)*(1-Inputs!$C$73*$H186*(1-Inputs!$E$54*Inputs!$B$73))*(1+$I186)*IF(Inputs!$B$29=0,1,(MAX(CT185,0)/Inputs!$B$6)^Inputs!$B$29)</f>
        <v>25806.595984610474</v>
      </c>
      <c r="CR186" s="38">
        <f>Inputs!$B$32*CT185/Inputs!$B$6</f>
        <v>0</v>
      </c>
      <c r="CS186" s="38">
        <f>Inputs!$B$33</f>
        <v>2500</v>
      </c>
      <c r="CT186" s="38">
        <f t="shared" si="135"/>
        <v>0</v>
      </c>
      <c r="CU186" s="38">
        <f t="shared" si="136"/>
        <v>0</v>
      </c>
      <c r="CV186" s="38">
        <f>Inputs!$B$19*(1-Inputs!$C$73*$H186)+Inputs!$B$21+Inputs!$B$73*$J186</f>
        <v>583500</v>
      </c>
      <c r="CW186" s="38">
        <f t="shared" si="137"/>
        <v>-583500</v>
      </c>
      <c r="CX186" s="38">
        <f t="shared" si="138"/>
        <v>1</v>
      </c>
      <c r="CY186" s="38">
        <f>MAX(0,MIN(Inputs!$C$36,DD185,CZ186+DA186+DB186+Inputs!$C$6-DC185))</f>
        <v>0</v>
      </c>
      <c r="CZ186" s="38">
        <f>Inputs!$C$27*(1+Inputs!$C$28)^($A186/12)*IF(Inputs!$B$73=1,$G186,1)*(1-Inputs!$C$73*$H186*(1-Inputs!$E$54*Inputs!$B$73))*(1+$I186)*IF(Inputs!$C$29=0,1,(MAX(DC185,0)/Inputs!$C$6)^Inputs!$C$29)</f>
        <v>0</v>
      </c>
      <c r="DA186" s="38">
        <f>Inputs!$C$32*DC185/Inputs!$C$6</f>
        <v>0</v>
      </c>
      <c r="DB186" s="38">
        <f>Inputs!$C$33</f>
        <v>2000</v>
      </c>
      <c r="DC186" s="38">
        <f t="shared" si="139"/>
        <v>0</v>
      </c>
      <c r="DD186" s="38">
        <f t="shared" si="140"/>
        <v>0</v>
      </c>
      <c r="DE186" s="38">
        <f>Inputs!$C$19*(1-Inputs!$C$73*$H186)+Inputs!$C$21+Inputs!$B$73*$J186</f>
        <v>486000</v>
      </c>
      <c r="DF186" s="38">
        <f t="shared" si="141"/>
        <v>-486000</v>
      </c>
      <c r="DG186" s="38">
        <f t="shared" si="142"/>
        <v>1</v>
      </c>
      <c r="DH186" s="38">
        <f>MAX(0,MIN(Inputs!$D$36,DM185,DI186+DJ186+DK186+Inputs!$D$6-DL185))</f>
        <v>0</v>
      </c>
      <c r="DI186" s="38">
        <f>Inputs!$D$27*(1+Inputs!$D$28)^($A186/12)*IF(Inputs!$B$73=1,$G186,1)*(1-Inputs!$C$73*$H186*(1-Inputs!$E$54*Inputs!$B$73))*(1+$I186)*IF(Inputs!$D$29=0,1,(MAX(DL185,0)/Inputs!$D$6)^Inputs!$D$29)</f>
        <v>1359.8048462345068</v>
      </c>
      <c r="DJ186" s="38">
        <f>Inputs!$D$32*DL185/Inputs!$D$6</f>
        <v>537.2032457207315</v>
      </c>
      <c r="DK186" s="38">
        <f>Inputs!$D$33</f>
        <v>1500</v>
      </c>
      <c r="DL186" s="38">
        <f t="shared" si="143"/>
        <v>109159.86244000756</v>
      </c>
      <c r="DM186" s="38">
        <f t="shared" si="144"/>
        <v>0</v>
      </c>
      <c r="DN186" s="38">
        <f>Inputs!$D$19*(1-Inputs!$C$73*$H186)+Inputs!$D$21+Inputs!$B$73*$J186</f>
        <v>398150</v>
      </c>
      <c r="DO186" s="38">
        <f t="shared" si="145"/>
        <v>-288990.13755999244</v>
      </c>
      <c r="DP186" s="38">
        <f t="shared" si="146"/>
        <v>1</v>
      </c>
    </row>
    <row r="187" spans="1:120" x14ac:dyDescent="0.35">
      <c r="A187" s="29">
        <v>182</v>
      </c>
      <c r="B187" s="34">
        <f>EDATE(Inputs!$B$67,$A187)</f>
        <v>51806</v>
      </c>
      <c r="C187" s="35">
        <f>IF(Inputs!$E$47&lt;=0,Inputs!$E$46,Inputs!$E$44+(Inputs!$E$46-Inputs!$E$44)*MIN($A187/Inputs!$E$47,1))</f>
        <v>0.7</v>
      </c>
      <c r="D187" s="35">
        <f>MIN(Inputs!$E$57,Inputs!$E$55*(1+Inputs!$E$56)^($A187/12))*Inputs!$E$58*(1+Inputs!$E$59)^($A187/12)/Inputs!$E$45</f>
        <v>1.5</v>
      </c>
      <c r="E187" s="35">
        <f>MAX(Inputs!$E$44,MIN(C187,D187))</f>
        <v>0.7</v>
      </c>
      <c r="F187" s="35">
        <f>IF(Inputs!$E$50&lt;=0,Inputs!$E$49,Inputs!$E$48+(Inputs!$E$49-Inputs!$E$48)*MIN($A187/Inputs!$E$50,1))</f>
        <v>0.12</v>
      </c>
      <c r="G187" s="36">
        <f>(Inputs!$E$41*(1-E187*Inputs!$E$51)+Inputs!$E$42*(1-F187*Inputs!$E$51))/(Inputs!$E$41*(1-Inputs!$E$44*Inputs!$E$51)+Inputs!$E$42*(1-Inputs!$E$48*Inputs!$E$51))</f>
        <v>0.8423127463863338</v>
      </c>
      <c r="H187" s="35">
        <f>IF(Inputs!$E$53&lt;=0,Inputs!$E$52,Inputs!$E$52*MIN($A187/Inputs!$E$53,1))</f>
        <v>0.1</v>
      </c>
      <c r="I187" s="35">
        <f>IF(Inputs!$E$64&lt;=0,Inputs!$E$63,Inputs!$E$62+(Inputs!$E$63-Inputs!$E$62)*MIN($A187/Inputs!$E$64,1))</f>
        <v>0.03</v>
      </c>
      <c r="J187" s="37">
        <f>(E187-Inputs!$E$44)*Inputs!$E$45/Inputs!$E$60*Inputs!$E$61</f>
        <v>5999.9999999999991</v>
      </c>
      <c r="K187" s="29">
        <f t="shared" si="98"/>
        <v>0</v>
      </c>
      <c r="L187" s="29"/>
      <c r="M187" s="38">
        <f>MAX(0,MIN(Inputs!$B$36,R186,N187+O187+P187+Inputs!$B$6-Q186))</f>
        <v>0</v>
      </c>
      <c r="N187" s="38">
        <f>Inputs!$B$27*(1+Inputs!$B$28)^($A187/12)*IF(Inputs!$B$70=1,$G187,1)*(1-Inputs!$C$70*$H187*(1-Inputs!$E$54*Inputs!$B$70))*(1+$I187)*IF(Inputs!$B$29=0,1,(MAX(Q186,0)/Inputs!$B$6)^Inputs!$B$29)</f>
        <v>32381.690657815474</v>
      </c>
      <c r="O187" s="38">
        <f>Inputs!$B$32*Q186/Inputs!$B$6</f>
        <v>0</v>
      </c>
      <c r="P187" s="38">
        <f>Inputs!$B$33</f>
        <v>2500</v>
      </c>
      <c r="Q187" s="38">
        <f t="shared" si="99"/>
        <v>0</v>
      </c>
      <c r="R187" s="38">
        <f t="shared" si="100"/>
        <v>0</v>
      </c>
      <c r="S187" s="38">
        <f>Inputs!$B$19*(1-Inputs!$C$70*$H187)+Inputs!$B$21+Inputs!$B$70*$J187</f>
        <v>595000</v>
      </c>
      <c r="T187" s="38">
        <f t="shared" si="101"/>
        <v>-595000</v>
      </c>
      <c r="U187" s="38">
        <f t="shared" si="102"/>
        <v>1</v>
      </c>
      <c r="V187" s="38">
        <f>MAX(0,MIN(Inputs!$C$36,AA186,W187+X187+Y187+Inputs!$C$6-Z186))</f>
        <v>0</v>
      </c>
      <c r="W187" s="38">
        <f>Inputs!$C$27*(1+Inputs!$C$28)^($A187/12)*IF(Inputs!$B$70=1,$G187,1)*(1-Inputs!$C$70*$H187*(1-Inputs!$E$54*Inputs!$B$70))*(1+$I187)*IF(Inputs!$C$29=0,1,(MAX(Z186,0)/Inputs!$C$6)^Inputs!$C$29)</f>
        <v>0</v>
      </c>
      <c r="X187" s="38">
        <f>Inputs!$C$32*Z186/Inputs!$C$6</f>
        <v>0</v>
      </c>
      <c r="Y187" s="38">
        <f>Inputs!$C$33</f>
        <v>2000</v>
      </c>
      <c r="Z187" s="38">
        <f t="shared" si="103"/>
        <v>0</v>
      </c>
      <c r="AA187" s="38">
        <f t="shared" si="104"/>
        <v>0</v>
      </c>
      <c r="AB187" s="38">
        <f>Inputs!$C$19*(1-Inputs!$C$70*$H187)+Inputs!$C$21+Inputs!$B$70*$J187</f>
        <v>495000</v>
      </c>
      <c r="AC187" s="38">
        <f t="shared" si="105"/>
        <v>-495000</v>
      </c>
      <c r="AD187" s="38">
        <f t="shared" si="106"/>
        <v>1</v>
      </c>
      <c r="AE187" s="38">
        <f>MAX(0,MIN(Inputs!$D$36,AJ186,AF187+AG187+AH187+Inputs!$D$6-AI186))</f>
        <v>0</v>
      </c>
      <c r="AF187" s="38">
        <f>Inputs!$D$27*(1+Inputs!$D$28)^($A187/12)*IF(Inputs!$B$70=1,$G187,1)*(1-Inputs!$C$70*$H187*(1-Inputs!$E$54*Inputs!$B$70))*(1+$I187)*IF(Inputs!$D$29=0,1,(MAX(AI186,0)/Inputs!$D$6)^Inputs!$D$29)</f>
        <v>970.93554896746775</v>
      </c>
      <c r="AG187" s="38">
        <f>Inputs!$D$32*AI186/Inputs!$D$6</f>
        <v>176.8776468070694</v>
      </c>
      <c r="AH187" s="38">
        <f>Inputs!$D$33</f>
        <v>1500</v>
      </c>
      <c r="AI187" s="38">
        <f t="shared" si="107"/>
        <v>34412.265182849522</v>
      </c>
      <c r="AJ187" s="38">
        <f t="shared" si="108"/>
        <v>0</v>
      </c>
      <c r="AK187" s="38">
        <f>Inputs!$D$19*(1-Inputs!$C$70*$H187)+Inputs!$D$21+Inputs!$B$70*$J187</f>
        <v>404800</v>
      </c>
      <c r="AL187" s="38">
        <f t="shared" si="109"/>
        <v>-370387.73481715046</v>
      </c>
      <c r="AM187" s="38">
        <f t="shared" si="110"/>
        <v>1</v>
      </c>
      <c r="AN187" s="38">
        <f>MAX(0,MIN(Inputs!$B$36,AS186,AO187+AP187+AQ187+Inputs!$B$6-AR186))</f>
        <v>0</v>
      </c>
      <c r="AO187" s="38">
        <f>Inputs!$B$27*(1+Inputs!$B$28)^($A187/12)*IF(Inputs!$B$71=1,$G187,1)*(1-Inputs!$C$71*$H187*(1-Inputs!$E$54*Inputs!$B$71))*(1+$I187)*IF(Inputs!$B$29=0,1,(MAX(AR186,0)/Inputs!$B$6)^Inputs!$B$29)</f>
        <v>27275.510790617238</v>
      </c>
      <c r="AP187" s="38">
        <f>Inputs!$B$32*AR186/Inputs!$B$6</f>
        <v>0</v>
      </c>
      <c r="AQ187" s="38">
        <f>Inputs!$B$33</f>
        <v>2500</v>
      </c>
      <c r="AR187" s="38">
        <f t="shared" si="111"/>
        <v>0</v>
      </c>
      <c r="AS187" s="38">
        <f t="shared" si="112"/>
        <v>0</v>
      </c>
      <c r="AT187" s="38">
        <f>Inputs!$B$19*(1-Inputs!$C$71*$H187)+Inputs!$B$21+Inputs!$B$71*$J187</f>
        <v>601000</v>
      </c>
      <c r="AU187" s="38">
        <f t="shared" si="113"/>
        <v>-601000</v>
      </c>
      <c r="AV187" s="38">
        <f t="shared" si="114"/>
        <v>1</v>
      </c>
      <c r="AW187" s="38">
        <f>MAX(0,MIN(Inputs!$C$36,BB186,AX187+AY187+AZ187+Inputs!$C$6-BA186))</f>
        <v>0</v>
      </c>
      <c r="AX187" s="38">
        <f>Inputs!$C$27*(1+Inputs!$C$28)^($A187/12)*IF(Inputs!$B$71=1,$G187,1)*(1-Inputs!$C$71*$H187*(1-Inputs!$E$54*Inputs!$B$71))*(1+$I187)*IF(Inputs!$C$29=0,1,(MAX(BA186,0)/Inputs!$C$6)^Inputs!$C$29)</f>
        <v>0</v>
      </c>
      <c r="AY187" s="38">
        <f>Inputs!$C$32*BA186/Inputs!$C$6</f>
        <v>0</v>
      </c>
      <c r="AZ187" s="38">
        <f>Inputs!$C$33</f>
        <v>2000</v>
      </c>
      <c r="BA187" s="38">
        <f t="shared" si="115"/>
        <v>0</v>
      </c>
      <c r="BB187" s="38">
        <f t="shared" si="116"/>
        <v>0</v>
      </c>
      <c r="BC187" s="38">
        <f>Inputs!$C$19*(1-Inputs!$C$71*$H187)+Inputs!$C$21+Inputs!$B$71*$J187</f>
        <v>501000</v>
      </c>
      <c r="BD187" s="38">
        <f t="shared" si="117"/>
        <v>-501000</v>
      </c>
      <c r="BE187" s="38">
        <f t="shared" si="118"/>
        <v>1</v>
      </c>
      <c r="BF187" s="38">
        <f>MAX(0,MIN(Inputs!$D$36,BK186,BG187+BH187+BI187+Inputs!$D$6-BJ186))</f>
        <v>0</v>
      </c>
      <c r="BG187" s="38">
        <f>Inputs!$D$27*(1+Inputs!$D$28)^($A187/12)*IF(Inputs!$B$71=1,$G187,1)*(1-Inputs!$C$71*$H187*(1-Inputs!$E$54*Inputs!$B$71))*(1+$I187)*IF(Inputs!$D$29=0,1,(MAX(BJ186,0)/Inputs!$D$6)^Inputs!$D$29)</f>
        <v>1294.9076717102714</v>
      </c>
      <c r="BH187" s="38">
        <f>Inputs!$D$32*BJ186/Inputs!$D$6</f>
        <v>443.42789436832476</v>
      </c>
      <c r="BI187" s="38">
        <f>Inputs!$D$33</f>
        <v>1500</v>
      </c>
      <c r="BJ187" s="38">
        <f t="shared" si="119"/>
        <v>89670.366111094205</v>
      </c>
      <c r="BK187" s="38">
        <f t="shared" si="120"/>
        <v>0</v>
      </c>
      <c r="BL187" s="38">
        <f>Inputs!$D$19*(1-Inputs!$C$71*$H187)+Inputs!$D$21+Inputs!$B$71*$J187</f>
        <v>410800</v>
      </c>
      <c r="BM187" s="38">
        <f t="shared" si="121"/>
        <v>-321129.63388890581</v>
      </c>
      <c r="BN187" s="38">
        <f t="shared" si="122"/>
        <v>1</v>
      </c>
      <c r="BO187" s="38">
        <f>MAX(0,MIN(Inputs!$B$36,BT186,BP187+BQ187+BR187+Inputs!$B$6-BS186))</f>
        <v>0</v>
      </c>
      <c r="BP187" s="38">
        <f>Inputs!$B$27*(1+Inputs!$B$28)^($A187/12)*IF(Inputs!$B$72=1,$G187,1)*(1-Inputs!$C$72*$H187*(1-Inputs!$E$54*Inputs!$B$72))*(1+$I187)*IF(Inputs!$B$29=0,1,(MAX(BS186,0)/Inputs!$B$6)^Inputs!$B$29)</f>
        <v>29143.521592033925</v>
      </c>
      <c r="BQ187" s="38">
        <f>Inputs!$B$32*BS186/Inputs!$B$6</f>
        <v>0</v>
      </c>
      <c r="BR187" s="38">
        <f>Inputs!$B$33</f>
        <v>2500</v>
      </c>
      <c r="BS187" s="38">
        <f t="shared" si="123"/>
        <v>0</v>
      </c>
      <c r="BT187" s="38">
        <f t="shared" si="124"/>
        <v>0</v>
      </c>
      <c r="BU187" s="38">
        <f>Inputs!$B$19*(1-Inputs!$C$72*$H187)+Inputs!$B$21+Inputs!$B$72*$J187</f>
        <v>577500</v>
      </c>
      <c r="BV187" s="38">
        <f t="shared" si="125"/>
        <v>-577500</v>
      </c>
      <c r="BW187" s="38">
        <f t="shared" si="126"/>
        <v>1</v>
      </c>
      <c r="BX187" s="38">
        <f>MAX(0,MIN(Inputs!$C$36,CC186,BY187+BZ187+CA187+Inputs!$C$6-CB186))</f>
        <v>0</v>
      </c>
      <c r="BY187" s="38">
        <f>Inputs!$C$27*(1+Inputs!$C$28)^($A187/12)*IF(Inputs!$B$72=1,$G187,1)*(1-Inputs!$C$72*$H187*(1-Inputs!$E$54*Inputs!$B$72))*(1+$I187)*IF(Inputs!$C$29=0,1,(MAX(CB186,0)/Inputs!$C$6)^Inputs!$C$29)</f>
        <v>0</v>
      </c>
      <c r="BZ187" s="38">
        <f>Inputs!$C$32*CB186/Inputs!$C$6</f>
        <v>0</v>
      </c>
      <c r="CA187" s="38">
        <f>Inputs!$C$33</f>
        <v>2000</v>
      </c>
      <c r="CB187" s="38">
        <f t="shared" si="127"/>
        <v>0</v>
      </c>
      <c r="CC187" s="38">
        <f t="shared" si="128"/>
        <v>0</v>
      </c>
      <c r="CD187" s="38">
        <f>Inputs!$C$19*(1-Inputs!$C$72*$H187)+Inputs!$C$21+Inputs!$B$72*$J187</f>
        <v>480000</v>
      </c>
      <c r="CE187" s="38">
        <f t="shared" si="129"/>
        <v>-480000</v>
      </c>
      <c r="CF187" s="38">
        <f t="shared" si="130"/>
        <v>1</v>
      </c>
      <c r="CG187" s="38">
        <f>MAX(0,MIN(Inputs!$D$36,CL186,CH187+CI187+CJ187+Inputs!$D$6-CK186))</f>
        <v>0</v>
      </c>
      <c r="CH187" s="38">
        <f>Inputs!$D$27*(1+Inputs!$D$28)^($A187/12)*IF(Inputs!$B$72=1,$G187,1)*(1-Inputs!$C$72*$H187*(1-Inputs!$E$54*Inputs!$B$72))*(1+$I187)*IF(Inputs!$D$29=0,1,(MAX(CK186,0)/Inputs!$D$6)^Inputs!$D$29)</f>
        <v>1182.58542933691</v>
      </c>
      <c r="CI187" s="38">
        <f>Inputs!$D$32*CK186/Inputs!$D$6</f>
        <v>323.94566737782168</v>
      </c>
      <c r="CJ187" s="38">
        <f>Inputs!$D$33</f>
        <v>1500</v>
      </c>
      <c r="CK187" s="38">
        <f t="shared" si="131"/>
        <v>64867.799211019345</v>
      </c>
      <c r="CL187" s="38">
        <f t="shared" si="132"/>
        <v>0</v>
      </c>
      <c r="CM187" s="38">
        <f>Inputs!$D$19*(1-Inputs!$C$72*$H187)+Inputs!$D$21+Inputs!$B$72*$J187</f>
        <v>392150</v>
      </c>
      <c r="CN187" s="38">
        <f t="shared" si="133"/>
        <v>-327282.20078898064</v>
      </c>
      <c r="CO187" s="38">
        <f t="shared" si="134"/>
        <v>1</v>
      </c>
      <c r="CP187" s="38">
        <f>MAX(0,MIN(Inputs!$B$36,CU186,CQ187+CR187+CS187+Inputs!$B$6-CT186))</f>
        <v>0</v>
      </c>
      <c r="CQ187" s="38">
        <f>Inputs!$B$27*(1+Inputs!$B$28)^($A187/12)*IF(Inputs!$B$73=1,$G187,1)*(1-Inputs!$C$73*$H187*(1-Inputs!$E$54*Inputs!$B$73))*(1+$I187)*IF(Inputs!$B$29=0,1,(MAX(CT186,0)/Inputs!$B$6)^Inputs!$B$29)</f>
        <v>25911.735251086375</v>
      </c>
      <c r="CR187" s="38">
        <f>Inputs!$B$32*CT186/Inputs!$B$6</f>
        <v>0</v>
      </c>
      <c r="CS187" s="38">
        <f>Inputs!$B$33</f>
        <v>2500</v>
      </c>
      <c r="CT187" s="38">
        <f t="shared" si="135"/>
        <v>0</v>
      </c>
      <c r="CU187" s="38">
        <f t="shared" si="136"/>
        <v>0</v>
      </c>
      <c r="CV187" s="38">
        <f>Inputs!$B$19*(1-Inputs!$C$73*$H187)+Inputs!$B$21+Inputs!$B$73*$J187</f>
        <v>583500</v>
      </c>
      <c r="CW187" s="38">
        <f t="shared" si="137"/>
        <v>-583500</v>
      </c>
      <c r="CX187" s="38">
        <f t="shared" si="138"/>
        <v>1</v>
      </c>
      <c r="CY187" s="38">
        <f>MAX(0,MIN(Inputs!$C$36,DD186,CZ187+DA187+DB187+Inputs!$C$6-DC186))</f>
        <v>0</v>
      </c>
      <c r="CZ187" s="38">
        <f>Inputs!$C$27*(1+Inputs!$C$28)^($A187/12)*IF(Inputs!$B$73=1,$G187,1)*(1-Inputs!$C$73*$H187*(1-Inputs!$E$54*Inputs!$B$73))*(1+$I187)*IF(Inputs!$C$29=0,1,(MAX(DC186,0)/Inputs!$C$6)^Inputs!$C$29)</f>
        <v>0</v>
      </c>
      <c r="DA187" s="38">
        <f>Inputs!$C$32*DC186/Inputs!$C$6</f>
        <v>0</v>
      </c>
      <c r="DB187" s="38">
        <f>Inputs!$C$33</f>
        <v>2000</v>
      </c>
      <c r="DC187" s="38">
        <f t="shared" si="139"/>
        <v>0</v>
      </c>
      <c r="DD187" s="38">
        <f t="shared" si="140"/>
        <v>0</v>
      </c>
      <c r="DE187" s="38">
        <f>Inputs!$C$19*(1-Inputs!$C$73*$H187)+Inputs!$C$21+Inputs!$B$73*$J187</f>
        <v>486000</v>
      </c>
      <c r="DF187" s="38">
        <f t="shared" si="141"/>
        <v>-486000</v>
      </c>
      <c r="DG187" s="38">
        <f t="shared" si="142"/>
        <v>1</v>
      </c>
      <c r="DH187" s="38">
        <f>MAX(0,MIN(Inputs!$D$36,DM186,DI187+DJ187+DK187+Inputs!$D$6-DL186))</f>
        <v>0</v>
      </c>
      <c r="DI187" s="38">
        <f>Inputs!$D$27*(1+Inputs!$D$28)^($A187/12)*IF(Inputs!$B$73=1,$G187,1)*(1-Inputs!$C$73*$H187*(1-Inputs!$E$54*Inputs!$B$73))*(1+$I187)*IF(Inputs!$D$29=0,1,(MAX(DL186,0)/Inputs!$D$6)^Inputs!$D$29)</f>
        <v>1333.4161270282548</v>
      </c>
      <c r="DJ187" s="38">
        <f>Inputs!$D$32*DL186/Inputs!$D$6</f>
        <v>520.99025255458162</v>
      </c>
      <c r="DK187" s="38">
        <f>Inputs!$D$33</f>
        <v>1500</v>
      </c>
      <c r="DL187" s="38">
        <f t="shared" si="143"/>
        <v>105805.45606042474</v>
      </c>
      <c r="DM187" s="38">
        <f t="shared" si="144"/>
        <v>0</v>
      </c>
      <c r="DN187" s="38">
        <f>Inputs!$D$19*(1-Inputs!$C$73*$H187)+Inputs!$D$21+Inputs!$B$73*$J187</f>
        <v>398150</v>
      </c>
      <c r="DO187" s="38">
        <f t="shared" si="145"/>
        <v>-292344.54393957526</v>
      </c>
      <c r="DP187" s="38">
        <f t="shared" si="146"/>
        <v>1</v>
      </c>
    </row>
    <row r="188" spans="1:120" x14ac:dyDescent="0.35">
      <c r="A188" s="29">
        <v>183</v>
      </c>
      <c r="B188" s="34">
        <f>EDATE(Inputs!$B$67,$A188)</f>
        <v>51836</v>
      </c>
      <c r="C188" s="35">
        <f>IF(Inputs!$E$47&lt;=0,Inputs!$E$46,Inputs!$E$44+(Inputs!$E$46-Inputs!$E$44)*MIN($A188/Inputs!$E$47,1))</f>
        <v>0.7</v>
      </c>
      <c r="D188" s="35">
        <f>MIN(Inputs!$E$57,Inputs!$E$55*(1+Inputs!$E$56)^($A188/12))*Inputs!$E$58*(1+Inputs!$E$59)^($A188/12)/Inputs!$E$45</f>
        <v>1.5</v>
      </c>
      <c r="E188" s="35">
        <f>MAX(Inputs!$E$44,MIN(C188,D188))</f>
        <v>0.7</v>
      </c>
      <c r="F188" s="35">
        <f>IF(Inputs!$E$50&lt;=0,Inputs!$E$49,Inputs!$E$48+(Inputs!$E$49-Inputs!$E$48)*MIN($A188/Inputs!$E$50,1))</f>
        <v>0.12</v>
      </c>
      <c r="G188" s="36">
        <f>(Inputs!$E$41*(1-E188*Inputs!$E$51)+Inputs!$E$42*(1-F188*Inputs!$E$51))/(Inputs!$E$41*(1-Inputs!$E$44*Inputs!$E$51)+Inputs!$E$42*(1-Inputs!$E$48*Inputs!$E$51))</f>
        <v>0.8423127463863338</v>
      </c>
      <c r="H188" s="35">
        <f>IF(Inputs!$E$53&lt;=0,Inputs!$E$52,Inputs!$E$52*MIN($A188/Inputs!$E$53,1))</f>
        <v>0.1</v>
      </c>
      <c r="I188" s="35">
        <f>IF(Inputs!$E$64&lt;=0,Inputs!$E$63,Inputs!$E$62+(Inputs!$E$63-Inputs!$E$62)*MIN($A188/Inputs!$E$64,1))</f>
        <v>0.03</v>
      </c>
      <c r="J188" s="37">
        <f>(E188-Inputs!$E$44)*Inputs!$E$45/Inputs!$E$60*Inputs!$E$61</f>
        <v>5999.9999999999991</v>
      </c>
      <c r="K188" s="29">
        <f t="shared" si="98"/>
        <v>0</v>
      </c>
      <c r="L188" s="29"/>
      <c r="M188" s="38">
        <f>MAX(0,MIN(Inputs!$B$36,R187,N188+O188+P188+Inputs!$B$6-Q187))</f>
        <v>0</v>
      </c>
      <c r="N188" s="38">
        <f>Inputs!$B$27*(1+Inputs!$B$28)^($A188/12)*IF(Inputs!$B$70=1,$G188,1)*(1-Inputs!$C$70*$H188*(1-Inputs!$E$54*Inputs!$B$70))*(1+$I188)*IF(Inputs!$B$29=0,1,(MAX(Q187,0)/Inputs!$B$6)^Inputs!$B$29)</f>
        <v>32513.61767387922</v>
      </c>
      <c r="O188" s="38">
        <f>Inputs!$B$32*Q187/Inputs!$B$6</f>
        <v>0</v>
      </c>
      <c r="P188" s="38">
        <f>Inputs!$B$33</f>
        <v>2500</v>
      </c>
      <c r="Q188" s="38">
        <f t="shared" si="99"/>
        <v>0</v>
      </c>
      <c r="R188" s="38">
        <f t="shared" si="100"/>
        <v>0</v>
      </c>
      <c r="S188" s="38">
        <f>Inputs!$B$19*(1-Inputs!$C$70*$H188)+Inputs!$B$21+Inputs!$B$70*$J188</f>
        <v>595000</v>
      </c>
      <c r="T188" s="38">
        <f t="shared" si="101"/>
        <v>-595000</v>
      </c>
      <c r="U188" s="38">
        <f t="shared" si="102"/>
        <v>1</v>
      </c>
      <c r="V188" s="38">
        <f>MAX(0,MIN(Inputs!$C$36,AA187,W188+X188+Y188+Inputs!$C$6-Z187))</f>
        <v>0</v>
      </c>
      <c r="W188" s="38">
        <f>Inputs!$C$27*(1+Inputs!$C$28)^($A188/12)*IF(Inputs!$B$70=1,$G188,1)*(1-Inputs!$C$70*$H188*(1-Inputs!$E$54*Inputs!$B$70))*(1+$I188)*IF(Inputs!$C$29=0,1,(MAX(Z187,0)/Inputs!$C$6)^Inputs!$C$29)</f>
        <v>0</v>
      </c>
      <c r="X188" s="38">
        <f>Inputs!$C$32*Z187/Inputs!$C$6</f>
        <v>0</v>
      </c>
      <c r="Y188" s="38">
        <f>Inputs!$C$33</f>
        <v>2000</v>
      </c>
      <c r="Z188" s="38">
        <f t="shared" si="103"/>
        <v>0</v>
      </c>
      <c r="AA188" s="38">
        <f t="shared" si="104"/>
        <v>0</v>
      </c>
      <c r="AB188" s="38">
        <f>Inputs!$C$19*(1-Inputs!$C$70*$H188)+Inputs!$C$21+Inputs!$B$70*$J188</f>
        <v>495000</v>
      </c>
      <c r="AC188" s="38">
        <f t="shared" si="105"/>
        <v>-495000</v>
      </c>
      <c r="AD188" s="38">
        <f t="shared" si="106"/>
        <v>1</v>
      </c>
      <c r="AE188" s="38">
        <f>MAX(0,MIN(Inputs!$D$36,AJ187,AF188+AG188+AH188+Inputs!$D$6-AI187))</f>
        <v>0</v>
      </c>
      <c r="AF188" s="38">
        <f>Inputs!$D$27*(1+Inputs!$D$28)^($A188/12)*IF(Inputs!$B$70=1,$G188,1)*(1-Inputs!$C$70*$H188*(1-Inputs!$E$54*Inputs!$B$70))*(1+$I188)*IF(Inputs!$D$29=0,1,(MAX(AI187,0)/Inputs!$D$6)^Inputs!$D$29)</f>
        <v>931.61720353512067</v>
      </c>
      <c r="AG188" s="38">
        <f>Inputs!$D$32*AI187/Inputs!$D$6</f>
        <v>164.24035655450908</v>
      </c>
      <c r="AH188" s="38">
        <f>Inputs!$D$33</f>
        <v>1500</v>
      </c>
      <c r="AI188" s="38">
        <f t="shared" si="107"/>
        <v>31816.407622759893</v>
      </c>
      <c r="AJ188" s="38">
        <f t="shared" si="108"/>
        <v>0</v>
      </c>
      <c r="AK188" s="38">
        <f>Inputs!$D$19*(1-Inputs!$C$70*$H188)+Inputs!$D$21+Inputs!$B$70*$J188</f>
        <v>404800</v>
      </c>
      <c r="AL188" s="38">
        <f t="shared" si="109"/>
        <v>-372983.59237724013</v>
      </c>
      <c r="AM188" s="38">
        <f t="shared" si="110"/>
        <v>1</v>
      </c>
      <c r="AN188" s="38">
        <f>MAX(0,MIN(Inputs!$B$36,AS187,AO188+AP188+AQ188+Inputs!$B$6-AR187))</f>
        <v>0</v>
      </c>
      <c r="AO188" s="38">
        <f>Inputs!$B$27*(1+Inputs!$B$28)^($A188/12)*IF(Inputs!$B$71=1,$G188,1)*(1-Inputs!$C$71*$H188*(1-Inputs!$E$54*Inputs!$B$71))*(1+$I188)*IF(Inputs!$B$29=0,1,(MAX(AR187,0)/Inputs!$B$6)^Inputs!$B$29)</f>
        <v>27386.63459784045</v>
      </c>
      <c r="AP188" s="38">
        <f>Inputs!$B$32*AR187/Inputs!$B$6</f>
        <v>0</v>
      </c>
      <c r="AQ188" s="38">
        <f>Inputs!$B$33</f>
        <v>2500</v>
      </c>
      <c r="AR188" s="38">
        <f t="shared" si="111"/>
        <v>0</v>
      </c>
      <c r="AS188" s="38">
        <f t="shared" si="112"/>
        <v>0</v>
      </c>
      <c r="AT188" s="38">
        <f>Inputs!$B$19*(1-Inputs!$C$71*$H188)+Inputs!$B$21+Inputs!$B$71*$J188</f>
        <v>601000</v>
      </c>
      <c r="AU188" s="38">
        <f t="shared" si="113"/>
        <v>-601000</v>
      </c>
      <c r="AV188" s="38">
        <f t="shared" si="114"/>
        <v>1</v>
      </c>
      <c r="AW188" s="38">
        <f>MAX(0,MIN(Inputs!$C$36,BB187,AX188+AY188+AZ188+Inputs!$C$6-BA187))</f>
        <v>0</v>
      </c>
      <c r="AX188" s="38">
        <f>Inputs!$C$27*(1+Inputs!$C$28)^($A188/12)*IF(Inputs!$B$71=1,$G188,1)*(1-Inputs!$C$71*$H188*(1-Inputs!$E$54*Inputs!$B$71))*(1+$I188)*IF(Inputs!$C$29=0,1,(MAX(BA187,0)/Inputs!$C$6)^Inputs!$C$29)</f>
        <v>0</v>
      </c>
      <c r="AY188" s="38">
        <f>Inputs!$C$32*BA187/Inputs!$C$6</f>
        <v>0</v>
      </c>
      <c r="AZ188" s="38">
        <f>Inputs!$C$33</f>
        <v>2000</v>
      </c>
      <c r="BA188" s="38">
        <f t="shared" si="115"/>
        <v>0</v>
      </c>
      <c r="BB188" s="38">
        <f t="shared" si="116"/>
        <v>0</v>
      </c>
      <c r="BC188" s="38">
        <f>Inputs!$C$19*(1-Inputs!$C$71*$H188)+Inputs!$C$21+Inputs!$B$71*$J188</f>
        <v>501000</v>
      </c>
      <c r="BD188" s="38">
        <f t="shared" si="117"/>
        <v>-501000</v>
      </c>
      <c r="BE188" s="38">
        <f t="shared" si="118"/>
        <v>1</v>
      </c>
      <c r="BF188" s="38">
        <f>MAX(0,MIN(Inputs!$D$36,BK187,BG188+BH188+BI188+Inputs!$D$6-BJ187))</f>
        <v>0</v>
      </c>
      <c r="BG188" s="38">
        <f>Inputs!$D$27*(1+Inputs!$D$28)^($A188/12)*IF(Inputs!$B$71=1,$G188,1)*(1-Inputs!$C$71*$H188*(1-Inputs!$E$54*Inputs!$B$71))*(1+$I188)*IF(Inputs!$D$29=0,1,(MAX(BJ187,0)/Inputs!$D$6)^Inputs!$D$29)</f>
        <v>1266.7144170970669</v>
      </c>
      <c r="BH188" s="38">
        <f>Inputs!$D$32*BJ187/Inputs!$D$6</f>
        <v>427.97220189385865</v>
      </c>
      <c r="BI188" s="38">
        <f>Inputs!$D$33</f>
        <v>1500</v>
      </c>
      <c r="BJ188" s="38">
        <f t="shared" si="119"/>
        <v>86475.679492103271</v>
      </c>
      <c r="BK188" s="38">
        <f t="shared" si="120"/>
        <v>0</v>
      </c>
      <c r="BL188" s="38">
        <f>Inputs!$D$19*(1-Inputs!$C$71*$H188)+Inputs!$D$21+Inputs!$B$71*$J188</f>
        <v>410800</v>
      </c>
      <c r="BM188" s="38">
        <f t="shared" si="121"/>
        <v>-324324.32050789671</v>
      </c>
      <c r="BN188" s="38">
        <f t="shared" si="122"/>
        <v>1</v>
      </c>
      <c r="BO188" s="38">
        <f>MAX(0,MIN(Inputs!$B$36,BT187,BP188+BQ188+BR188+Inputs!$B$6-BS187))</f>
        <v>0</v>
      </c>
      <c r="BP188" s="38">
        <f>Inputs!$B$27*(1+Inputs!$B$28)^($A188/12)*IF(Inputs!$B$72=1,$G188,1)*(1-Inputs!$C$72*$H188*(1-Inputs!$E$54*Inputs!$B$72))*(1+$I188)*IF(Inputs!$B$29=0,1,(MAX(BS187,0)/Inputs!$B$6)^Inputs!$B$29)</f>
        <v>29262.2559064913</v>
      </c>
      <c r="BQ188" s="38">
        <f>Inputs!$B$32*BS187/Inputs!$B$6</f>
        <v>0</v>
      </c>
      <c r="BR188" s="38">
        <f>Inputs!$B$33</f>
        <v>2500</v>
      </c>
      <c r="BS188" s="38">
        <f t="shared" si="123"/>
        <v>0</v>
      </c>
      <c r="BT188" s="38">
        <f t="shared" si="124"/>
        <v>0</v>
      </c>
      <c r="BU188" s="38">
        <f>Inputs!$B$19*(1-Inputs!$C$72*$H188)+Inputs!$B$21+Inputs!$B$72*$J188</f>
        <v>577500</v>
      </c>
      <c r="BV188" s="38">
        <f t="shared" si="125"/>
        <v>-577500</v>
      </c>
      <c r="BW188" s="38">
        <f t="shared" si="126"/>
        <v>1</v>
      </c>
      <c r="BX188" s="38">
        <f>MAX(0,MIN(Inputs!$C$36,CC187,BY188+BZ188+CA188+Inputs!$C$6-CB187))</f>
        <v>0</v>
      </c>
      <c r="BY188" s="38">
        <f>Inputs!$C$27*(1+Inputs!$C$28)^($A188/12)*IF(Inputs!$B$72=1,$G188,1)*(1-Inputs!$C$72*$H188*(1-Inputs!$E$54*Inputs!$B$72))*(1+$I188)*IF(Inputs!$C$29=0,1,(MAX(CB187,0)/Inputs!$C$6)^Inputs!$C$29)</f>
        <v>0</v>
      </c>
      <c r="BZ188" s="38">
        <f>Inputs!$C$32*CB187/Inputs!$C$6</f>
        <v>0</v>
      </c>
      <c r="CA188" s="38">
        <f>Inputs!$C$33</f>
        <v>2000</v>
      </c>
      <c r="CB188" s="38">
        <f t="shared" si="127"/>
        <v>0</v>
      </c>
      <c r="CC188" s="38">
        <f t="shared" si="128"/>
        <v>0</v>
      </c>
      <c r="CD188" s="38">
        <f>Inputs!$C$19*(1-Inputs!$C$72*$H188)+Inputs!$C$21+Inputs!$B$72*$J188</f>
        <v>480000</v>
      </c>
      <c r="CE188" s="38">
        <f t="shared" si="129"/>
        <v>-480000</v>
      </c>
      <c r="CF188" s="38">
        <f t="shared" si="130"/>
        <v>1</v>
      </c>
      <c r="CG188" s="38">
        <f>MAX(0,MIN(Inputs!$D$36,CL187,CH188+CI188+CJ188+Inputs!$D$6-CK187))</f>
        <v>0</v>
      </c>
      <c r="CH188" s="38">
        <f>Inputs!$D$27*(1+Inputs!$D$28)^($A188/12)*IF(Inputs!$B$72=1,$G188,1)*(1-Inputs!$C$72*$H188*(1-Inputs!$E$54*Inputs!$B$72))*(1+$I188)*IF(Inputs!$D$29=0,1,(MAX(CK187,0)/Inputs!$D$6)^Inputs!$D$29)</f>
        <v>1151.1660171847072</v>
      </c>
      <c r="CI188" s="38">
        <f>Inputs!$D$32*CK187/Inputs!$D$6</f>
        <v>309.59631441622872</v>
      </c>
      <c r="CJ188" s="38">
        <f>Inputs!$D$33</f>
        <v>1500</v>
      </c>
      <c r="CK188" s="38">
        <f t="shared" si="131"/>
        <v>61907.036879418403</v>
      </c>
      <c r="CL188" s="38">
        <f t="shared" si="132"/>
        <v>0</v>
      </c>
      <c r="CM188" s="38">
        <f>Inputs!$D$19*(1-Inputs!$C$72*$H188)+Inputs!$D$21+Inputs!$B$72*$J188</f>
        <v>392150</v>
      </c>
      <c r="CN188" s="38">
        <f t="shared" si="133"/>
        <v>-330242.96312058158</v>
      </c>
      <c r="CO188" s="38">
        <f t="shared" si="134"/>
        <v>1</v>
      </c>
      <c r="CP188" s="38">
        <f>MAX(0,MIN(Inputs!$B$36,CU187,CQ188+CR188+CS188+Inputs!$B$6-CT187))</f>
        <v>0</v>
      </c>
      <c r="CQ188" s="38">
        <f>Inputs!$B$27*(1+Inputs!$B$28)^($A188/12)*IF(Inputs!$B$73=1,$G188,1)*(1-Inputs!$C$73*$H188*(1-Inputs!$E$54*Inputs!$B$73))*(1+$I188)*IF(Inputs!$B$29=0,1,(MAX(CT187,0)/Inputs!$B$6)^Inputs!$B$29)</f>
        <v>26017.302867948423</v>
      </c>
      <c r="CR188" s="38">
        <f>Inputs!$B$32*CT187/Inputs!$B$6</f>
        <v>0</v>
      </c>
      <c r="CS188" s="38">
        <f>Inputs!$B$33</f>
        <v>2500</v>
      </c>
      <c r="CT188" s="38">
        <f t="shared" si="135"/>
        <v>0</v>
      </c>
      <c r="CU188" s="38">
        <f t="shared" si="136"/>
        <v>0</v>
      </c>
      <c r="CV188" s="38">
        <f>Inputs!$B$19*(1-Inputs!$C$73*$H188)+Inputs!$B$21+Inputs!$B$73*$J188</f>
        <v>583500</v>
      </c>
      <c r="CW188" s="38">
        <f t="shared" si="137"/>
        <v>-583500</v>
      </c>
      <c r="CX188" s="38">
        <f t="shared" si="138"/>
        <v>1</v>
      </c>
      <c r="CY188" s="38">
        <f>MAX(0,MIN(Inputs!$C$36,DD187,CZ188+DA188+DB188+Inputs!$C$6-DC187))</f>
        <v>0</v>
      </c>
      <c r="CZ188" s="38">
        <f>Inputs!$C$27*(1+Inputs!$C$28)^($A188/12)*IF(Inputs!$B$73=1,$G188,1)*(1-Inputs!$C$73*$H188*(1-Inputs!$E$54*Inputs!$B$73))*(1+$I188)*IF(Inputs!$C$29=0,1,(MAX(DC187,0)/Inputs!$C$6)^Inputs!$C$29)</f>
        <v>0</v>
      </c>
      <c r="DA188" s="38">
        <f>Inputs!$C$32*DC187/Inputs!$C$6</f>
        <v>0</v>
      </c>
      <c r="DB188" s="38">
        <f>Inputs!$C$33</f>
        <v>2000</v>
      </c>
      <c r="DC188" s="38">
        <f t="shared" si="139"/>
        <v>0</v>
      </c>
      <c r="DD188" s="38">
        <f t="shared" si="140"/>
        <v>0</v>
      </c>
      <c r="DE188" s="38">
        <f>Inputs!$C$19*(1-Inputs!$C$73*$H188)+Inputs!$C$21+Inputs!$B$73*$J188</f>
        <v>486000</v>
      </c>
      <c r="DF188" s="38">
        <f t="shared" si="141"/>
        <v>-486000</v>
      </c>
      <c r="DG188" s="38">
        <f t="shared" si="142"/>
        <v>1</v>
      </c>
      <c r="DH188" s="38">
        <f>MAX(0,MIN(Inputs!$D$36,DM187,DI188+DJ188+DK188+Inputs!$D$6-DL187))</f>
        <v>0</v>
      </c>
      <c r="DI188" s="38">
        <f>Inputs!$D$27*(1+Inputs!$D$28)^($A188/12)*IF(Inputs!$B$73=1,$G188,1)*(1-Inputs!$C$73*$H188*(1-Inputs!$E$54*Inputs!$B$73))*(1+$I188)*IF(Inputs!$D$29=0,1,(MAX(DL187,0)/Inputs!$D$6)^Inputs!$D$29)</f>
        <v>1307.1694190268352</v>
      </c>
      <c r="DJ188" s="38">
        <f>Inputs!$D$32*DL187/Inputs!$D$6</f>
        <v>504.98058574293628</v>
      </c>
      <c r="DK188" s="38">
        <f>Inputs!$D$33</f>
        <v>1500</v>
      </c>
      <c r="DL188" s="38">
        <f t="shared" si="143"/>
        <v>102493.30605565498</v>
      </c>
      <c r="DM188" s="38">
        <f t="shared" si="144"/>
        <v>0</v>
      </c>
      <c r="DN188" s="38">
        <f>Inputs!$D$19*(1-Inputs!$C$73*$H188)+Inputs!$D$21+Inputs!$B$73*$J188</f>
        <v>398150</v>
      </c>
      <c r="DO188" s="38">
        <f t="shared" si="145"/>
        <v>-295656.693944345</v>
      </c>
      <c r="DP188" s="38">
        <f t="shared" si="146"/>
        <v>1</v>
      </c>
    </row>
    <row r="189" spans="1:120" x14ac:dyDescent="0.35">
      <c r="A189" s="29">
        <v>184</v>
      </c>
      <c r="B189" s="34">
        <f>EDATE(Inputs!$B$67,$A189)</f>
        <v>51867</v>
      </c>
      <c r="C189" s="35">
        <f>IF(Inputs!$E$47&lt;=0,Inputs!$E$46,Inputs!$E$44+(Inputs!$E$46-Inputs!$E$44)*MIN($A189/Inputs!$E$47,1))</f>
        <v>0.7</v>
      </c>
      <c r="D189" s="35">
        <f>MIN(Inputs!$E$57,Inputs!$E$55*(1+Inputs!$E$56)^($A189/12))*Inputs!$E$58*(1+Inputs!$E$59)^($A189/12)/Inputs!$E$45</f>
        <v>1.5</v>
      </c>
      <c r="E189" s="35">
        <f>MAX(Inputs!$E$44,MIN(C189,D189))</f>
        <v>0.7</v>
      </c>
      <c r="F189" s="35">
        <f>IF(Inputs!$E$50&lt;=0,Inputs!$E$49,Inputs!$E$48+(Inputs!$E$49-Inputs!$E$48)*MIN($A189/Inputs!$E$50,1))</f>
        <v>0.12</v>
      </c>
      <c r="G189" s="36">
        <f>(Inputs!$E$41*(1-E189*Inputs!$E$51)+Inputs!$E$42*(1-F189*Inputs!$E$51))/(Inputs!$E$41*(1-Inputs!$E$44*Inputs!$E$51)+Inputs!$E$42*(1-Inputs!$E$48*Inputs!$E$51))</f>
        <v>0.8423127463863338</v>
      </c>
      <c r="H189" s="35">
        <f>IF(Inputs!$E$53&lt;=0,Inputs!$E$52,Inputs!$E$52*MIN($A189/Inputs!$E$53,1))</f>
        <v>0.1</v>
      </c>
      <c r="I189" s="35">
        <f>IF(Inputs!$E$64&lt;=0,Inputs!$E$63,Inputs!$E$62+(Inputs!$E$63-Inputs!$E$62)*MIN($A189/Inputs!$E$64,1))</f>
        <v>0.03</v>
      </c>
      <c r="J189" s="37">
        <f>(E189-Inputs!$E$44)*Inputs!$E$45/Inputs!$E$60*Inputs!$E$61</f>
        <v>5999.9999999999991</v>
      </c>
      <c r="K189" s="29">
        <f t="shared" si="98"/>
        <v>0</v>
      </c>
      <c r="L189" s="29"/>
      <c r="M189" s="38">
        <f>MAX(0,MIN(Inputs!$B$36,R188,N189+O189+P189+Inputs!$B$6-Q188))</f>
        <v>0</v>
      </c>
      <c r="N189" s="38">
        <f>Inputs!$B$27*(1+Inputs!$B$28)^($A189/12)*IF(Inputs!$B$70=1,$G189,1)*(1-Inputs!$C$70*$H189*(1-Inputs!$E$54*Inputs!$B$70))*(1+$I189)*IF(Inputs!$B$29=0,1,(MAX(Q188,0)/Inputs!$B$6)^Inputs!$B$29)</f>
        <v>32646.082176936827</v>
      </c>
      <c r="O189" s="38">
        <f>Inputs!$B$32*Q188/Inputs!$B$6</f>
        <v>0</v>
      </c>
      <c r="P189" s="38">
        <f>Inputs!$B$33</f>
        <v>2500</v>
      </c>
      <c r="Q189" s="38">
        <f t="shared" si="99"/>
        <v>0</v>
      </c>
      <c r="R189" s="38">
        <f t="shared" si="100"/>
        <v>0</v>
      </c>
      <c r="S189" s="38">
        <f>Inputs!$B$19*(1-Inputs!$C$70*$H189)+Inputs!$B$21+Inputs!$B$70*$J189</f>
        <v>595000</v>
      </c>
      <c r="T189" s="38">
        <f t="shared" si="101"/>
        <v>-595000</v>
      </c>
      <c r="U189" s="38">
        <f t="shared" si="102"/>
        <v>1</v>
      </c>
      <c r="V189" s="38">
        <f>MAX(0,MIN(Inputs!$C$36,AA188,W189+X189+Y189+Inputs!$C$6-Z188))</f>
        <v>0</v>
      </c>
      <c r="W189" s="38">
        <f>Inputs!$C$27*(1+Inputs!$C$28)^($A189/12)*IF(Inputs!$B$70=1,$G189,1)*(1-Inputs!$C$70*$H189*(1-Inputs!$E$54*Inputs!$B$70))*(1+$I189)*IF(Inputs!$C$29=0,1,(MAX(Z188,0)/Inputs!$C$6)^Inputs!$C$29)</f>
        <v>0</v>
      </c>
      <c r="X189" s="38">
        <f>Inputs!$C$32*Z188/Inputs!$C$6</f>
        <v>0</v>
      </c>
      <c r="Y189" s="38">
        <f>Inputs!$C$33</f>
        <v>2000</v>
      </c>
      <c r="Z189" s="38">
        <f t="shared" si="103"/>
        <v>0</v>
      </c>
      <c r="AA189" s="38">
        <f t="shared" si="104"/>
        <v>0</v>
      </c>
      <c r="AB189" s="38">
        <f>Inputs!$C$19*(1-Inputs!$C$70*$H189)+Inputs!$C$21+Inputs!$B$70*$J189</f>
        <v>495000</v>
      </c>
      <c r="AC189" s="38">
        <f t="shared" si="105"/>
        <v>-495000</v>
      </c>
      <c r="AD189" s="38">
        <f t="shared" si="106"/>
        <v>1</v>
      </c>
      <c r="AE189" s="38">
        <f>MAX(0,MIN(Inputs!$D$36,AJ188,AF189+AG189+AH189+Inputs!$D$6-AI188))</f>
        <v>0</v>
      </c>
      <c r="AF189" s="38">
        <f>Inputs!$D$27*(1+Inputs!$D$28)^($A189/12)*IF(Inputs!$B$70=1,$G189,1)*(1-Inputs!$C$70*$H189*(1-Inputs!$E$54*Inputs!$B$70))*(1+$I189)*IF(Inputs!$D$29=0,1,(MAX(AI188,0)/Inputs!$D$6)^Inputs!$D$29)</f>
        <v>891.96964320894267</v>
      </c>
      <c r="AG189" s="38">
        <f>Inputs!$D$32*AI188/Inputs!$D$6</f>
        <v>151.85103638135402</v>
      </c>
      <c r="AH189" s="38">
        <f>Inputs!$D$33</f>
        <v>1500</v>
      </c>
      <c r="AI189" s="38">
        <f t="shared" si="107"/>
        <v>29272.586943169594</v>
      </c>
      <c r="AJ189" s="38">
        <f t="shared" si="108"/>
        <v>0</v>
      </c>
      <c r="AK189" s="38">
        <f>Inputs!$D$19*(1-Inputs!$C$70*$H189)+Inputs!$D$21+Inputs!$B$70*$J189</f>
        <v>404800</v>
      </c>
      <c r="AL189" s="38">
        <f t="shared" si="109"/>
        <v>-375527.41305683041</v>
      </c>
      <c r="AM189" s="38">
        <f t="shared" si="110"/>
        <v>1</v>
      </c>
      <c r="AN189" s="38">
        <f>MAX(0,MIN(Inputs!$B$36,AS188,AO189+AP189+AQ189+Inputs!$B$6-AR188))</f>
        <v>0</v>
      </c>
      <c r="AO189" s="38">
        <f>Inputs!$B$27*(1+Inputs!$B$28)^($A189/12)*IF(Inputs!$B$71=1,$G189,1)*(1-Inputs!$C$71*$H189*(1-Inputs!$E$54*Inputs!$B$71))*(1+$I189)*IF(Inputs!$B$29=0,1,(MAX(AR188,0)/Inputs!$B$6)^Inputs!$B$29)</f>
        <v>27498.211137209601</v>
      </c>
      <c r="AP189" s="38">
        <f>Inputs!$B$32*AR188/Inputs!$B$6</f>
        <v>0</v>
      </c>
      <c r="AQ189" s="38">
        <f>Inputs!$B$33</f>
        <v>2500</v>
      </c>
      <c r="AR189" s="38">
        <f t="shared" si="111"/>
        <v>0</v>
      </c>
      <c r="AS189" s="38">
        <f t="shared" si="112"/>
        <v>0</v>
      </c>
      <c r="AT189" s="38">
        <f>Inputs!$B$19*(1-Inputs!$C$71*$H189)+Inputs!$B$21+Inputs!$B$71*$J189</f>
        <v>601000</v>
      </c>
      <c r="AU189" s="38">
        <f t="shared" si="113"/>
        <v>-601000</v>
      </c>
      <c r="AV189" s="38">
        <f t="shared" si="114"/>
        <v>1</v>
      </c>
      <c r="AW189" s="38">
        <f>MAX(0,MIN(Inputs!$C$36,BB188,AX189+AY189+AZ189+Inputs!$C$6-BA188))</f>
        <v>0</v>
      </c>
      <c r="AX189" s="38">
        <f>Inputs!$C$27*(1+Inputs!$C$28)^($A189/12)*IF(Inputs!$B$71=1,$G189,1)*(1-Inputs!$C$71*$H189*(1-Inputs!$E$54*Inputs!$B$71))*(1+$I189)*IF(Inputs!$C$29=0,1,(MAX(BA188,0)/Inputs!$C$6)^Inputs!$C$29)</f>
        <v>0</v>
      </c>
      <c r="AY189" s="38">
        <f>Inputs!$C$32*BA188/Inputs!$C$6</f>
        <v>0</v>
      </c>
      <c r="AZ189" s="38">
        <f>Inputs!$C$33</f>
        <v>2000</v>
      </c>
      <c r="BA189" s="38">
        <f t="shared" si="115"/>
        <v>0</v>
      </c>
      <c r="BB189" s="38">
        <f t="shared" si="116"/>
        <v>0</v>
      </c>
      <c r="BC189" s="38">
        <f>Inputs!$C$19*(1-Inputs!$C$71*$H189)+Inputs!$C$21+Inputs!$B$71*$J189</f>
        <v>501000</v>
      </c>
      <c r="BD189" s="38">
        <f t="shared" si="117"/>
        <v>-501000</v>
      </c>
      <c r="BE189" s="38">
        <f t="shared" si="118"/>
        <v>1</v>
      </c>
      <c r="BF189" s="38">
        <f>MAX(0,MIN(Inputs!$D$36,BK188,BG189+BH189+BI189+Inputs!$D$6-BJ188))</f>
        <v>0</v>
      </c>
      <c r="BG189" s="38">
        <f>Inputs!$D$27*(1+Inputs!$D$28)^($A189/12)*IF(Inputs!$B$71=1,$G189,1)*(1-Inputs!$C$71*$H189*(1-Inputs!$E$54*Inputs!$B$71))*(1+$I189)*IF(Inputs!$D$29=0,1,(MAX(BJ188,0)/Inputs!$D$6)^Inputs!$D$29)</f>
        <v>1238.6393344226678</v>
      </c>
      <c r="BH189" s="38">
        <f>Inputs!$D$32*BJ188/Inputs!$D$6</f>
        <v>412.72483393958379</v>
      </c>
      <c r="BI189" s="38">
        <f>Inputs!$D$33</f>
        <v>1500</v>
      </c>
      <c r="BJ189" s="38">
        <f t="shared" si="119"/>
        <v>83324.315323741015</v>
      </c>
      <c r="BK189" s="38">
        <f t="shared" si="120"/>
        <v>0</v>
      </c>
      <c r="BL189" s="38">
        <f>Inputs!$D$19*(1-Inputs!$C$71*$H189)+Inputs!$D$21+Inputs!$B$71*$J189</f>
        <v>410800</v>
      </c>
      <c r="BM189" s="38">
        <f t="shared" si="121"/>
        <v>-327475.684676259</v>
      </c>
      <c r="BN189" s="38">
        <f t="shared" si="122"/>
        <v>1</v>
      </c>
      <c r="BO189" s="38">
        <f>MAX(0,MIN(Inputs!$B$36,BT188,BP189+BQ189+BR189+Inputs!$B$6-BS188))</f>
        <v>0</v>
      </c>
      <c r="BP189" s="38">
        <f>Inputs!$B$27*(1+Inputs!$B$28)^($A189/12)*IF(Inputs!$B$72=1,$G189,1)*(1-Inputs!$C$72*$H189*(1-Inputs!$E$54*Inputs!$B$72))*(1+$I189)*IF(Inputs!$B$29=0,1,(MAX(BS188,0)/Inputs!$B$6)^Inputs!$B$29)</f>
        <v>29381.473959243143</v>
      </c>
      <c r="BQ189" s="38">
        <f>Inputs!$B$32*BS188/Inputs!$B$6</f>
        <v>0</v>
      </c>
      <c r="BR189" s="38">
        <f>Inputs!$B$33</f>
        <v>2500</v>
      </c>
      <c r="BS189" s="38">
        <f t="shared" si="123"/>
        <v>0</v>
      </c>
      <c r="BT189" s="38">
        <f t="shared" si="124"/>
        <v>0</v>
      </c>
      <c r="BU189" s="38">
        <f>Inputs!$B$19*(1-Inputs!$C$72*$H189)+Inputs!$B$21+Inputs!$B$72*$J189</f>
        <v>577500</v>
      </c>
      <c r="BV189" s="38">
        <f t="shared" si="125"/>
        <v>-577500</v>
      </c>
      <c r="BW189" s="38">
        <f t="shared" si="126"/>
        <v>1</v>
      </c>
      <c r="BX189" s="38">
        <f>MAX(0,MIN(Inputs!$C$36,CC188,BY189+BZ189+CA189+Inputs!$C$6-CB188))</f>
        <v>0</v>
      </c>
      <c r="BY189" s="38">
        <f>Inputs!$C$27*(1+Inputs!$C$28)^($A189/12)*IF(Inputs!$B$72=1,$G189,1)*(1-Inputs!$C$72*$H189*(1-Inputs!$E$54*Inputs!$B$72))*(1+$I189)*IF(Inputs!$C$29=0,1,(MAX(CB188,0)/Inputs!$C$6)^Inputs!$C$29)</f>
        <v>0</v>
      </c>
      <c r="BZ189" s="38">
        <f>Inputs!$C$32*CB188/Inputs!$C$6</f>
        <v>0</v>
      </c>
      <c r="CA189" s="38">
        <f>Inputs!$C$33</f>
        <v>2000</v>
      </c>
      <c r="CB189" s="38">
        <f t="shared" si="127"/>
        <v>0</v>
      </c>
      <c r="CC189" s="38">
        <f t="shared" si="128"/>
        <v>0</v>
      </c>
      <c r="CD189" s="38">
        <f>Inputs!$C$19*(1-Inputs!$C$72*$H189)+Inputs!$C$21+Inputs!$B$72*$J189</f>
        <v>480000</v>
      </c>
      <c r="CE189" s="38">
        <f t="shared" si="129"/>
        <v>-480000</v>
      </c>
      <c r="CF189" s="38">
        <f t="shared" si="130"/>
        <v>1</v>
      </c>
      <c r="CG189" s="38">
        <f>MAX(0,MIN(Inputs!$D$36,CL188,CH189+CI189+CJ189+Inputs!$D$6-CK188))</f>
        <v>0</v>
      </c>
      <c r="CH189" s="38">
        <f>Inputs!$D$27*(1+Inputs!$D$28)^($A189/12)*IF(Inputs!$B$72=1,$G189,1)*(1-Inputs!$C$72*$H189*(1-Inputs!$E$54*Inputs!$B$72))*(1+$I189)*IF(Inputs!$D$29=0,1,(MAX(CK188,0)/Inputs!$D$6)^Inputs!$D$29)</f>
        <v>1119.7911251953758</v>
      </c>
      <c r="CI189" s="38">
        <f>Inputs!$D$32*CK188/Inputs!$D$6</f>
        <v>295.46540328813325</v>
      </c>
      <c r="CJ189" s="38">
        <f>Inputs!$D$33</f>
        <v>1500</v>
      </c>
      <c r="CK189" s="38">
        <f t="shared" si="131"/>
        <v>58991.780350934896</v>
      </c>
      <c r="CL189" s="38">
        <f t="shared" si="132"/>
        <v>0</v>
      </c>
      <c r="CM189" s="38">
        <f>Inputs!$D$19*(1-Inputs!$C$72*$H189)+Inputs!$D$21+Inputs!$B$72*$J189</f>
        <v>392150</v>
      </c>
      <c r="CN189" s="38">
        <f t="shared" si="133"/>
        <v>-333158.21964906511</v>
      </c>
      <c r="CO189" s="38">
        <f t="shared" si="134"/>
        <v>1</v>
      </c>
      <c r="CP189" s="38">
        <f>MAX(0,MIN(Inputs!$B$36,CU188,CQ189+CR189+CS189+Inputs!$B$6-CT188))</f>
        <v>0</v>
      </c>
      <c r="CQ189" s="38">
        <f>Inputs!$B$27*(1+Inputs!$B$28)^($A189/12)*IF(Inputs!$B$73=1,$G189,1)*(1-Inputs!$C$73*$H189*(1-Inputs!$E$54*Inputs!$B$73))*(1+$I189)*IF(Inputs!$B$29=0,1,(MAX(CT188,0)/Inputs!$B$6)^Inputs!$B$29)</f>
        <v>26123.300580349121</v>
      </c>
      <c r="CR189" s="38">
        <f>Inputs!$B$32*CT188/Inputs!$B$6</f>
        <v>0</v>
      </c>
      <c r="CS189" s="38">
        <f>Inputs!$B$33</f>
        <v>2500</v>
      </c>
      <c r="CT189" s="38">
        <f t="shared" si="135"/>
        <v>0</v>
      </c>
      <c r="CU189" s="38">
        <f t="shared" si="136"/>
        <v>0</v>
      </c>
      <c r="CV189" s="38">
        <f>Inputs!$B$19*(1-Inputs!$C$73*$H189)+Inputs!$B$21+Inputs!$B$73*$J189</f>
        <v>583500</v>
      </c>
      <c r="CW189" s="38">
        <f t="shared" si="137"/>
        <v>-583500</v>
      </c>
      <c r="CX189" s="38">
        <f t="shared" si="138"/>
        <v>1</v>
      </c>
      <c r="CY189" s="38">
        <f>MAX(0,MIN(Inputs!$C$36,DD188,CZ189+DA189+DB189+Inputs!$C$6-DC188))</f>
        <v>0</v>
      </c>
      <c r="CZ189" s="38">
        <f>Inputs!$C$27*(1+Inputs!$C$28)^($A189/12)*IF(Inputs!$B$73=1,$G189,1)*(1-Inputs!$C$73*$H189*(1-Inputs!$E$54*Inputs!$B$73))*(1+$I189)*IF(Inputs!$C$29=0,1,(MAX(DC188,0)/Inputs!$C$6)^Inputs!$C$29)</f>
        <v>0</v>
      </c>
      <c r="DA189" s="38">
        <f>Inputs!$C$32*DC188/Inputs!$C$6</f>
        <v>0</v>
      </c>
      <c r="DB189" s="38">
        <f>Inputs!$C$33</f>
        <v>2000</v>
      </c>
      <c r="DC189" s="38">
        <f t="shared" si="139"/>
        <v>0</v>
      </c>
      <c r="DD189" s="38">
        <f t="shared" si="140"/>
        <v>0</v>
      </c>
      <c r="DE189" s="38">
        <f>Inputs!$C$19*(1-Inputs!$C$73*$H189)+Inputs!$C$21+Inputs!$B$73*$J189</f>
        <v>486000</v>
      </c>
      <c r="DF189" s="38">
        <f t="shared" si="141"/>
        <v>-486000</v>
      </c>
      <c r="DG189" s="38">
        <f t="shared" si="142"/>
        <v>1</v>
      </c>
      <c r="DH189" s="38">
        <f>MAX(0,MIN(Inputs!$D$36,DM188,DI189+DJ189+DK189+Inputs!$D$6-DL188))</f>
        <v>0</v>
      </c>
      <c r="DI189" s="38">
        <f>Inputs!$D$27*(1+Inputs!$D$28)^($A189/12)*IF(Inputs!$B$73=1,$G189,1)*(1-Inputs!$C$73*$H189*(1-Inputs!$E$54*Inputs!$B$73))*(1+$I189)*IF(Inputs!$D$29=0,1,(MAX(DL188,0)/Inputs!$D$6)^Inputs!$D$29)</f>
        <v>1281.0592956381431</v>
      </c>
      <c r="DJ189" s="38">
        <f>Inputs!$D$32*DL188/Inputs!$D$6</f>
        <v>489.17259708380783</v>
      </c>
      <c r="DK189" s="38">
        <f>Inputs!$D$33</f>
        <v>1500</v>
      </c>
      <c r="DL189" s="38">
        <f t="shared" si="143"/>
        <v>99223.07416293303</v>
      </c>
      <c r="DM189" s="38">
        <f t="shared" si="144"/>
        <v>0</v>
      </c>
      <c r="DN189" s="38">
        <f>Inputs!$D$19*(1-Inputs!$C$73*$H189)+Inputs!$D$21+Inputs!$B$73*$J189</f>
        <v>398150</v>
      </c>
      <c r="DO189" s="38">
        <f t="shared" si="145"/>
        <v>-298926.92583706696</v>
      </c>
      <c r="DP189" s="38">
        <f t="shared" si="146"/>
        <v>1</v>
      </c>
    </row>
    <row r="190" spans="1:120" x14ac:dyDescent="0.35">
      <c r="A190" s="29">
        <v>185</v>
      </c>
      <c r="B190" s="34">
        <f>EDATE(Inputs!$B$67,$A190)</f>
        <v>51898</v>
      </c>
      <c r="C190" s="35">
        <f>IF(Inputs!$E$47&lt;=0,Inputs!$E$46,Inputs!$E$44+(Inputs!$E$46-Inputs!$E$44)*MIN($A190/Inputs!$E$47,1))</f>
        <v>0.7</v>
      </c>
      <c r="D190" s="35">
        <f>MIN(Inputs!$E$57,Inputs!$E$55*(1+Inputs!$E$56)^($A190/12))*Inputs!$E$58*(1+Inputs!$E$59)^($A190/12)/Inputs!$E$45</f>
        <v>1.5</v>
      </c>
      <c r="E190" s="35">
        <f>MAX(Inputs!$E$44,MIN(C190,D190))</f>
        <v>0.7</v>
      </c>
      <c r="F190" s="35">
        <f>IF(Inputs!$E$50&lt;=0,Inputs!$E$49,Inputs!$E$48+(Inputs!$E$49-Inputs!$E$48)*MIN($A190/Inputs!$E$50,1))</f>
        <v>0.12</v>
      </c>
      <c r="G190" s="36">
        <f>(Inputs!$E$41*(1-E190*Inputs!$E$51)+Inputs!$E$42*(1-F190*Inputs!$E$51))/(Inputs!$E$41*(1-Inputs!$E$44*Inputs!$E$51)+Inputs!$E$42*(1-Inputs!$E$48*Inputs!$E$51))</f>
        <v>0.8423127463863338</v>
      </c>
      <c r="H190" s="35">
        <f>IF(Inputs!$E$53&lt;=0,Inputs!$E$52,Inputs!$E$52*MIN($A190/Inputs!$E$53,1))</f>
        <v>0.1</v>
      </c>
      <c r="I190" s="35">
        <f>IF(Inputs!$E$64&lt;=0,Inputs!$E$63,Inputs!$E$62+(Inputs!$E$63-Inputs!$E$62)*MIN($A190/Inputs!$E$64,1))</f>
        <v>0.03</v>
      </c>
      <c r="J190" s="37">
        <f>(E190-Inputs!$E$44)*Inputs!$E$45/Inputs!$E$60*Inputs!$E$61</f>
        <v>5999.9999999999991</v>
      </c>
      <c r="K190" s="29">
        <f t="shared" si="98"/>
        <v>0</v>
      </c>
      <c r="L190" s="29"/>
      <c r="M190" s="38">
        <f>MAX(0,MIN(Inputs!$B$36,R189,N190+O190+P190+Inputs!$B$6-Q189))</f>
        <v>0</v>
      </c>
      <c r="N190" s="38">
        <f>Inputs!$B$27*(1+Inputs!$B$28)^($A190/12)*IF(Inputs!$B$70=1,$G190,1)*(1-Inputs!$C$70*$H190*(1-Inputs!$E$54*Inputs!$B$70))*(1+$I190)*IF(Inputs!$B$29=0,1,(MAX(Q189,0)/Inputs!$B$6)^Inputs!$B$29)</f>
        <v>32779.086356776817</v>
      </c>
      <c r="O190" s="38">
        <f>Inputs!$B$32*Q189/Inputs!$B$6</f>
        <v>0</v>
      </c>
      <c r="P190" s="38">
        <f>Inputs!$B$33</f>
        <v>2500</v>
      </c>
      <c r="Q190" s="38">
        <f t="shared" si="99"/>
        <v>0</v>
      </c>
      <c r="R190" s="38">
        <f t="shared" si="100"/>
        <v>0</v>
      </c>
      <c r="S190" s="38">
        <f>Inputs!$B$19*(1-Inputs!$C$70*$H190)+Inputs!$B$21+Inputs!$B$70*$J190</f>
        <v>595000</v>
      </c>
      <c r="T190" s="38">
        <f t="shared" si="101"/>
        <v>-595000</v>
      </c>
      <c r="U190" s="38">
        <f t="shared" si="102"/>
        <v>1</v>
      </c>
      <c r="V190" s="38">
        <f>MAX(0,MIN(Inputs!$C$36,AA189,W190+X190+Y190+Inputs!$C$6-Z189))</f>
        <v>0</v>
      </c>
      <c r="W190" s="38">
        <f>Inputs!$C$27*(1+Inputs!$C$28)^($A190/12)*IF(Inputs!$B$70=1,$G190,1)*(1-Inputs!$C$70*$H190*(1-Inputs!$E$54*Inputs!$B$70))*(1+$I190)*IF(Inputs!$C$29=0,1,(MAX(Z189,0)/Inputs!$C$6)^Inputs!$C$29)</f>
        <v>0</v>
      </c>
      <c r="X190" s="38">
        <f>Inputs!$C$32*Z189/Inputs!$C$6</f>
        <v>0</v>
      </c>
      <c r="Y190" s="38">
        <f>Inputs!$C$33</f>
        <v>2000</v>
      </c>
      <c r="Z190" s="38">
        <f t="shared" si="103"/>
        <v>0</v>
      </c>
      <c r="AA190" s="38">
        <f t="shared" si="104"/>
        <v>0</v>
      </c>
      <c r="AB190" s="38">
        <f>Inputs!$C$19*(1-Inputs!$C$70*$H190)+Inputs!$C$21+Inputs!$B$70*$J190</f>
        <v>495000</v>
      </c>
      <c r="AC190" s="38">
        <f t="shared" si="105"/>
        <v>-495000</v>
      </c>
      <c r="AD190" s="38">
        <f t="shared" si="106"/>
        <v>1</v>
      </c>
      <c r="AE190" s="38">
        <f>MAX(0,MIN(Inputs!$D$36,AJ189,AF190+AG190+AH190+Inputs!$D$6-AI189))</f>
        <v>0</v>
      </c>
      <c r="AF190" s="38">
        <f>Inputs!$D$27*(1+Inputs!$D$28)^($A190/12)*IF(Inputs!$B$70=1,$G190,1)*(1-Inputs!$C$70*$H190*(1-Inputs!$E$54*Inputs!$B$70))*(1+$I190)*IF(Inputs!$D$29=0,1,(MAX(AI189,0)/Inputs!$D$6)^Inputs!$D$29)</f>
        <v>851.91975498804459</v>
      </c>
      <c r="AG190" s="38">
        <f>Inputs!$D$32*AI189/Inputs!$D$6</f>
        <v>139.71007404694581</v>
      </c>
      <c r="AH190" s="38">
        <f>Inputs!$D$33</f>
        <v>1500</v>
      </c>
      <c r="AI190" s="38">
        <f t="shared" si="107"/>
        <v>26780.957114134602</v>
      </c>
      <c r="AJ190" s="38">
        <f t="shared" si="108"/>
        <v>0</v>
      </c>
      <c r="AK190" s="38">
        <f>Inputs!$D$19*(1-Inputs!$C$70*$H190)+Inputs!$D$21+Inputs!$B$70*$J190</f>
        <v>404800</v>
      </c>
      <c r="AL190" s="38">
        <f t="shared" si="109"/>
        <v>-378019.04288586538</v>
      </c>
      <c r="AM190" s="38">
        <f t="shared" si="110"/>
        <v>1</v>
      </c>
      <c r="AN190" s="38">
        <f>MAX(0,MIN(Inputs!$B$36,AS189,AO190+AP190+AQ190+Inputs!$B$6-AR189))</f>
        <v>0</v>
      </c>
      <c r="AO190" s="38">
        <f>Inputs!$B$27*(1+Inputs!$B$28)^($A190/12)*IF(Inputs!$B$71=1,$G190,1)*(1-Inputs!$C$71*$H190*(1-Inputs!$E$54*Inputs!$B$71))*(1+$I190)*IF(Inputs!$B$29=0,1,(MAX(AR189,0)/Inputs!$B$6)^Inputs!$B$29)</f>
        <v>27610.242253211491</v>
      </c>
      <c r="AP190" s="38">
        <f>Inputs!$B$32*AR189/Inputs!$B$6</f>
        <v>0</v>
      </c>
      <c r="AQ190" s="38">
        <f>Inputs!$B$33</f>
        <v>2500</v>
      </c>
      <c r="AR190" s="38">
        <f t="shared" si="111"/>
        <v>0</v>
      </c>
      <c r="AS190" s="38">
        <f t="shared" si="112"/>
        <v>0</v>
      </c>
      <c r="AT190" s="38">
        <f>Inputs!$B$19*(1-Inputs!$C$71*$H190)+Inputs!$B$21+Inputs!$B$71*$J190</f>
        <v>601000</v>
      </c>
      <c r="AU190" s="38">
        <f t="shared" si="113"/>
        <v>-601000</v>
      </c>
      <c r="AV190" s="38">
        <f t="shared" si="114"/>
        <v>1</v>
      </c>
      <c r="AW190" s="38">
        <f>MAX(0,MIN(Inputs!$C$36,BB189,AX190+AY190+AZ190+Inputs!$C$6-BA189))</f>
        <v>0</v>
      </c>
      <c r="AX190" s="38">
        <f>Inputs!$C$27*(1+Inputs!$C$28)^($A190/12)*IF(Inputs!$B$71=1,$G190,1)*(1-Inputs!$C$71*$H190*(1-Inputs!$E$54*Inputs!$B$71))*(1+$I190)*IF(Inputs!$C$29=0,1,(MAX(BA189,0)/Inputs!$C$6)^Inputs!$C$29)</f>
        <v>0</v>
      </c>
      <c r="AY190" s="38">
        <f>Inputs!$C$32*BA189/Inputs!$C$6</f>
        <v>0</v>
      </c>
      <c r="AZ190" s="38">
        <f>Inputs!$C$33</f>
        <v>2000</v>
      </c>
      <c r="BA190" s="38">
        <f t="shared" si="115"/>
        <v>0</v>
      </c>
      <c r="BB190" s="38">
        <f t="shared" si="116"/>
        <v>0</v>
      </c>
      <c r="BC190" s="38">
        <f>Inputs!$C$19*(1-Inputs!$C$71*$H190)+Inputs!$C$21+Inputs!$B$71*$J190</f>
        <v>501000</v>
      </c>
      <c r="BD190" s="38">
        <f t="shared" si="117"/>
        <v>-501000</v>
      </c>
      <c r="BE190" s="38">
        <f t="shared" si="118"/>
        <v>1</v>
      </c>
      <c r="BF190" s="38">
        <f>MAX(0,MIN(Inputs!$D$36,BK189,BG190+BH190+BI190+Inputs!$D$6-BJ189))</f>
        <v>0</v>
      </c>
      <c r="BG190" s="38">
        <f>Inputs!$D$27*(1+Inputs!$D$28)^($A190/12)*IF(Inputs!$B$71=1,$G190,1)*(1-Inputs!$C$71*$H190*(1-Inputs!$E$54*Inputs!$B$71))*(1+$I190)*IF(Inputs!$D$29=0,1,(MAX(BJ189,0)/Inputs!$D$6)^Inputs!$D$29)</f>
        <v>1210.6744758442303</v>
      </c>
      <c r="BH190" s="38">
        <f>Inputs!$D$32*BJ189/Inputs!$D$6</f>
        <v>397.68423222694571</v>
      </c>
      <c r="BI190" s="38">
        <f>Inputs!$D$33</f>
        <v>1500</v>
      </c>
      <c r="BJ190" s="38">
        <f t="shared" si="119"/>
        <v>80215.956615669827</v>
      </c>
      <c r="BK190" s="38">
        <f t="shared" si="120"/>
        <v>0</v>
      </c>
      <c r="BL190" s="38">
        <f>Inputs!$D$19*(1-Inputs!$C$71*$H190)+Inputs!$D$21+Inputs!$B$71*$J190</f>
        <v>410800</v>
      </c>
      <c r="BM190" s="38">
        <f t="shared" si="121"/>
        <v>-330584.04338433017</v>
      </c>
      <c r="BN190" s="38">
        <f t="shared" si="122"/>
        <v>1</v>
      </c>
      <c r="BO190" s="38">
        <f>MAX(0,MIN(Inputs!$B$36,BT189,BP190+BQ190+BR190+Inputs!$B$6-BS189))</f>
        <v>0</v>
      </c>
      <c r="BP190" s="38">
        <f>Inputs!$B$27*(1+Inputs!$B$28)^($A190/12)*IF(Inputs!$B$72=1,$G190,1)*(1-Inputs!$C$72*$H190*(1-Inputs!$E$54*Inputs!$B$72))*(1+$I190)*IF(Inputs!$B$29=0,1,(MAX(BS189,0)/Inputs!$B$6)^Inputs!$B$29)</f>
        <v>29501.177721099139</v>
      </c>
      <c r="BQ190" s="38">
        <f>Inputs!$B$32*BS189/Inputs!$B$6</f>
        <v>0</v>
      </c>
      <c r="BR190" s="38">
        <f>Inputs!$B$33</f>
        <v>2500</v>
      </c>
      <c r="BS190" s="38">
        <f t="shared" si="123"/>
        <v>0</v>
      </c>
      <c r="BT190" s="38">
        <f t="shared" si="124"/>
        <v>0</v>
      </c>
      <c r="BU190" s="38">
        <f>Inputs!$B$19*(1-Inputs!$C$72*$H190)+Inputs!$B$21+Inputs!$B$72*$J190</f>
        <v>577500</v>
      </c>
      <c r="BV190" s="38">
        <f t="shared" si="125"/>
        <v>-577500</v>
      </c>
      <c r="BW190" s="38">
        <f t="shared" si="126"/>
        <v>1</v>
      </c>
      <c r="BX190" s="38">
        <f>MAX(0,MIN(Inputs!$C$36,CC189,BY190+BZ190+CA190+Inputs!$C$6-CB189))</f>
        <v>0</v>
      </c>
      <c r="BY190" s="38">
        <f>Inputs!$C$27*(1+Inputs!$C$28)^($A190/12)*IF(Inputs!$B$72=1,$G190,1)*(1-Inputs!$C$72*$H190*(1-Inputs!$E$54*Inputs!$B$72))*(1+$I190)*IF(Inputs!$C$29=0,1,(MAX(CB189,0)/Inputs!$C$6)^Inputs!$C$29)</f>
        <v>0</v>
      </c>
      <c r="BZ190" s="38">
        <f>Inputs!$C$32*CB189/Inputs!$C$6</f>
        <v>0</v>
      </c>
      <c r="CA190" s="38">
        <f>Inputs!$C$33</f>
        <v>2000</v>
      </c>
      <c r="CB190" s="38">
        <f t="shared" si="127"/>
        <v>0</v>
      </c>
      <c r="CC190" s="38">
        <f t="shared" si="128"/>
        <v>0</v>
      </c>
      <c r="CD190" s="38">
        <f>Inputs!$C$19*(1-Inputs!$C$72*$H190)+Inputs!$C$21+Inputs!$B$72*$J190</f>
        <v>480000</v>
      </c>
      <c r="CE190" s="38">
        <f t="shared" si="129"/>
        <v>-480000</v>
      </c>
      <c r="CF190" s="38">
        <f t="shared" si="130"/>
        <v>1</v>
      </c>
      <c r="CG190" s="38">
        <f>MAX(0,MIN(Inputs!$D$36,CL189,CH190+CI190+CJ190+Inputs!$D$6-CK189))</f>
        <v>0</v>
      </c>
      <c r="CH190" s="38">
        <f>Inputs!$D$27*(1+Inputs!$D$28)^($A190/12)*IF(Inputs!$B$72=1,$G190,1)*(1-Inputs!$C$72*$H190*(1-Inputs!$E$54*Inputs!$B$72))*(1+$I190)*IF(Inputs!$D$29=0,1,(MAX(CK189,0)/Inputs!$D$6)^Inputs!$D$29)</f>
        <v>1088.4447724331926</v>
      </c>
      <c r="CI190" s="38">
        <f>Inputs!$D$32*CK189/Inputs!$D$6</f>
        <v>281.55167894764384</v>
      </c>
      <c r="CJ190" s="38">
        <f>Inputs!$D$33</f>
        <v>1500</v>
      </c>
      <c r="CK190" s="38">
        <f t="shared" si="131"/>
        <v>56121.783899554059</v>
      </c>
      <c r="CL190" s="38">
        <f t="shared" si="132"/>
        <v>0</v>
      </c>
      <c r="CM190" s="38">
        <f>Inputs!$D$19*(1-Inputs!$C$72*$H190)+Inputs!$D$21+Inputs!$B$72*$J190</f>
        <v>392150</v>
      </c>
      <c r="CN190" s="38">
        <f t="shared" si="133"/>
        <v>-336028.21610044595</v>
      </c>
      <c r="CO190" s="38">
        <f t="shared" si="134"/>
        <v>1</v>
      </c>
      <c r="CP190" s="38">
        <f>MAX(0,MIN(Inputs!$B$36,CU189,CQ190+CR190+CS190+Inputs!$B$6-CT189))</f>
        <v>0</v>
      </c>
      <c r="CQ190" s="38">
        <f>Inputs!$B$27*(1+Inputs!$B$28)^($A190/12)*IF(Inputs!$B$73=1,$G190,1)*(1-Inputs!$C$73*$H190*(1-Inputs!$E$54*Inputs!$B$73))*(1+$I190)*IF(Inputs!$B$29=0,1,(MAX(CT189,0)/Inputs!$B$6)^Inputs!$B$29)</f>
        <v>26229.730140550913</v>
      </c>
      <c r="CR190" s="38">
        <f>Inputs!$B$32*CT189/Inputs!$B$6</f>
        <v>0</v>
      </c>
      <c r="CS190" s="38">
        <f>Inputs!$B$33</f>
        <v>2500</v>
      </c>
      <c r="CT190" s="38">
        <f t="shared" si="135"/>
        <v>0</v>
      </c>
      <c r="CU190" s="38">
        <f t="shared" si="136"/>
        <v>0</v>
      </c>
      <c r="CV190" s="38">
        <f>Inputs!$B$19*(1-Inputs!$C$73*$H190)+Inputs!$B$21+Inputs!$B$73*$J190</f>
        <v>583500</v>
      </c>
      <c r="CW190" s="38">
        <f t="shared" si="137"/>
        <v>-583500</v>
      </c>
      <c r="CX190" s="38">
        <f t="shared" si="138"/>
        <v>1</v>
      </c>
      <c r="CY190" s="38">
        <f>MAX(0,MIN(Inputs!$C$36,DD189,CZ190+DA190+DB190+Inputs!$C$6-DC189))</f>
        <v>0</v>
      </c>
      <c r="CZ190" s="38">
        <f>Inputs!$C$27*(1+Inputs!$C$28)^($A190/12)*IF(Inputs!$B$73=1,$G190,1)*(1-Inputs!$C$73*$H190*(1-Inputs!$E$54*Inputs!$B$73))*(1+$I190)*IF(Inputs!$C$29=0,1,(MAX(DC189,0)/Inputs!$C$6)^Inputs!$C$29)</f>
        <v>0</v>
      </c>
      <c r="DA190" s="38">
        <f>Inputs!$C$32*DC189/Inputs!$C$6</f>
        <v>0</v>
      </c>
      <c r="DB190" s="38">
        <f>Inputs!$C$33</f>
        <v>2000</v>
      </c>
      <c r="DC190" s="38">
        <f t="shared" si="139"/>
        <v>0</v>
      </c>
      <c r="DD190" s="38">
        <f t="shared" si="140"/>
        <v>0</v>
      </c>
      <c r="DE190" s="38">
        <f>Inputs!$C$19*(1-Inputs!$C$73*$H190)+Inputs!$C$21+Inputs!$B$73*$J190</f>
        <v>486000</v>
      </c>
      <c r="DF190" s="38">
        <f t="shared" si="141"/>
        <v>-486000</v>
      </c>
      <c r="DG190" s="38">
        <f t="shared" si="142"/>
        <v>1</v>
      </c>
      <c r="DH190" s="38">
        <f>MAX(0,MIN(Inputs!$D$36,DM189,DI190+DJ190+DK190+Inputs!$D$6-DL189))</f>
        <v>0</v>
      </c>
      <c r="DI190" s="38">
        <f>Inputs!$D$27*(1+Inputs!$D$28)^($A190/12)*IF(Inputs!$B$73=1,$G190,1)*(1-Inputs!$C$73*$H190*(1-Inputs!$E$54*Inputs!$B$73))*(1+$I190)*IF(Inputs!$D$29=0,1,(MAX(DL189,0)/Inputs!$D$6)^Inputs!$D$29)</f>
        <v>1255.0801300724602</v>
      </c>
      <c r="DJ190" s="38">
        <f>Inputs!$D$32*DL189/Inputs!$D$6</f>
        <v>473.56467214127127</v>
      </c>
      <c r="DK190" s="38">
        <f>Inputs!$D$33</f>
        <v>1500</v>
      </c>
      <c r="DL190" s="38">
        <f t="shared" si="143"/>
        <v>95994.429360719296</v>
      </c>
      <c r="DM190" s="38">
        <f t="shared" si="144"/>
        <v>0</v>
      </c>
      <c r="DN190" s="38">
        <f>Inputs!$D$19*(1-Inputs!$C$73*$H190)+Inputs!$D$21+Inputs!$B$73*$J190</f>
        <v>398150</v>
      </c>
      <c r="DO190" s="38">
        <f t="shared" si="145"/>
        <v>-302155.57063928072</v>
      </c>
      <c r="DP190" s="38">
        <f t="shared" si="146"/>
        <v>1</v>
      </c>
    </row>
    <row r="191" spans="1:120" x14ac:dyDescent="0.35">
      <c r="A191" s="29">
        <v>186</v>
      </c>
      <c r="B191" s="34">
        <f>EDATE(Inputs!$B$67,$A191)</f>
        <v>51926</v>
      </c>
      <c r="C191" s="35">
        <f>IF(Inputs!$E$47&lt;=0,Inputs!$E$46,Inputs!$E$44+(Inputs!$E$46-Inputs!$E$44)*MIN($A191/Inputs!$E$47,1))</f>
        <v>0.7</v>
      </c>
      <c r="D191" s="35">
        <f>MIN(Inputs!$E$57,Inputs!$E$55*(1+Inputs!$E$56)^($A191/12))*Inputs!$E$58*(1+Inputs!$E$59)^($A191/12)/Inputs!$E$45</f>
        <v>1.5</v>
      </c>
      <c r="E191" s="35">
        <f>MAX(Inputs!$E$44,MIN(C191,D191))</f>
        <v>0.7</v>
      </c>
      <c r="F191" s="35">
        <f>IF(Inputs!$E$50&lt;=0,Inputs!$E$49,Inputs!$E$48+(Inputs!$E$49-Inputs!$E$48)*MIN($A191/Inputs!$E$50,1))</f>
        <v>0.12</v>
      </c>
      <c r="G191" s="36">
        <f>(Inputs!$E$41*(1-E191*Inputs!$E$51)+Inputs!$E$42*(1-F191*Inputs!$E$51))/(Inputs!$E$41*(1-Inputs!$E$44*Inputs!$E$51)+Inputs!$E$42*(1-Inputs!$E$48*Inputs!$E$51))</f>
        <v>0.8423127463863338</v>
      </c>
      <c r="H191" s="35">
        <f>IF(Inputs!$E$53&lt;=0,Inputs!$E$52,Inputs!$E$52*MIN($A191/Inputs!$E$53,1))</f>
        <v>0.1</v>
      </c>
      <c r="I191" s="35">
        <f>IF(Inputs!$E$64&lt;=0,Inputs!$E$63,Inputs!$E$62+(Inputs!$E$63-Inputs!$E$62)*MIN($A191/Inputs!$E$64,1))</f>
        <v>0.03</v>
      </c>
      <c r="J191" s="37">
        <f>(E191-Inputs!$E$44)*Inputs!$E$45/Inputs!$E$60*Inputs!$E$61</f>
        <v>5999.9999999999991</v>
      </c>
      <c r="K191" s="29">
        <f t="shared" si="98"/>
        <v>0</v>
      </c>
      <c r="L191" s="29"/>
      <c r="M191" s="38">
        <f>MAX(0,MIN(Inputs!$B$36,R190,N191+O191+P191+Inputs!$B$6-Q190))</f>
        <v>0</v>
      </c>
      <c r="N191" s="38">
        <f>Inputs!$B$27*(1+Inputs!$B$28)^($A191/12)*IF(Inputs!$B$70=1,$G191,1)*(1-Inputs!$C$70*$H191*(1-Inputs!$E$54*Inputs!$B$70))*(1+$I191)*IF(Inputs!$B$29=0,1,(MAX(Q190,0)/Inputs!$B$6)^Inputs!$B$29)</f>
        <v>32912.632412109218</v>
      </c>
      <c r="O191" s="38">
        <f>Inputs!$B$32*Q190/Inputs!$B$6</f>
        <v>0</v>
      </c>
      <c r="P191" s="38">
        <f>Inputs!$B$33</f>
        <v>2500</v>
      </c>
      <c r="Q191" s="38">
        <f t="shared" si="99"/>
        <v>0</v>
      </c>
      <c r="R191" s="38">
        <f t="shared" si="100"/>
        <v>0</v>
      </c>
      <c r="S191" s="38">
        <f>Inputs!$B$19*(1-Inputs!$C$70*$H191)+Inputs!$B$21+Inputs!$B$70*$J191</f>
        <v>595000</v>
      </c>
      <c r="T191" s="38">
        <f t="shared" si="101"/>
        <v>-595000</v>
      </c>
      <c r="U191" s="38">
        <f t="shared" si="102"/>
        <v>1</v>
      </c>
      <c r="V191" s="38">
        <f>MAX(0,MIN(Inputs!$C$36,AA190,W191+X191+Y191+Inputs!$C$6-Z190))</f>
        <v>0</v>
      </c>
      <c r="W191" s="38">
        <f>Inputs!$C$27*(1+Inputs!$C$28)^($A191/12)*IF(Inputs!$B$70=1,$G191,1)*(1-Inputs!$C$70*$H191*(1-Inputs!$E$54*Inputs!$B$70))*(1+$I191)*IF(Inputs!$C$29=0,1,(MAX(Z190,0)/Inputs!$C$6)^Inputs!$C$29)</f>
        <v>0</v>
      </c>
      <c r="X191" s="38">
        <f>Inputs!$C$32*Z190/Inputs!$C$6</f>
        <v>0</v>
      </c>
      <c r="Y191" s="38">
        <f>Inputs!$C$33</f>
        <v>2000</v>
      </c>
      <c r="Z191" s="38">
        <f t="shared" si="103"/>
        <v>0</v>
      </c>
      <c r="AA191" s="38">
        <f t="shared" si="104"/>
        <v>0</v>
      </c>
      <c r="AB191" s="38">
        <f>Inputs!$C$19*(1-Inputs!$C$70*$H191)+Inputs!$C$21+Inputs!$B$70*$J191</f>
        <v>495000</v>
      </c>
      <c r="AC191" s="38">
        <f t="shared" si="105"/>
        <v>-495000</v>
      </c>
      <c r="AD191" s="38">
        <f t="shared" si="106"/>
        <v>1</v>
      </c>
      <c r="AE191" s="38">
        <f>MAX(0,MIN(Inputs!$D$36,AJ190,AF191+AG191+AH191+Inputs!$D$6-AI190))</f>
        <v>0</v>
      </c>
      <c r="AF191" s="38">
        <f>Inputs!$D$27*(1+Inputs!$D$28)^($A191/12)*IF(Inputs!$B$70=1,$G191,1)*(1-Inputs!$C$70*$H191*(1-Inputs!$E$54*Inputs!$B$70))*(1+$I191)*IF(Inputs!$D$29=0,1,(MAX(AI190,0)/Inputs!$D$6)^Inputs!$D$29)</f>
        <v>811.38097001851156</v>
      </c>
      <c r="AG191" s="38">
        <f>Inputs!$D$32*AI190/Inputs!$D$6</f>
        <v>127.81820440836968</v>
      </c>
      <c r="AH191" s="38">
        <f>Inputs!$D$33</f>
        <v>1500</v>
      </c>
      <c r="AI191" s="38">
        <f t="shared" si="107"/>
        <v>24341.757939707721</v>
      </c>
      <c r="AJ191" s="38">
        <f t="shared" si="108"/>
        <v>0</v>
      </c>
      <c r="AK191" s="38">
        <f>Inputs!$D$19*(1-Inputs!$C$70*$H191)+Inputs!$D$21+Inputs!$B$70*$J191</f>
        <v>404800</v>
      </c>
      <c r="AL191" s="38">
        <f t="shared" si="109"/>
        <v>-380458.24206029228</v>
      </c>
      <c r="AM191" s="38">
        <f t="shared" si="110"/>
        <v>1</v>
      </c>
      <c r="AN191" s="38">
        <f>MAX(0,MIN(Inputs!$B$36,AS190,AO191+AP191+AQ191+Inputs!$B$6-AR190))</f>
        <v>0</v>
      </c>
      <c r="AO191" s="38">
        <f>Inputs!$B$27*(1+Inputs!$B$28)^($A191/12)*IF(Inputs!$B$71=1,$G191,1)*(1-Inputs!$C$71*$H191*(1-Inputs!$E$54*Inputs!$B$71))*(1+$I191)*IF(Inputs!$B$29=0,1,(MAX(AR190,0)/Inputs!$B$6)^Inputs!$B$29)</f>
        <v>27722.729797847584</v>
      </c>
      <c r="AP191" s="38">
        <f>Inputs!$B$32*AR190/Inputs!$B$6</f>
        <v>0</v>
      </c>
      <c r="AQ191" s="38">
        <f>Inputs!$B$33</f>
        <v>2500</v>
      </c>
      <c r="AR191" s="38">
        <f t="shared" si="111"/>
        <v>0</v>
      </c>
      <c r="AS191" s="38">
        <f t="shared" si="112"/>
        <v>0</v>
      </c>
      <c r="AT191" s="38">
        <f>Inputs!$B$19*(1-Inputs!$C$71*$H191)+Inputs!$B$21+Inputs!$B$71*$J191</f>
        <v>601000</v>
      </c>
      <c r="AU191" s="38">
        <f t="shared" si="113"/>
        <v>-601000</v>
      </c>
      <c r="AV191" s="38">
        <f t="shared" si="114"/>
        <v>1</v>
      </c>
      <c r="AW191" s="38">
        <f>MAX(0,MIN(Inputs!$C$36,BB190,AX191+AY191+AZ191+Inputs!$C$6-BA190))</f>
        <v>0</v>
      </c>
      <c r="AX191" s="38">
        <f>Inputs!$C$27*(1+Inputs!$C$28)^($A191/12)*IF(Inputs!$B$71=1,$G191,1)*(1-Inputs!$C$71*$H191*(1-Inputs!$E$54*Inputs!$B$71))*(1+$I191)*IF(Inputs!$C$29=0,1,(MAX(BA190,0)/Inputs!$C$6)^Inputs!$C$29)</f>
        <v>0</v>
      </c>
      <c r="AY191" s="38">
        <f>Inputs!$C$32*BA190/Inputs!$C$6</f>
        <v>0</v>
      </c>
      <c r="AZ191" s="38">
        <f>Inputs!$C$33</f>
        <v>2000</v>
      </c>
      <c r="BA191" s="38">
        <f t="shared" si="115"/>
        <v>0</v>
      </c>
      <c r="BB191" s="38">
        <f t="shared" si="116"/>
        <v>0</v>
      </c>
      <c r="BC191" s="38">
        <f>Inputs!$C$19*(1-Inputs!$C$71*$H191)+Inputs!$C$21+Inputs!$B$71*$J191</f>
        <v>501000</v>
      </c>
      <c r="BD191" s="38">
        <f t="shared" si="117"/>
        <v>-501000</v>
      </c>
      <c r="BE191" s="38">
        <f t="shared" si="118"/>
        <v>1</v>
      </c>
      <c r="BF191" s="38">
        <f>MAX(0,MIN(Inputs!$D$36,BK190,BG191+BH191+BI191+Inputs!$D$6-BJ190))</f>
        <v>0</v>
      </c>
      <c r="BG191" s="38">
        <f>Inputs!$D$27*(1+Inputs!$D$28)^($A191/12)*IF(Inputs!$B$71=1,$G191,1)*(1-Inputs!$C$71*$H191*(1-Inputs!$E$54*Inputs!$B$71))*(1+$I191)*IF(Inputs!$D$29=0,1,(MAX(BJ190,0)/Inputs!$D$6)^Inputs!$D$29)</f>
        <v>1182.811468773057</v>
      </c>
      <c r="BH191" s="38">
        <f>Inputs!$D$32*BJ190/Inputs!$D$6</f>
        <v>382.84888384751508</v>
      </c>
      <c r="BI191" s="38">
        <f>Inputs!$D$33</f>
        <v>1500</v>
      </c>
      <c r="BJ191" s="38">
        <f t="shared" si="119"/>
        <v>77150.296263049255</v>
      </c>
      <c r="BK191" s="38">
        <f t="shared" si="120"/>
        <v>0</v>
      </c>
      <c r="BL191" s="38">
        <f>Inputs!$D$19*(1-Inputs!$C$71*$H191)+Inputs!$D$21+Inputs!$B$71*$J191</f>
        <v>410800</v>
      </c>
      <c r="BM191" s="38">
        <f t="shared" si="121"/>
        <v>-333649.70373695076</v>
      </c>
      <c r="BN191" s="38">
        <f t="shared" si="122"/>
        <v>1</v>
      </c>
      <c r="BO191" s="38">
        <f>MAX(0,MIN(Inputs!$B$36,BT190,BP191+BQ191+BR191+Inputs!$B$6-BS190))</f>
        <v>0</v>
      </c>
      <c r="BP191" s="38">
        <f>Inputs!$B$27*(1+Inputs!$B$28)^($A191/12)*IF(Inputs!$B$72=1,$G191,1)*(1-Inputs!$C$72*$H191*(1-Inputs!$E$54*Inputs!$B$72))*(1+$I191)*IF(Inputs!$B$29=0,1,(MAX(BS190,0)/Inputs!$B$6)^Inputs!$B$29)</f>
        <v>29621.369170898299</v>
      </c>
      <c r="BQ191" s="38">
        <f>Inputs!$B$32*BS190/Inputs!$B$6</f>
        <v>0</v>
      </c>
      <c r="BR191" s="38">
        <f>Inputs!$B$33</f>
        <v>2500</v>
      </c>
      <c r="BS191" s="38">
        <f t="shared" si="123"/>
        <v>0</v>
      </c>
      <c r="BT191" s="38">
        <f t="shared" si="124"/>
        <v>0</v>
      </c>
      <c r="BU191" s="38">
        <f>Inputs!$B$19*(1-Inputs!$C$72*$H191)+Inputs!$B$21+Inputs!$B$72*$J191</f>
        <v>577500</v>
      </c>
      <c r="BV191" s="38">
        <f t="shared" si="125"/>
        <v>-577500</v>
      </c>
      <c r="BW191" s="38">
        <f t="shared" si="126"/>
        <v>1</v>
      </c>
      <c r="BX191" s="38">
        <f>MAX(0,MIN(Inputs!$C$36,CC190,BY191+BZ191+CA191+Inputs!$C$6-CB190))</f>
        <v>0</v>
      </c>
      <c r="BY191" s="38">
        <f>Inputs!$C$27*(1+Inputs!$C$28)^($A191/12)*IF(Inputs!$B$72=1,$G191,1)*(1-Inputs!$C$72*$H191*(1-Inputs!$E$54*Inputs!$B$72))*(1+$I191)*IF(Inputs!$C$29=0,1,(MAX(CB190,0)/Inputs!$C$6)^Inputs!$C$29)</f>
        <v>0</v>
      </c>
      <c r="BZ191" s="38">
        <f>Inputs!$C$32*CB190/Inputs!$C$6</f>
        <v>0</v>
      </c>
      <c r="CA191" s="38">
        <f>Inputs!$C$33</f>
        <v>2000</v>
      </c>
      <c r="CB191" s="38">
        <f t="shared" si="127"/>
        <v>0</v>
      </c>
      <c r="CC191" s="38">
        <f t="shared" si="128"/>
        <v>0</v>
      </c>
      <c r="CD191" s="38">
        <f>Inputs!$C$19*(1-Inputs!$C$72*$H191)+Inputs!$C$21+Inputs!$B$72*$J191</f>
        <v>480000</v>
      </c>
      <c r="CE191" s="38">
        <f t="shared" si="129"/>
        <v>-480000</v>
      </c>
      <c r="CF191" s="38">
        <f t="shared" si="130"/>
        <v>1</v>
      </c>
      <c r="CG191" s="38">
        <f>MAX(0,MIN(Inputs!$D$36,CL190,CH191+CI191+CJ191+Inputs!$D$6-CK190))</f>
        <v>0</v>
      </c>
      <c r="CH191" s="38">
        <f>Inputs!$D$27*(1+Inputs!$D$28)^($A191/12)*IF(Inputs!$B$72=1,$G191,1)*(1-Inputs!$C$72*$H191*(1-Inputs!$E$54*Inputs!$B$72))*(1+$I191)*IF(Inputs!$D$29=0,1,(MAX(CK190,0)/Inputs!$D$6)^Inputs!$D$29)</f>
        <v>1057.1095921937526</v>
      </c>
      <c r="CI191" s="38">
        <f>Inputs!$D$32*CK190/Inputs!$D$6</f>
        <v>267.85396861150798</v>
      </c>
      <c r="CJ191" s="38">
        <f>Inputs!$D$33</f>
        <v>1500</v>
      </c>
      <c r="CK191" s="38">
        <f t="shared" si="131"/>
        <v>53296.820338748796</v>
      </c>
      <c r="CL191" s="38">
        <f t="shared" si="132"/>
        <v>0</v>
      </c>
      <c r="CM191" s="38">
        <f>Inputs!$D$19*(1-Inputs!$C$72*$H191)+Inputs!$D$21+Inputs!$B$72*$J191</f>
        <v>392150</v>
      </c>
      <c r="CN191" s="38">
        <f t="shared" si="133"/>
        <v>-338853.1796612512</v>
      </c>
      <c r="CO191" s="38">
        <f t="shared" si="134"/>
        <v>1</v>
      </c>
      <c r="CP191" s="38">
        <f>MAX(0,MIN(Inputs!$B$36,CU190,CQ191+CR191+CS191+Inputs!$B$6-CT190))</f>
        <v>0</v>
      </c>
      <c r="CQ191" s="38">
        <f>Inputs!$B$27*(1+Inputs!$B$28)^($A191/12)*IF(Inputs!$B$73=1,$G191,1)*(1-Inputs!$C$73*$H191*(1-Inputs!$E$54*Inputs!$B$73))*(1+$I191)*IF(Inputs!$B$29=0,1,(MAX(CT190,0)/Inputs!$B$6)^Inputs!$B$29)</f>
        <v>26336.593307955205</v>
      </c>
      <c r="CR191" s="38">
        <f>Inputs!$B$32*CT190/Inputs!$B$6</f>
        <v>0</v>
      </c>
      <c r="CS191" s="38">
        <f>Inputs!$B$33</f>
        <v>2500</v>
      </c>
      <c r="CT191" s="38">
        <f t="shared" si="135"/>
        <v>0</v>
      </c>
      <c r="CU191" s="38">
        <f t="shared" si="136"/>
        <v>0</v>
      </c>
      <c r="CV191" s="38">
        <f>Inputs!$B$19*(1-Inputs!$C$73*$H191)+Inputs!$B$21+Inputs!$B$73*$J191</f>
        <v>583500</v>
      </c>
      <c r="CW191" s="38">
        <f t="shared" si="137"/>
        <v>-583500</v>
      </c>
      <c r="CX191" s="38">
        <f t="shared" si="138"/>
        <v>1</v>
      </c>
      <c r="CY191" s="38">
        <f>MAX(0,MIN(Inputs!$C$36,DD190,CZ191+DA191+DB191+Inputs!$C$6-DC190))</f>
        <v>0</v>
      </c>
      <c r="CZ191" s="38">
        <f>Inputs!$C$27*(1+Inputs!$C$28)^($A191/12)*IF(Inputs!$B$73=1,$G191,1)*(1-Inputs!$C$73*$H191*(1-Inputs!$E$54*Inputs!$B$73))*(1+$I191)*IF(Inputs!$C$29=0,1,(MAX(DC190,0)/Inputs!$C$6)^Inputs!$C$29)</f>
        <v>0</v>
      </c>
      <c r="DA191" s="38">
        <f>Inputs!$C$32*DC190/Inputs!$C$6</f>
        <v>0</v>
      </c>
      <c r="DB191" s="38">
        <f>Inputs!$C$33</f>
        <v>2000</v>
      </c>
      <c r="DC191" s="38">
        <f t="shared" si="139"/>
        <v>0</v>
      </c>
      <c r="DD191" s="38">
        <f t="shared" si="140"/>
        <v>0</v>
      </c>
      <c r="DE191" s="38">
        <f>Inputs!$C$19*(1-Inputs!$C$73*$H191)+Inputs!$C$21+Inputs!$B$73*$J191</f>
        <v>486000</v>
      </c>
      <c r="DF191" s="38">
        <f t="shared" si="141"/>
        <v>-486000</v>
      </c>
      <c r="DG191" s="38">
        <f t="shared" si="142"/>
        <v>1</v>
      </c>
      <c r="DH191" s="38">
        <f>MAX(0,MIN(Inputs!$D$36,DM190,DI191+DJ191+DK191+Inputs!$D$6-DL190))</f>
        <v>0</v>
      </c>
      <c r="DI191" s="38">
        <f>Inputs!$D$27*(1+Inputs!$D$28)^($A191/12)*IF(Inputs!$B$73=1,$G191,1)*(1-Inputs!$C$73*$H191*(1-Inputs!$E$54*Inputs!$B$73))*(1+$I191)*IF(Inputs!$D$29=0,1,(MAX(DL190,0)/Inputs!$D$6)^Inputs!$D$29)</f>
        <v>1229.2260753398114</v>
      </c>
      <c r="DJ191" s="38">
        <f>Inputs!$D$32*DL190/Inputs!$D$6</f>
        <v>458.15523103979666</v>
      </c>
      <c r="DK191" s="38">
        <f>Inputs!$D$33</f>
        <v>1500</v>
      </c>
      <c r="DL191" s="38">
        <f t="shared" si="143"/>
        <v>92807.048054339684</v>
      </c>
      <c r="DM191" s="38">
        <f t="shared" si="144"/>
        <v>0</v>
      </c>
      <c r="DN191" s="38">
        <f>Inputs!$D$19*(1-Inputs!$C$73*$H191)+Inputs!$D$21+Inputs!$B$73*$J191</f>
        <v>398150</v>
      </c>
      <c r="DO191" s="38">
        <f t="shared" si="145"/>
        <v>-305342.95194566029</v>
      </c>
      <c r="DP191" s="38">
        <f t="shared" si="146"/>
        <v>1</v>
      </c>
    </row>
    <row r="192" spans="1:120" x14ac:dyDescent="0.35">
      <c r="A192" s="29">
        <v>187</v>
      </c>
      <c r="B192" s="34">
        <f>EDATE(Inputs!$B$67,$A192)</f>
        <v>51957</v>
      </c>
      <c r="C192" s="35">
        <f>IF(Inputs!$E$47&lt;=0,Inputs!$E$46,Inputs!$E$44+(Inputs!$E$46-Inputs!$E$44)*MIN($A192/Inputs!$E$47,1))</f>
        <v>0.7</v>
      </c>
      <c r="D192" s="35">
        <f>MIN(Inputs!$E$57,Inputs!$E$55*(1+Inputs!$E$56)^($A192/12))*Inputs!$E$58*(1+Inputs!$E$59)^($A192/12)/Inputs!$E$45</f>
        <v>1.5</v>
      </c>
      <c r="E192" s="35">
        <f>MAX(Inputs!$E$44,MIN(C192,D192))</f>
        <v>0.7</v>
      </c>
      <c r="F192" s="35">
        <f>IF(Inputs!$E$50&lt;=0,Inputs!$E$49,Inputs!$E$48+(Inputs!$E$49-Inputs!$E$48)*MIN($A192/Inputs!$E$50,1))</f>
        <v>0.12</v>
      </c>
      <c r="G192" s="36">
        <f>(Inputs!$E$41*(1-E192*Inputs!$E$51)+Inputs!$E$42*(1-F192*Inputs!$E$51))/(Inputs!$E$41*(1-Inputs!$E$44*Inputs!$E$51)+Inputs!$E$42*(1-Inputs!$E$48*Inputs!$E$51))</f>
        <v>0.8423127463863338</v>
      </c>
      <c r="H192" s="35">
        <f>IF(Inputs!$E$53&lt;=0,Inputs!$E$52,Inputs!$E$52*MIN($A192/Inputs!$E$53,1))</f>
        <v>0.1</v>
      </c>
      <c r="I192" s="35">
        <f>IF(Inputs!$E$64&lt;=0,Inputs!$E$63,Inputs!$E$62+(Inputs!$E$63-Inputs!$E$62)*MIN($A192/Inputs!$E$64,1))</f>
        <v>0.03</v>
      </c>
      <c r="J192" s="37">
        <f>(E192-Inputs!$E$44)*Inputs!$E$45/Inputs!$E$60*Inputs!$E$61</f>
        <v>5999.9999999999991</v>
      </c>
      <c r="K192" s="29">
        <f t="shared" si="98"/>
        <v>0</v>
      </c>
      <c r="L192" s="29"/>
      <c r="M192" s="38">
        <f>MAX(0,MIN(Inputs!$B$36,R191,N192+O192+P192+Inputs!$B$6-Q191))</f>
        <v>0</v>
      </c>
      <c r="N192" s="38">
        <f>Inputs!$B$27*(1+Inputs!$B$28)^($A192/12)*IF(Inputs!$B$70=1,$G192,1)*(1-Inputs!$C$70*$H192*(1-Inputs!$E$54*Inputs!$B$70))*(1+$I192)*IF(Inputs!$B$29=0,1,(MAX(Q191,0)/Inputs!$B$6)^Inputs!$B$29)</f>
        <v>33046.722550601873</v>
      </c>
      <c r="O192" s="38">
        <f>Inputs!$B$32*Q191/Inputs!$B$6</f>
        <v>0</v>
      </c>
      <c r="P192" s="38">
        <f>Inputs!$B$33</f>
        <v>2500</v>
      </c>
      <c r="Q192" s="38">
        <f t="shared" si="99"/>
        <v>0</v>
      </c>
      <c r="R192" s="38">
        <f t="shared" si="100"/>
        <v>0</v>
      </c>
      <c r="S192" s="38">
        <f>Inputs!$B$19*(1-Inputs!$C$70*$H192)+Inputs!$B$21+Inputs!$B$70*$J192</f>
        <v>595000</v>
      </c>
      <c r="T192" s="38">
        <f t="shared" si="101"/>
        <v>-595000</v>
      </c>
      <c r="U192" s="38">
        <f t="shared" si="102"/>
        <v>1</v>
      </c>
      <c r="V192" s="38">
        <f>MAX(0,MIN(Inputs!$C$36,AA191,W192+X192+Y192+Inputs!$C$6-Z191))</f>
        <v>0</v>
      </c>
      <c r="W192" s="38">
        <f>Inputs!$C$27*(1+Inputs!$C$28)^($A192/12)*IF(Inputs!$B$70=1,$G192,1)*(1-Inputs!$C$70*$H192*(1-Inputs!$E$54*Inputs!$B$70))*(1+$I192)*IF(Inputs!$C$29=0,1,(MAX(Z191,0)/Inputs!$C$6)^Inputs!$C$29)</f>
        <v>0</v>
      </c>
      <c r="X192" s="38">
        <f>Inputs!$C$32*Z191/Inputs!$C$6</f>
        <v>0</v>
      </c>
      <c r="Y192" s="38">
        <f>Inputs!$C$33</f>
        <v>2000</v>
      </c>
      <c r="Z192" s="38">
        <f t="shared" si="103"/>
        <v>0</v>
      </c>
      <c r="AA192" s="38">
        <f t="shared" si="104"/>
        <v>0</v>
      </c>
      <c r="AB192" s="38">
        <f>Inputs!$C$19*(1-Inputs!$C$70*$H192)+Inputs!$C$21+Inputs!$B$70*$J192</f>
        <v>495000</v>
      </c>
      <c r="AC192" s="38">
        <f t="shared" si="105"/>
        <v>-495000</v>
      </c>
      <c r="AD192" s="38">
        <f t="shared" si="106"/>
        <v>1</v>
      </c>
      <c r="AE192" s="38">
        <f>MAX(0,MIN(Inputs!$D$36,AJ191,AF192+AG192+AH192+Inputs!$D$6-AI191))</f>
        <v>0</v>
      </c>
      <c r="AF192" s="38">
        <f>Inputs!$D$27*(1+Inputs!$D$28)^($A192/12)*IF(Inputs!$B$70=1,$G192,1)*(1-Inputs!$C$70*$H192*(1-Inputs!$E$54*Inputs!$B$70))*(1+$I192)*IF(Inputs!$D$29=0,1,(MAX(AI191,0)/Inputs!$D$6)^Inputs!$D$29)</f>
        <v>770.24940954932993</v>
      </c>
      <c r="AG192" s="38">
        <f>Inputs!$D$32*AI191/Inputs!$D$6</f>
        <v>116.17657198496867</v>
      </c>
      <c r="AH192" s="38">
        <f>Inputs!$D$33</f>
        <v>1500</v>
      </c>
      <c r="AI192" s="38">
        <f t="shared" si="107"/>
        <v>21955.331958173421</v>
      </c>
      <c r="AJ192" s="38">
        <f t="shared" si="108"/>
        <v>0</v>
      </c>
      <c r="AK192" s="38">
        <f>Inputs!$D$19*(1-Inputs!$C$70*$H192)+Inputs!$D$21+Inputs!$B$70*$J192</f>
        <v>404800</v>
      </c>
      <c r="AL192" s="38">
        <f t="shared" si="109"/>
        <v>-382844.66804182658</v>
      </c>
      <c r="AM192" s="38">
        <f t="shared" si="110"/>
        <v>1</v>
      </c>
      <c r="AN192" s="38">
        <f>MAX(0,MIN(Inputs!$B$36,AS191,AO192+AP192+AQ192+Inputs!$B$6-AR191))</f>
        <v>0</v>
      </c>
      <c r="AO192" s="38">
        <f>Inputs!$B$27*(1+Inputs!$B$28)^($A192/12)*IF(Inputs!$B$71=1,$G192,1)*(1-Inputs!$C$71*$H192*(1-Inputs!$E$54*Inputs!$B$71))*(1+$I192)*IF(Inputs!$B$29=0,1,(MAX(AR191,0)/Inputs!$B$6)^Inputs!$B$29)</f>
        <v>27835.675630664653</v>
      </c>
      <c r="AP192" s="38">
        <f>Inputs!$B$32*AR191/Inputs!$B$6</f>
        <v>0</v>
      </c>
      <c r="AQ192" s="38">
        <f>Inputs!$B$33</f>
        <v>2500</v>
      </c>
      <c r="AR192" s="38">
        <f t="shared" si="111"/>
        <v>0</v>
      </c>
      <c r="AS192" s="38">
        <f t="shared" si="112"/>
        <v>0</v>
      </c>
      <c r="AT192" s="38">
        <f>Inputs!$B$19*(1-Inputs!$C$71*$H192)+Inputs!$B$21+Inputs!$B$71*$J192</f>
        <v>601000</v>
      </c>
      <c r="AU192" s="38">
        <f t="shared" si="113"/>
        <v>-601000</v>
      </c>
      <c r="AV192" s="38">
        <f t="shared" si="114"/>
        <v>1</v>
      </c>
      <c r="AW192" s="38">
        <f>MAX(0,MIN(Inputs!$C$36,BB191,AX192+AY192+AZ192+Inputs!$C$6-BA191))</f>
        <v>0</v>
      </c>
      <c r="AX192" s="38">
        <f>Inputs!$C$27*(1+Inputs!$C$28)^($A192/12)*IF(Inputs!$B$71=1,$G192,1)*(1-Inputs!$C$71*$H192*(1-Inputs!$E$54*Inputs!$B$71))*(1+$I192)*IF(Inputs!$C$29=0,1,(MAX(BA191,0)/Inputs!$C$6)^Inputs!$C$29)</f>
        <v>0</v>
      </c>
      <c r="AY192" s="38">
        <f>Inputs!$C$32*BA191/Inputs!$C$6</f>
        <v>0</v>
      </c>
      <c r="AZ192" s="38">
        <f>Inputs!$C$33</f>
        <v>2000</v>
      </c>
      <c r="BA192" s="38">
        <f t="shared" si="115"/>
        <v>0</v>
      </c>
      <c r="BB192" s="38">
        <f t="shared" si="116"/>
        <v>0</v>
      </c>
      <c r="BC192" s="38">
        <f>Inputs!$C$19*(1-Inputs!$C$71*$H192)+Inputs!$C$21+Inputs!$B$71*$J192</f>
        <v>501000</v>
      </c>
      <c r="BD192" s="38">
        <f t="shared" si="117"/>
        <v>-501000</v>
      </c>
      <c r="BE192" s="38">
        <f t="shared" si="118"/>
        <v>1</v>
      </c>
      <c r="BF192" s="38">
        <f>MAX(0,MIN(Inputs!$D$36,BK191,BG192+BH192+BI192+Inputs!$D$6-BJ191))</f>
        <v>0</v>
      </c>
      <c r="BG192" s="38">
        <f>Inputs!$D$27*(1+Inputs!$D$28)^($A192/12)*IF(Inputs!$B$71=1,$G192,1)*(1-Inputs!$C$71*$H192*(1-Inputs!$E$54*Inputs!$B$71))*(1+$I192)*IF(Inputs!$D$29=0,1,(MAX(BJ191,0)/Inputs!$D$6)^Inputs!$D$29)</f>
        <v>1155.0414673525693</v>
      </c>
      <c r="BH192" s="38">
        <f>Inputs!$D$32*BJ191/Inputs!$D$6</f>
        <v>368.2173230736442</v>
      </c>
      <c r="BI192" s="38">
        <f>Inputs!$D$33</f>
        <v>1500</v>
      </c>
      <c r="BJ192" s="38">
        <f t="shared" si="119"/>
        <v>74127.037472623051</v>
      </c>
      <c r="BK192" s="38">
        <f t="shared" si="120"/>
        <v>0</v>
      </c>
      <c r="BL192" s="38">
        <f>Inputs!$D$19*(1-Inputs!$C$71*$H192)+Inputs!$D$21+Inputs!$B$71*$J192</f>
        <v>410800</v>
      </c>
      <c r="BM192" s="38">
        <f t="shared" si="121"/>
        <v>-336672.96252737695</v>
      </c>
      <c r="BN192" s="38">
        <f t="shared" si="122"/>
        <v>1</v>
      </c>
      <c r="BO192" s="38">
        <f>MAX(0,MIN(Inputs!$B$36,BT191,BP192+BQ192+BR192+Inputs!$B$6-BS191))</f>
        <v>0</v>
      </c>
      <c r="BP192" s="38">
        <f>Inputs!$B$27*(1+Inputs!$B$28)^($A192/12)*IF(Inputs!$B$72=1,$G192,1)*(1-Inputs!$C$72*$H192*(1-Inputs!$E$54*Inputs!$B$72))*(1+$I192)*IF(Inputs!$B$29=0,1,(MAX(BS191,0)/Inputs!$B$6)^Inputs!$B$29)</f>
        <v>29742.050295541689</v>
      </c>
      <c r="BQ192" s="38">
        <f>Inputs!$B$32*BS191/Inputs!$B$6</f>
        <v>0</v>
      </c>
      <c r="BR192" s="38">
        <f>Inputs!$B$33</f>
        <v>2500</v>
      </c>
      <c r="BS192" s="38">
        <f t="shared" si="123"/>
        <v>0</v>
      </c>
      <c r="BT192" s="38">
        <f t="shared" si="124"/>
        <v>0</v>
      </c>
      <c r="BU192" s="38">
        <f>Inputs!$B$19*(1-Inputs!$C$72*$H192)+Inputs!$B$21+Inputs!$B$72*$J192</f>
        <v>577500</v>
      </c>
      <c r="BV192" s="38">
        <f t="shared" si="125"/>
        <v>-577500</v>
      </c>
      <c r="BW192" s="38">
        <f t="shared" si="126"/>
        <v>1</v>
      </c>
      <c r="BX192" s="38">
        <f>MAX(0,MIN(Inputs!$C$36,CC191,BY192+BZ192+CA192+Inputs!$C$6-CB191))</f>
        <v>0</v>
      </c>
      <c r="BY192" s="38">
        <f>Inputs!$C$27*(1+Inputs!$C$28)^($A192/12)*IF(Inputs!$B$72=1,$G192,1)*(1-Inputs!$C$72*$H192*(1-Inputs!$E$54*Inputs!$B$72))*(1+$I192)*IF(Inputs!$C$29=0,1,(MAX(CB191,0)/Inputs!$C$6)^Inputs!$C$29)</f>
        <v>0</v>
      </c>
      <c r="BZ192" s="38">
        <f>Inputs!$C$32*CB191/Inputs!$C$6</f>
        <v>0</v>
      </c>
      <c r="CA192" s="38">
        <f>Inputs!$C$33</f>
        <v>2000</v>
      </c>
      <c r="CB192" s="38">
        <f t="shared" si="127"/>
        <v>0</v>
      </c>
      <c r="CC192" s="38">
        <f t="shared" si="128"/>
        <v>0</v>
      </c>
      <c r="CD192" s="38">
        <f>Inputs!$C$19*(1-Inputs!$C$72*$H192)+Inputs!$C$21+Inputs!$B$72*$J192</f>
        <v>480000</v>
      </c>
      <c r="CE192" s="38">
        <f t="shared" si="129"/>
        <v>-480000</v>
      </c>
      <c r="CF192" s="38">
        <f t="shared" si="130"/>
        <v>1</v>
      </c>
      <c r="CG192" s="38">
        <f>MAX(0,MIN(Inputs!$D$36,CL191,CH192+CI192+CJ192+Inputs!$D$6-CK191))</f>
        <v>0</v>
      </c>
      <c r="CH192" s="38">
        <f>Inputs!$D$27*(1+Inputs!$D$28)^($A192/12)*IF(Inputs!$B$72=1,$G192,1)*(1-Inputs!$C$72*$H192*(1-Inputs!$E$54*Inputs!$B$72))*(1+$I192)*IF(Inputs!$D$29=0,1,(MAX(CK191,0)/Inputs!$D$6)^Inputs!$D$29)</f>
        <v>1025.7666234647716</v>
      </c>
      <c r="CI192" s="38">
        <f>Inputs!$D$32*CK191/Inputs!$D$6</f>
        <v>254.37118798039197</v>
      </c>
      <c r="CJ192" s="38">
        <f>Inputs!$D$33</f>
        <v>1500</v>
      </c>
      <c r="CK192" s="38">
        <f t="shared" si="131"/>
        <v>50516.682527303637</v>
      </c>
      <c r="CL192" s="38">
        <f t="shared" si="132"/>
        <v>0</v>
      </c>
      <c r="CM192" s="38">
        <f>Inputs!$D$19*(1-Inputs!$C$72*$H192)+Inputs!$D$21+Inputs!$B$72*$J192</f>
        <v>392150</v>
      </c>
      <c r="CN192" s="38">
        <f t="shared" si="133"/>
        <v>-341633.31747269636</v>
      </c>
      <c r="CO192" s="38">
        <f t="shared" si="134"/>
        <v>1</v>
      </c>
      <c r="CP192" s="38">
        <f>MAX(0,MIN(Inputs!$B$36,CU191,CQ192+CR192+CS192+Inputs!$B$6-CT191))</f>
        <v>0</v>
      </c>
      <c r="CQ192" s="38">
        <f>Inputs!$B$27*(1+Inputs!$B$28)^($A192/12)*IF(Inputs!$B$73=1,$G192,1)*(1-Inputs!$C$73*$H192*(1-Inputs!$E$54*Inputs!$B$73))*(1+$I192)*IF(Inputs!$B$29=0,1,(MAX(CT191,0)/Inputs!$B$6)^Inputs!$B$29)</f>
        <v>26443.891849131422</v>
      </c>
      <c r="CR192" s="38">
        <f>Inputs!$B$32*CT191/Inputs!$B$6</f>
        <v>0</v>
      </c>
      <c r="CS192" s="38">
        <f>Inputs!$B$33</f>
        <v>2500</v>
      </c>
      <c r="CT192" s="38">
        <f t="shared" si="135"/>
        <v>0</v>
      </c>
      <c r="CU192" s="38">
        <f t="shared" si="136"/>
        <v>0</v>
      </c>
      <c r="CV192" s="38">
        <f>Inputs!$B$19*(1-Inputs!$C$73*$H192)+Inputs!$B$21+Inputs!$B$73*$J192</f>
        <v>583500</v>
      </c>
      <c r="CW192" s="38">
        <f t="shared" si="137"/>
        <v>-583500</v>
      </c>
      <c r="CX192" s="38">
        <f t="shared" si="138"/>
        <v>1</v>
      </c>
      <c r="CY192" s="38">
        <f>MAX(0,MIN(Inputs!$C$36,DD191,CZ192+DA192+DB192+Inputs!$C$6-DC191))</f>
        <v>0</v>
      </c>
      <c r="CZ192" s="38">
        <f>Inputs!$C$27*(1+Inputs!$C$28)^($A192/12)*IF(Inputs!$B$73=1,$G192,1)*(1-Inputs!$C$73*$H192*(1-Inputs!$E$54*Inputs!$B$73))*(1+$I192)*IF(Inputs!$C$29=0,1,(MAX(DC191,0)/Inputs!$C$6)^Inputs!$C$29)</f>
        <v>0</v>
      </c>
      <c r="DA192" s="38">
        <f>Inputs!$C$32*DC191/Inputs!$C$6</f>
        <v>0</v>
      </c>
      <c r="DB192" s="38">
        <f>Inputs!$C$33</f>
        <v>2000</v>
      </c>
      <c r="DC192" s="38">
        <f t="shared" si="139"/>
        <v>0</v>
      </c>
      <c r="DD192" s="38">
        <f t="shared" si="140"/>
        <v>0</v>
      </c>
      <c r="DE192" s="38">
        <f>Inputs!$C$19*(1-Inputs!$C$73*$H192)+Inputs!$C$21+Inputs!$B$73*$J192</f>
        <v>486000</v>
      </c>
      <c r="DF192" s="38">
        <f t="shared" si="141"/>
        <v>-486000</v>
      </c>
      <c r="DG192" s="38">
        <f t="shared" si="142"/>
        <v>1</v>
      </c>
      <c r="DH192" s="38">
        <f>MAX(0,MIN(Inputs!$D$36,DM191,DI192+DJ192+DK192+Inputs!$D$6-DL191))</f>
        <v>0</v>
      </c>
      <c r="DI192" s="38">
        <f>Inputs!$D$27*(1+Inputs!$D$28)^($A192/12)*IF(Inputs!$B$73=1,$G192,1)*(1-Inputs!$C$73*$H192*(1-Inputs!$E$54*Inputs!$B$73))*(1+$I192)*IF(Inputs!$D$29=0,1,(MAX(DL191,0)/Inputs!$D$6)^Inputs!$D$29)</f>
        <v>1203.4910419119269</v>
      </c>
      <c r="DJ192" s="38">
        <f>Inputs!$D$32*DL191/Inputs!$D$6</f>
        <v>442.94272935025759</v>
      </c>
      <c r="DK192" s="38">
        <f>Inputs!$D$33</f>
        <v>1500</v>
      </c>
      <c r="DL192" s="38">
        <f t="shared" si="143"/>
        <v>89660.614283077506</v>
      </c>
      <c r="DM192" s="38">
        <f t="shared" si="144"/>
        <v>0</v>
      </c>
      <c r="DN192" s="38">
        <f>Inputs!$D$19*(1-Inputs!$C$73*$H192)+Inputs!$D$21+Inputs!$B$73*$J192</f>
        <v>398150</v>
      </c>
      <c r="DO192" s="38">
        <f t="shared" si="145"/>
        <v>-308489.38571692246</v>
      </c>
      <c r="DP192" s="38">
        <f t="shared" si="146"/>
        <v>1</v>
      </c>
    </row>
    <row r="193" spans="1:120" x14ac:dyDescent="0.35">
      <c r="A193" s="29">
        <v>188</v>
      </c>
      <c r="B193" s="34">
        <f>EDATE(Inputs!$B$67,$A193)</f>
        <v>51987</v>
      </c>
      <c r="C193" s="35">
        <f>IF(Inputs!$E$47&lt;=0,Inputs!$E$46,Inputs!$E$44+(Inputs!$E$46-Inputs!$E$44)*MIN($A193/Inputs!$E$47,1))</f>
        <v>0.7</v>
      </c>
      <c r="D193" s="35">
        <f>MIN(Inputs!$E$57,Inputs!$E$55*(1+Inputs!$E$56)^($A193/12))*Inputs!$E$58*(1+Inputs!$E$59)^($A193/12)/Inputs!$E$45</f>
        <v>1.5</v>
      </c>
      <c r="E193" s="35">
        <f>MAX(Inputs!$E$44,MIN(C193,D193))</f>
        <v>0.7</v>
      </c>
      <c r="F193" s="35">
        <f>IF(Inputs!$E$50&lt;=0,Inputs!$E$49,Inputs!$E$48+(Inputs!$E$49-Inputs!$E$48)*MIN($A193/Inputs!$E$50,1))</f>
        <v>0.12</v>
      </c>
      <c r="G193" s="36">
        <f>(Inputs!$E$41*(1-E193*Inputs!$E$51)+Inputs!$E$42*(1-F193*Inputs!$E$51))/(Inputs!$E$41*(1-Inputs!$E$44*Inputs!$E$51)+Inputs!$E$42*(1-Inputs!$E$48*Inputs!$E$51))</f>
        <v>0.8423127463863338</v>
      </c>
      <c r="H193" s="35">
        <f>IF(Inputs!$E$53&lt;=0,Inputs!$E$52,Inputs!$E$52*MIN($A193/Inputs!$E$53,1))</f>
        <v>0.1</v>
      </c>
      <c r="I193" s="35">
        <f>IF(Inputs!$E$64&lt;=0,Inputs!$E$63,Inputs!$E$62+(Inputs!$E$63-Inputs!$E$62)*MIN($A193/Inputs!$E$64,1))</f>
        <v>0.03</v>
      </c>
      <c r="J193" s="37">
        <f>(E193-Inputs!$E$44)*Inputs!$E$45/Inputs!$E$60*Inputs!$E$61</f>
        <v>5999.9999999999991</v>
      </c>
      <c r="K193" s="29">
        <f t="shared" si="98"/>
        <v>0</v>
      </c>
      <c r="L193" s="29"/>
      <c r="M193" s="38">
        <f>MAX(0,MIN(Inputs!$B$36,R192,N193+O193+P193+Inputs!$B$6-Q192))</f>
        <v>0</v>
      </c>
      <c r="N193" s="38">
        <f>Inputs!$B$27*(1+Inputs!$B$28)^($A193/12)*IF(Inputs!$B$70=1,$G193,1)*(1-Inputs!$C$70*$H193*(1-Inputs!$E$54*Inputs!$B$70))*(1+$I193)*IF(Inputs!$B$29=0,1,(MAX(Q192,0)/Inputs!$B$6)^Inputs!$B$29)</f>
        <v>33181.358988916902</v>
      </c>
      <c r="O193" s="38">
        <f>Inputs!$B$32*Q192/Inputs!$B$6</f>
        <v>0</v>
      </c>
      <c r="P193" s="38">
        <f>Inputs!$B$33</f>
        <v>2500</v>
      </c>
      <c r="Q193" s="38">
        <f t="shared" si="99"/>
        <v>0</v>
      </c>
      <c r="R193" s="38">
        <f t="shared" si="100"/>
        <v>0</v>
      </c>
      <c r="S193" s="38">
        <f>Inputs!$B$19*(1-Inputs!$C$70*$H193)+Inputs!$B$21+Inputs!$B$70*$J193</f>
        <v>595000</v>
      </c>
      <c r="T193" s="38">
        <f t="shared" si="101"/>
        <v>-595000</v>
      </c>
      <c r="U193" s="38">
        <f t="shared" si="102"/>
        <v>1</v>
      </c>
      <c r="V193" s="38">
        <f>MAX(0,MIN(Inputs!$C$36,AA192,W193+X193+Y193+Inputs!$C$6-Z192))</f>
        <v>0</v>
      </c>
      <c r="W193" s="38">
        <f>Inputs!$C$27*(1+Inputs!$C$28)^($A193/12)*IF(Inputs!$B$70=1,$G193,1)*(1-Inputs!$C$70*$H193*(1-Inputs!$E$54*Inputs!$B$70))*(1+$I193)*IF(Inputs!$C$29=0,1,(MAX(Z192,0)/Inputs!$C$6)^Inputs!$C$29)</f>
        <v>0</v>
      </c>
      <c r="X193" s="38">
        <f>Inputs!$C$32*Z192/Inputs!$C$6</f>
        <v>0</v>
      </c>
      <c r="Y193" s="38">
        <f>Inputs!$C$33</f>
        <v>2000</v>
      </c>
      <c r="Z193" s="38">
        <f t="shared" si="103"/>
        <v>0</v>
      </c>
      <c r="AA193" s="38">
        <f t="shared" si="104"/>
        <v>0</v>
      </c>
      <c r="AB193" s="38">
        <f>Inputs!$C$19*(1-Inputs!$C$70*$H193)+Inputs!$C$21+Inputs!$B$70*$J193</f>
        <v>495000</v>
      </c>
      <c r="AC193" s="38">
        <f t="shared" si="105"/>
        <v>-495000</v>
      </c>
      <c r="AD193" s="38">
        <f t="shared" si="106"/>
        <v>1</v>
      </c>
      <c r="AE193" s="38">
        <f>MAX(0,MIN(Inputs!$D$36,AJ192,AF193+AG193+AH193+Inputs!$D$6-AI192))</f>
        <v>0</v>
      </c>
      <c r="AF193" s="38">
        <f>Inputs!$D$27*(1+Inputs!$D$28)^($A193/12)*IF(Inputs!$B$70=1,$G193,1)*(1-Inputs!$C$70*$H193*(1-Inputs!$E$54*Inputs!$B$70))*(1+$I193)*IF(Inputs!$D$29=0,1,(MAX(AI192,0)/Inputs!$D$6)^Inputs!$D$29)</f>
        <v>728.39849887140565</v>
      </c>
      <c r="AG193" s="38">
        <f>Inputs!$D$32*AI192/Inputs!$D$6</f>
        <v>104.78681161855496</v>
      </c>
      <c r="AH193" s="38">
        <f>Inputs!$D$33</f>
        <v>1500</v>
      </c>
      <c r="AI193" s="38">
        <f t="shared" si="107"/>
        <v>19622.146647683458</v>
      </c>
      <c r="AJ193" s="38">
        <f t="shared" si="108"/>
        <v>0</v>
      </c>
      <c r="AK193" s="38">
        <f>Inputs!$D$19*(1-Inputs!$C$70*$H193)+Inputs!$D$21+Inputs!$B$70*$J193</f>
        <v>404800</v>
      </c>
      <c r="AL193" s="38">
        <f t="shared" si="109"/>
        <v>-385177.85335231654</v>
      </c>
      <c r="AM193" s="38">
        <f t="shared" si="110"/>
        <v>1</v>
      </c>
      <c r="AN193" s="38">
        <f>MAX(0,MIN(Inputs!$B$36,AS192,AO193+AP193+AQ193+Inputs!$B$6-AR192))</f>
        <v>0</v>
      </c>
      <c r="AO193" s="38">
        <f>Inputs!$B$27*(1+Inputs!$B$28)^($A193/12)*IF(Inputs!$B$71=1,$G193,1)*(1-Inputs!$C$71*$H193*(1-Inputs!$E$54*Inputs!$B$71))*(1+$I193)*IF(Inputs!$B$29=0,1,(MAX(AR192,0)/Inputs!$B$6)^Inputs!$B$29)</f>
        <v>27949.081618785458</v>
      </c>
      <c r="AP193" s="38">
        <f>Inputs!$B$32*AR192/Inputs!$B$6</f>
        <v>0</v>
      </c>
      <c r="AQ193" s="38">
        <f>Inputs!$B$33</f>
        <v>2500</v>
      </c>
      <c r="AR193" s="38">
        <f t="shared" si="111"/>
        <v>0</v>
      </c>
      <c r="AS193" s="38">
        <f t="shared" si="112"/>
        <v>0</v>
      </c>
      <c r="AT193" s="38">
        <f>Inputs!$B$19*(1-Inputs!$C$71*$H193)+Inputs!$B$21+Inputs!$B$71*$J193</f>
        <v>601000</v>
      </c>
      <c r="AU193" s="38">
        <f t="shared" si="113"/>
        <v>-601000</v>
      </c>
      <c r="AV193" s="38">
        <f t="shared" si="114"/>
        <v>1</v>
      </c>
      <c r="AW193" s="38">
        <f>MAX(0,MIN(Inputs!$C$36,BB192,AX193+AY193+AZ193+Inputs!$C$6-BA192))</f>
        <v>0</v>
      </c>
      <c r="AX193" s="38">
        <f>Inputs!$C$27*(1+Inputs!$C$28)^($A193/12)*IF(Inputs!$B$71=1,$G193,1)*(1-Inputs!$C$71*$H193*(1-Inputs!$E$54*Inputs!$B$71))*(1+$I193)*IF(Inputs!$C$29=0,1,(MAX(BA192,0)/Inputs!$C$6)^Inputs!$C$29)</f>
        <v>0</v>
      </c>
      <c r="AY193" s="38">
        <f>Inputs!$C$32*BA192/Inputs!$C$6</f>
        <v>0</v>
      </c>
      <c r="AZ193" s="38">
        <f>Inputs!$C$33</f>
        <v>2000</v>
      </c>
      <c r="BA193" s="38">
        <f t="shared" si="115"/>
        <v>0</v>
      </c>
      <c r="BB193" s="38">
        <f t="shared" si="116"/>
        <v>0</v>
      </c>
      <c r="BC193" s="38">
        <f>Inputs!$C$19*(1-Inputs!$C$71*$H193)+Inputs!$C$21+Inputs!$B$71*$J193</f>
        <v>501000</v>
      </c>
      <c r="BD193" s="38">
        <f t="shared" si="117"/>
        <v>-501000</v>
      </c>
      <c r="BE193" s="38">
        <f t="shared" si="118"/>
        <v>1</v>
      </c>
      <c r="BF193" s="38">
        <f>MAX(0,MIN(Inputs!$D$36,BK192,BG193+BH193+BI193+Inputs!$D$6-BJ192))</f>
        <v>0</v>
      </c>
      <c r="BG193" s="38">
        <f>Inputs!$D$27*(1+Inputs!$D$28)^($A193/12)*IF(Inputs!$B$71=1,$G193,1)*(1-Inputs!$C$71*$H193*(1-Inputs!$E$54*Inputs!$B$71))*(1+$I193)*IF(Inputs!$D$29=0,1,(MAX(BJ192,0)/Inputs!$D$6)^Inputs!$D$29)</f>
        <v>1127.3550970593103</v>
      </c>
      <c r="BH193" s="38">
        <f>Inputs!$D$32*BJ192/Inputs!$D$6</f>
        <v>353.78813339206454</v>
      </c>
      <c r="BI193" s="38">
        <f>Inputs!$D$33</f>
        <v>1500</v>
      </c>
      <c r="BJ193" s="38">
        <f t="shared" si="119"/>
        <v>71145.894242171678</v>
      </c>
      <c r="BK193" s="38">
        <f t="shared" si="120"/>
        <v>0</v>
      </c>
      <c r="BL193" s="38">
        <f>Inputs!$D$19*(1-Inputs!$C$71*$H193)+Inputs!$D$21+Inputs!$B$71*$J193</f>
        <v>410800</v>
      </c>
      <c r="BM193" s="38">
        <f t="shared" si="121"/>
        <v>-339654.10575782834</v>
      </c>
      <c r="BN193" s="38">
        <f t="shared" si="122"/>
        <v>1</v>
      </c>
      <c r="BO193" s="38">
        <f>MAX(0,MIN(Inputs!$B$36,BT192,BP193+BQ193+BR193+Inputs!$B$6-BS192))</f>
        <v>0</v>
      </c>
      <c r="BP193" s="38">
        <f>Inputs!$B$27*(1+Inputs!$B$28)^($A193/12)*IF(Inputs!$B$72=1,$G193,1)*(1-Inputs!$C$72*$H193*(1-Inputs!$E$54*Inputs!$B$72))*(1+$I193)*IF(Inputs!$B$29=0,1,(MAX(BS192,0)/Inputs!$B$6)^Inputs!$B$29)</f>
        <v>29863.223090025211</v>
      </c>
      <c r="BQ193" s="38">
        <f>Inputs!$B$32*BS192/Inputs!$B$6</f>
        <v>0</v>
      </c>
      <c r="BR193" s="38">
        <f>Inputs!$B$33</f>
        <v>2500</v>
      </c>
      <c r="BS193" s="38">
        <f t="shared" si="123"/>
        <v>0</v>
      </c>
      <c r="BT193" s="38">
        <f t="shared" si="124"/>
        <v>0</v>
      </c>
      <c r="BU193" s="38">
        <f>Inputs!$B$19*(1-Inputs!$C$72*$H193)+Inputs!$B$21+Inputs!$B$72*$J193</f>
        <v>577500</v>
      </c>
      <c r="BV193" s="38">
        <f t="shared" si="125"/>
        <v>-577500</v>
      </c>
      <c r="BW193" s="38">
        <f t="shared" si="126"/>
        <v>1</v>
      </c>
      <c r="BX193" s="38">
        <f>MAX(0,MIN(Inputs!$C$36,CC192,BY193+BZ193+CA193+Inputs!$C$6-CB192))</f>
        <v>0</v>
      </c>
      <c r="BY193" s="38">
        <f>Inputs!$C$27*(1+Inputs!$C$28)^($A193/12)*IF(Inputs!$B$72=1,$G193,1)*(1-Inputs!$C$72*$H193*(1-Inputs!$E$54*Inputs!$B$72))*(1+$I193)*IF(Inputs!$C$29=0,1,(MAX(CB192,0)/Inputs!$C$6)^Inputs!$C$29)</f>
        <v>0</v>
      </c>
      <c r="BZ193" s="38">
        <f>Inputs!$C$32*CB192/Inputs!$C$6</f>
        <v>0</v>
      </c>
      <c r="CA193" s="38">
        <f>Inputs!$C$33</f>
        <v>2000</v>
      </c>
      <c r="CB193" s="38">
        <f t="shared" si="127"/>
        <v>0</v>
      </c>
      <c r="CC193" s="38">
        <f t="shared" si="128"/>
        <v>0</v>
      </c>
      <c r="CD193" s="38">
        <f>Inputs!$C$19*(1-Inputs!$C$72*$H193)+Inputs!$C$21+Inputs!$B$72*$J193</f>
        <v>480000</v>
      </c>
      <c r="CE193" s="38">
        <f t="shared" si="129"/>
        <v>-480000</v>
      </c>
      <c r="CF193" s="38">
        <f t="shared" si="130"/>
        <v>1</v>
      </c>
      <c r="CG193" s="38">
        <f>MAX(0,MIN(Inputs!$D$36,CL192,CH193+CI193+CJ193+Inputs!$D$6-CK192))</f>
        <v>0</v>
      </c>
      <c r="CH193" s="38">
        <f>Inputs!$D$27*(1+Inputs!$D$28)^($A193/12)*IF(Inputs!$B$72=1,$G193,1)*(1-Inputs!$C$72*$H193*(1-Inputs!$E$54*Inputs!$B$72))*(1+$I193)*IF(Inputs!$D$29=0,1,(MAX(CK192,0)/Inputs!$D$6)^Inputs!$D$29)</f>
        <v>994.39506144830762</v>
      </c>
      <c r="CI193" s="38">
        <f>Inputs!$D$32*CK192/Inputs!$D$6</f>
        <v>241.10234842576736</v>
      </c>
      <c r="CJ193" s="38">
        <f>Inputs!$D$33</f>
        <v>1500</v>
      </c>
      <c r="CK193" s="38">
        <f t="shared" si="131"/>
        <v>47781.185117429559</v>
      </c>
      <c r="CL193" s="38">
        <f t="shared" si="132"/>
        <v>0</v>
      </c>
      <c r="CM193" s="38">
        <f>Inputs!$D$19*(1-Inputs!$C$72*$H193)+Inputs!$D$21+Inputs!$B$72*$J193</f>
        <v>392150</v>
      </c>
      <c r="CN193" s="38">
        <f t="shared" si="133"/>
        <v>-344368.81488257041</v>
      </c>
      <c r="CO193" s="38">
        <f t="shared" si="134"/>
        <v>1</v>
      </c>
      <c r="CP193" s="38">
        <f>MAX(0,MIN(Inputs!$B$36,CU192,CQ193+CR193+CS193+Inputs!$B$6-CT192))</f>
        <v>0</v>
      </c>
      <c r="CQ193" s="38">
        <f>Inputs!$B$27*(1+Inputs!$B$28)^($A193/12)*IF(Inputs!$B$73=1,$G193,1)*(1-Inputs!$C$73*$H193*(1-Inputs!$E$54*Inputs!$B$73))*(1+$I193)*IF(Inputs!$B$29=0,1,(MAX(CT192,0)/Inputs!$B$6)^Inputs!$B$29)</f>
        <v>26551.62753784618</v>
      </c>
      <c r="CR193" s="38">
        <f>Inputs!$B$32*CT192/Inputs!$B$6</f>
        <v>0</v>
      </c>
      <c r="CS193" s="38">
        <f>Inputs!$B$33</f>
        <v>2500</v>
      </c>
      <c r="CT193" s="38">
        <f t="shared" si="135"/>
        <v>0</v>
      </c>
      <c r="CU193" s="38">
        <f t="shared" si="136"/>
        <v>0</v>
      </c>
      <c r="CV193" s="38">
        <f>Inputs!$B$19*(1-Inputs!$C$73*$H193)+Inputs!$B$21+Inputs!$B$73*$J193</f>
        <v>583500</v>
      </c>
      <c r="CW193" s="38">
        <f t="shared" si="137"/>
        <v>-583500</v>
      </c>
      <c r="CX193" s="38">
        <f t="shared" si="138"/>
        <v>1</v>
      </c>
      <c r="CY193" s="38">
        <f>MAX(0,MIN(Inputs!$C$36,DD192,CZ193+DA193+DB193+Inputs!$C$6-DC192))</f>
        <v>0</v>
      </c>
      <c r="CZ193" s="38">
        <f>Inputs!$C$27*(1+Inputs!$C$28)^($A193/12)*IF(Inputs!$B$73=1,$G193,1)*(1-Inputs!$C$73*$H193*(1-Inputs!$E$54*Inputs!$B$73))*(1+$I193)*IF(Inputs!$C$29=0,1,(MAX(DC192,0)/Inputs!$C$6)^Inputs!$C$29)</f>
        <v>0</v>
      </c>
      <c r="DA193" s="38">
        <f>Inputs!$C$32*DC192/Inputs!$C$6</f>
        <v>0</v>
      </c>
      <c r="DB193" s="38">
        <f>Inputs!$C$33</f>
        <v>2000</v>
      </c>
      <c r="DC193" s="38">
        <f t="shared" si="139"/>
        <v>0</v>
      </c>
      <c r="DD193" s="38">
        <f t="shared" si="140"/>
        <v>0</v>
      </c>
      <c r="DE193" s="38">
        <f>Inputs!$C$19*(1-Inputs!$C$73*$H193)+Inputs!$C$21+Inputs!$B$73*$J193</f>
        <v>486000</v>
      </c>
      <c r="DF193" s="38">
        <f t="shared" si="141"/>
        <v>-486000</v>
      </c>
      <c r="DG193" s="38">
        <f t="shared" si="142"/>
        <v>1</v>
      </c>
      <c r="DH193" s="38">
        <f>MAX(0,MIN(Inputs!$D$36,DM192,DI193+DJ193+DK193+Inputs!$D$6-DL192))</f>
        <v>0</v>
      </c>
      <c r="DI193" s="38">
        <f>Inputs!$D$27*(1+Inputs!$D$28)^($A193/12)*IF(Inputs!$B$73=1,$G193,1)*(1-Inputs!$C$73*$H193*(1-Inputs!$E$54*Inputs!$B$73))*(1+$I193)*IF(Inputs!$D$29=0,1,(MAX(DL192,0)/Inputs!$D$6)^Inputs!$D$29)</f>
        <v>1177.8686727058091</v>
      </c>
      <c r="DJ193" s="38">
        <f>Inputs!$D$32*DL192/Inputs!$D$6</f>
        <v>427.92565907832443</v>
      </c>
      <c r="DK193" s="38">
        <f>Inputs!$D$33</f>
        <v>1500</v>
      </c>
      <c r="DL193" s="38">
        <f t="shared" si="143"/>
        <v>86554.819951293379</v>
      </c>
      <c r="DM193" s="38">
        <f t="shared" si="144"/>
        <v>0</v>
      </c>
      <c r="DN193" s="38">
        <f>Inputs!$D$19*(1-Inputs!$C$73*$H193)+Inputs!$D$21+Inputs!$B$73*$J193</f>
        <v>398150</v>
      </c>
      <c r="DO193" s="38">
        <f t="shared" si="145"/>
        <v>-311595.18004870659</v>
      </c>
      <c r="DP193" s="38">
        <f t="shared" si="146"/>
        <v>1</v>
      </c>
    </row>
    <row r="194" spans="1:120" x14ac:dyDescent="0.35">
      <c r="A194" s="29">
        <v>189</v>
      </c>
      <c r="B194" s="34">
        <f>EDATE(Inputs!$B$67,$A194)</f>
        <v>52018</v>
      </c>
      <c r="C194" s="35">
        <f>IF(Inputs!$E$47&lt;=0,Inputs!$E$46,Inputs!$E$44+(Inputs!$E$46-Inputs!$E$44)*MIN($A194/Inputs!$E$47,1))</f>
        <v>0.7</v>
      </c>
      <c r="D194" s="35">
        <f>MIN(Inputs!$E$57,Inputs!$E$55*(1+Inputs!$E$56)^($A194/12))*Inputs!$E$58*(1+Inputs!$E$59)^($A194/12)/Inputs!$E$45</f>
        <v>1.5</v>
      </c>
      <c r="E194" s="35">
        <f>MAX(Inputs!$E$44,MIN(C194,D194))</f>
        <v>0.7</v>
      </c>
      <c r="F194" s="35">
        <f>IF(Inputs!$E$50&lt;=0,Inputs!$E$49,Inputs!$E$48+(Inputs!$E$49-Inputs!$E$48)*MIN($A194/Inputs!$E$50,1))</f>
        <v>0.12</v>
      </c>
      <c r="G194" s="36">
        <f>(Inputs!$E$41*(1-E194*Inputs!$E$51)+Inputs!$E$42*(1-F194*Inputs!$E$51))/(Inputs!$E$41*(1-Inputs!$E$44*Inputs!$E$51)+Inputs!$E$42*(1-Inputs!$E$48*Inputs!$E$51))</f>
        <v>0.8423127463863338</v>
      </c>
      <c r="H194" s="35">
        <f>IF(Inputs!$E$53&lt;=0,Inputs!$E$52,Inputs!$E$52*MIN($A194/Inputs!$E$53,1))</f>
        <v>0.1</v>
      </c>
      <c r="I194" s="35">
        <f>IF(Inputs!$E$64&lt;=0,Inputs!$E$63,Inputs!$E$62+(Inputs!$E$63-Inputs!$E$62)*MIN($A194/Inputs!$E$64,1))</f>
        <v>0.03</v>
      </c>
      <c r="J194" s="37">
        <f>(E194-Inputs!$E$44)*Inputs!$E$45/Inputs!$E$60*Inputs!$E$61</f>
        <v>5999.9999999999991</v>
      </c>
      <c r="K194" s="29">
        <f t="shared" si="98"/>
        <v>0</v>
      </c>
      <c r="L194" s="29"/>
      <c r="M194" s="38">
        <f>MAX(0,MIN(Inputs!$B$36,R193,N194+O194+P194+Inputs!$B$6-Q193))</f>
        <v>0</v>
      </c>
      <c r="N194" s="38">
        <f>Inputs!$B$27*(1+Inputs!$B$28)^($A194/12)*IF(Inputs!$B$70=1,$G194,1)*(1-Inputs!$C$70*$H194*(1-Inputs!$E$54*Inputs!$B$70))*(1+$I194)*IF(Inputs!$B$29=0,1,(MAX(Q193,0)/Inputs!$B$6)^Inputs!$B$29)</f>
        <v>33316.543952747423</v>
      </c>
      <c r="O194" s="38">
        <f>Inputs!$B$32*Q193/Inputs!$B$6</f>
        <v>0</v>
      </c>
      <c r="P194" s="38">
        <f>Inputs!$B$33</f>
        <v>2500</v>
      </c>
      <c r="Q194" s="38">
        <f t="shared" si="99"/>
        <v>0</v>
      </c>
      <c r="R194" s="38">
        <f t="shared" si="100"/>
        <v>0</v>
      </c>
      <c r="S194" s="38">
        <f>Inputs!$B$19*(1-Inputs!$C$70*$H194)+Inputs!$B$21+Inputs!$B$70*$J194</f>
        <v>595000</v>
      </c>
      <c r="T194" s="38">
        <f t="shared" si="101"/>
        <v>-595000</v>
      </c>
      <c r="U194" s="38">
        <f t="shared" si="102"/>
        <v>1</v>
      </c>
      <c r="V194" s="38">
        <f>MAX(0,MIN(Inputs!$C$36,AA193,W194+X194+Y194+Inputs!$C$6-Z193))</f>
        <v>0</v>
      </c>
      <c r="W194" s="38">
        <f>Inputs!$C$27*(1+Inputs!$C$28)^($A194/12)*IF(Inputs!$B$70=1,$G194,1)*(1-Inputs!$C$70*$H194*(1-Inputs!$E$54*Inputs!$B$70))*(1+$I194)*IF(Inputs!$C$29=0,1,(MAX(Z193,0)/Inputs!$C$6)^Inputs!$C$29)</f>
        <v>0</v>
      </c>
      <c r="X194" s="38">
        <f>Inputs!$C$32*Z193/Inputs!$C$6</f>
        <v>0</v>
      </c>
      <c r="Y194" s="38">
        <f>Inputs!$C$33</f>
        <v>2000</v>
      </c>
      <c r="Z194" s="38">
        <f t="shared" si="103"/>
        <v>0</v>
      </c>
      <c r="AA194" s="38">
        <f t="shared" si="104"/>
        <v>0</v>
      </c>
      <c r="AB194" s="38">
        <f>Inputs!$C$19*(1-Inputs!$C$70*$H194)+Inputs!$C$21+Inputs!$B$70*$J194</f>
        <v>495000</v>
      </c>
      <c r="AC194" s="38">
        <f t="shared" si="105"/>
        <v>-495000</v>
      </c>
      <c r="AD194" s="38">
        <f t="shared" si="106"/>
        <v>1</v>
      </c>
      <c r="AE194" s="38">
        <f>MAX(0,MIN(Inputs!$D$36,AJ193,AF194+AG194+AH194+Inputs!$D$6-AI193))</f>
        <v>0</v>
      </c>
      <c r="AF194" s="38">
        <f>Inputs!$D$27*(1+Inputs!$D$28)^($A194/12)*IF(Inputs!$B$70=1,$G194,1)*(1-Inputs!$C$70*$H194*(1-Inputs!$E$54*Inputs!$B$70))*(1+$I194)*IF(Inputs!$D$29=0,1,(MAX(AI193,0)/Inputs!$D$6)^Inputs!$D$29)</f>
        <v>685.67123498227477</v>
      </c>
      <c r="AG194" s="38">
        <f>Inputs!$D$32*AI193/Inputs!$D$6</f>
        <v>93.651154454852858</v>
      </c>
      <c r="AH194" s="38">
        <f>Inputs!$D$33</f>
        <v>1500</v>
      </c>
      <c r="AI194" s="38">
        <f t="shared" si="107"/>
        <v>17342.824258246332</v>
      </c>
      <c r="AJ194" s="38">
        <f t="shared" si="108"/>
        <v>0</v>
      </c>
      <c r="AK194" s="38">
        <f>Inputs!$D$19*(1-Inputs!$C$70*$H194)+Inputs!$D$21+Inputs!$B$70*$J194</f>
        <v>404800</v>
      </c>
      <c r="AL194" s="38">
        <f t="shared" si="109"/>
        <v>-387457.17574175366</v>
      </c>
      <c r="AM194" s="38">
        <f t="shared" si="110"/>
        <v>1</v>
      </c>
      <c r="AN194" s="38">
        <f>MAX(0,MIN(Inputs!$B$36,AS193,AO194+AP194+AQ194+Inputs!$B$6-AR193))</f>
        <v>0</v>
      </c>
      <c r="AO194" s="38">
        <f>Inputs!$B$27*(1+Inputs!$B$28)^($A194/12)*IF(Inputs!$B$71=1,$G194,1)*(1-Inputs!$C$71*$H194*(1-Inputs!$E$54*Inputs!$B$71))*(1+$I194)*IF(Inputs!$B$29=0,1,(MAX(AR193,0)/Inputs!$B$6)^Inputs!$B$29)</f>
        <v>28062.949636939684</v>
      </c>
      <c r="AP194" s="38">
        <f>Inputs!$B$32*AR193/Inputs!$B$6</f>
        <v>0</v>
      </c>
      <c r="AQ194" s="38">
        <f>Inputs!$B$33</f>
        <v>2500</v>
      </c>
      <c r="AR194" s="38">
        <f t="shared" si="111"/>
        <v>0</v>
      </c>
      <c r="AS194" s="38">
        <f t="shared" si="112"/>
        <v>0</v>
      </c>
      <c r="AT194" s="38">
        <f>Inputs!$B$19*(1-Inputs!$C$71*$H194)+Inputs!$B$21+Inputs!$B$71*$J194</f>
        <v>601000</v>
      </c>
      <c r="AU194" s="38">
        <f t="shared" si="113"/>
        <v>-601000</v>
      </c>
      <c r="AV194" s="38">
        <f t="shared" si="114"/>
        <v>1</v>
      </c>
      <c r="AW194" s="38">
        <f>MAX(0,MIN(Inputs!$C$36,BB193,AX194+AY194+AZ194+Inputs!$C$6-BA193))</f>
        <v>0</v>
      </c>
      <c r="AX194" s="38">
        <f>Inputs!$C$27*(1+Inputs!$C$28)^($A194/12)*IF(Inputs!$B$71=1,$G194,1)*(1-Inputs!$C$71*$H194*(1-Inputs!$E$54*Inputs!$B$71))*(1+$I194)*IF(Inputs!$C$29=0,1,(MAX(BA193,0)/Inputs!$C$6)^Inputs!$C$29)</f>
        <v>0</v>
      </c>
      <c r="AY194" s="38">
        <f>Inputs!$C$32*BA193/Inputs!$C$6</f>
        <v>0</v>
      </c>
      <c r="AZ194" s="38">
        <f>Inputs!$C$33</f>
        <v>2000</v>
      </c>
      <c r="BA194" s="38">
        <f t="shared" si="115"/>
        <v>0</v>
      </c>
      <c r="BB194" s="38">
        <f t="shared" si="116"/>
        <v>0</v>
      </c>
      <c r="BC194" s="38">
        <f>Inputs!$C$19*(1-Inputs!$C$71*$H194)+Inputs!$C$21+Inputs!$B$71*$J194</f>
        <v>501000</v>
      </c>
      <c r="BD194" s="38">
        <f t="shared" si="117"/>
        <v>-501000</v>
      </c>
      <c r="BE194" s="38">
        <f t="shared" si="118"/>
        <v>1</v>
      </c>
      <c r="BF194" s="38">
        <f>MAX(0,MIN(Inputs!$D$36,BK193,BG194+BH194+BI194+Inputs!$D$6-BJ193))</f>
        <v>0</v>
      </c>
      <c r="BG194" s="38">
        <f>Inputs!$D$27*(1+Inputs!$D$28)^($A194/12)*IF(Inputs!$B$71=1,$G194,1)*(1-Inputs!$C$71*$H194*(1-Inputs!$E$54*Inputs!$B$71))*(1+$I194)*IF(Inputs!$D$29=0,1,(MAX(BJ193,0)/Inputs!$D$6)^Inputs!$D$29)</f>
        <v>1099.7423911996432</v>
      </c>
      <c r="BH194" s="38">
        <f>Inputs!$D$32*BJ193/Inputs!$D$6</f>
        <v>339.55994979218298</v>
      </c>
      <c r="BI194" s="38">
        <f>Inputs!$D$33</f>
        <v>1500</v>
      </c>
      <c r="BJ194" s="38">
        <f t="shared" si="119"/>
        <v>68206.591901179854</v>
      </c>
      <c r="BK194" s="38">
        <f t="shared" si="120"/>
        <v>0</v>
      </c>
      <c r="BL194" s="38">
        <f>Inputs!$D$19*(1-Inputs!$C$71*$H194)+Inputs!$D$21+Inputs!$B$71*$J194</f>
        <v>410800</v>
      </c>
      <c r="BM194" s="38">
        <f t="shared" si="121"/>
        <v>-342593.40809882013</v>
      </c>
      <c r="BN194" s="38">
        <f t="shared" si="122"/>
        <v>1</v>
      </c>
      <c r="BO194" s="38">
        <f>MAX(0,MIN(Inputs!$B$36,BT193,BP194+BQ194+BR194+Inputs!$B$6-BS193))</f>
        <v>0</v>
      </c>
      <c r="BP194" s="38">
        <f>Inputs!$B$27*(1+Inputs!$B$28)^($A194/12)*IF(Inputs!$B$72=1,$G194,1)*(1-Inputs!$C$72*$H194*(1-Inputs!$E$54*Inputs!$B$72))*(1+$I194)*IF(Inputs!$B$29=0,1,(MAX(BS193,0)/Inputs!$B$6)^Inputs!$B$29)</f>
        <v>29984.889557472681</v>
      </c>
      <c r="BQ194" s="38">
        <f>Inputs!$B$32*BS193/Inputs!$B$6</f>
        <v>0</v>
      </c>
      <c r="BR194" s="38">
        <f>Inputs!$B$33</f>
        <v>2500</v>
      </c>
      <c r="BS194" s="38">
        <f t="shared" si="123"/>
        <v>0</v>
      </c>
      <c r="BT194" s="38">
        <f t="shared" si="124"/>
        <v>0</v>
      </c>
      <c r="BU194" s="38">
        <f>Inputs!$B$19*(1-Inputs!$C$72*$H194)+Inputs!$B$21+Inputs!$B$72*$J194</f>
        <v>577500</v>
      </c>
      <c r="BV194" s="38">
        <f t="shared" si="125"/>
        <v>-577500</v>
      </c>
      <c r="BW194" s="38">
        <f t="shared" si="126"/>
        <v>1</v>
      </c>
      <c r="BX194" s="38">
        <f>MAX(0,MIN(Inputs!$C$36,CC193,BY194+BZ194+CA194+Inputs!$C$6-CB193))</f>
        <v>0</v>
      </c>
      <c r="BY194" s="38">
        <f>Inputs!$C$27*(1+Inputs!$C$28)^($A194/12)*IF(Inputs!$B$72=1,$G194,1)*(1-Inputs!$C$72*$H194*(1-Inputs!$E$54*Inputs!$B$72))*(1+$I194)*IF(Inputs!$C$29=0,1,(MAX(CB193,0)/Inputs!$C$6)^Inputs!$C$29)</f>
        <v>0</v>
      </c>
      <c r="BZ194" s="38">
        <f>Inputs!$C$32*CB193/Inputs!$C$6</f>
        <v>0</v>
      </c>
      <c r="CA194" s="38">
        <f>Inputs!$C$33</f>
        <v>2000</v>
      </c>
      <c r="CB194" s="38">
        <f t="shared" si="127"/>
        <v>0</v>
      </c>
      <c r="CC194" s="38">
        <f t="shared" si="128"/>
        <v>0</v>
      </c>
      <c r="CD194" s="38">
        <f>Inputs!$C$19*(1-Inputs!$C$72*$H194)+Inputs!$C$21+Inputs!$B$72*$J194</f>
        <v>480000</v>
      </c>
      <c r="CE194" s="38">
        <f t="shared" si="129"/>
        <v>-480000</v>
      </c>
      <c r="CF194" s="38">
        <f t="shared" si="130"/>
        <v>1</v>
      </c>
      <c r="CG194" s="38">
        <f>MAX(0,MIN(Inputs!$D$36,CL193,CH194+CI194+CJ194+Inputs!$D$6-CK193))</f>
        <v>0</v>
      </c>
      <c r="CH194" s="38">
        <f>Inputs!$D$27*(1+Inputs!$D$28)^($A194/12)*IF(Inputs!$B$72=1,$G194,1)*(1-Inputs!$C$72*$H194*(1-Inputs!$E$54*Inputs!$B$72))*(1+$I194)*IF(Inputs!$D$29=0,1,(MAX(CK193,0)/Inputs!$D$6)^Inputs!$D$29)</f>
        <v>962.97195691578543</v>
      </c>
      <c r="CI194" s="38">
        <f>Inputs!$D$32*CK193/Inputs!$D$6</f>
        <v>228.04656533318652</v>
      </c>
      <c r="CJ194" s="38">
        <f>Inputs!$D$33</f>
        <v>1500</v>
      </c>
      <c r="CK194" s="38">
        <f t="shared" si="131"/>
        <v>45090.166595180592</v>
      </c>
      <c r="CL194" s="38">
        <f t="shared" si="132"/>
        <v>0</v>
      </c>
      <c r="CM194" s="38">
        <f>Inputs!$D$19*(1-Inputs!$C$72*$H194)+Inputs!$D$21+Inputs!$B$72*$J194</f>
        <v>392150</v>
      </c>
      <c r="CN194" s="38">
        <f t="shared" si="133"/>
        <v>-347059.83340481942</v>
      </c>
      <c r="CO194" s="38">
        <f t="shared" si="134"/>
        <v>1</v>
      </c>
      <c r="CP194" s="38">
        <f>MAX(0,MIN(Inputs!$B$36,CU193,CQ194+CR194+CS194+Inputs!$B$6-CT193))</f>
        <v>0</v>
      </c>
      <c r="CQ194" s="38">
        <f>Inputs!$B$27*(1+Inputs!$B$28)^($A194/12)*IF(Inputs!$B$73=1,$G194,1)*(1-Inputs!$C$73*$H194*(1-Inputs!$E$54*Inputs!$B$73))*(1+$I194)*IF(Inputs!$B$29=0,1,(MAX(CT193,0)/Inputs!$B$6)^Inputs!$B$29)</f>
        <v>26659.802155092697</v>
      </c>
      <c r="CR194" s="38">
        <f>Inputs!$B$32*CT193/Inputs!$B$6</f>
        <v>0</v>
      </c>
      <c r="CS194" s="38">
        <f>Inputs!$B$33</f>
        <v>2500</v>
      </c>
      <c r="CT194" s="38">
        <f t="shared" si="135"/>
        <v>0</v>
      </c>
      <c r="CU194" s="38">
        <f t="shared" si="136"/>
        <v>0</v>
      </c>
      <c r="CV194" s="38">
        <f>Inputs!$B$19*(1-Inputs!$C$73*$H194)+Inputs!$B$21+Inputs!$B$73*$J194</f>
        <v>583500</v>
      </c>
      <c r="CW194" s="38">
        <f t="shared" si="137"/>
        <v>-583500</v>
      </c>
      <c r="CX194" s="38">
        <f t="shared" si="138"/>
        <v>1</v>
      </c>
      <c r="CY194" s="38">
        <f>MAX(0,MIN(Inputs!$C$36,DD193,CZ194+DA194+DB194+Inputs!$C$6-DC193))</f>
        <v>0</v>
      </c>
      <c r="CZ194" s="38">
        <f>Inputs!$C$27*(1+Inputs!$C$28)^($A194/12)*IF(Inputs!$B$73=1,$G194,1)*(1-Inputs!$C$73*$H194*(1-Inputs!$E$54*Inputs!$B$73))*(1+$I194)*IF(Inputs!$C$29=0,1,(MAX(DC193,0)/Inputs!$C$6)^Inputs!$C$29)</f>
        <v>0</v>
      </c>
      <c r="DA194" s="38">
        <f>Inputs!$C$32*DC193/Inputs!$C$6</f>
        <v>0</v>
      </c>
      <c r="DB194" s="38">
        <f>Inputs!$C$33</f>
        <v>2000</v>
      </c>
      <c r="DC194" s="38">
        <f t="shared" si="139"/>
        <v>0</v>
      </c>
      <c r="DD194" s="38">
        <f t="shared" si="140"/>
        <v>0</v>
      </c>
      <c r="DE194" s="38">
        <f>Inputs!$C$19*(1-Inputs!$C$73*$H194)+Inputs!$C$21+Inputs!$B$73*$J194</f>
        <v>486000</v>
      </c>
      <c r="DF194" s="38">
        <f t="shared" si="141"/>
        <v>-486000</v>
      </c>
      <c r="DG194" s="38">
        <f t="shared" si="142"/>
        <v>1</v>
      </c>
      <c r="DH194" s="38">
        <f>MAX(0,MIN(Inputs!$D$36,DM193,DI194+DJ194+DK194+Inputs!$D$6-DL193))</f>
        <v>0</v>
      </c>
      <c r="DI194" s="38">
        <f>Inputs!$D$27*(1+Inputs!$D$28)^($A194/12)*IF(Inputs!$B$73=1,$G194,1)*(1-Inputs!$C$73*$H194*(1-Inputs!$E$54*Inputs!$B$73))*(1+$I194)*IF(Inputs!$D$29=0,1,(MAX(DL193,0)/Inputs!$D$6)^Inputs!$D$29)</f>
        <v>1152.3523149850134</v>
      </c>
      <c r="DJ194" s="38">
        <f>Inputs!$D$32*DL193/Inputs!$D$6</f>
        <v>413.10254976753663</v>
      </c>
      <c r="DK194" s="38">
        <f>Inputs!$D$33</f>
        <v>1500</v>
      </c>
      <c r="DL194" s="38">
        <f t="shared" si="143"/>
        <v>83489.365086540827</v>
      </c>
      <c r="DM194" s="38">
        <f t="shared" si="144"/>
        <v>0</v>
      </c>
      <c r="DN194" s="38">
        <f>Inputs!$D$19*(1-Inputs!$C$73*$H194)+Inputs!$D$21+Inputs!$B$73*$J194</f>
        <v>398150</v>
      </c>
      <c r="DO194" s="38">
        <f t="shared" si="145"/>
        <v>-314660.63491345919</v>
      </c>
      <c r="DP194" s="38">
        <f t="shared" si="146"/>
        <v>1</v>
      </c>
    </row>
    <row r="195" spans="1:120" x14ac:dyDescent="0.35">
      <c r="A195" s="29">
        <v>190</v>
      </c>
      <c r="B195" s="34">
        <f>EDATE(Inputs!$B$67,$A195)</f>
        <v>52048</v>
      </c>
      <c r="C195" s="35">
        <f>IF(Inputs!$E$47&lt;=0,Inputs!$E$46,Inputs!$E$44+(Inputs!$E$46-Inputs!$E$44)*MIN($A195/Inputs!$E$47,1))</f>
        <v>0.7</v>
      </c>
      <c r="D195" s="35">
        <f>MIN(Inputs!$E$57,Inputs!$E$55*(1+Inputs!$E$56)^($A195/12))*Inputs!$E$58*(1+Inputs!$E$59)^($A195/12)/Inputs!$E$45</f>
        <v>1.5</v>
      </c>
      <c r="E195" s="35">
        <f>MAX(Inputs!$E$44,MIN(C195,D195))</f>
        <v>0.7</v>
      </c>
      <c r="F195" s="35">
        <f>IF(Inputs!$E$50&lt;=0,Inputs!$E$49,Inputs!$E$48+(Inputs!$E$49-Inputs!$E$48)*MIN($A195/Inputs!$E$50,1))</f>
        <v>0.12</v>
      </c>
      <c r="G195" s="36">
        <f>(Inputs!$E$41*(1-E195*Inputs!$E$51)+Inputs!$E$42*(1-F195*Inputs!$E$51))/(Inputs!$E$41*(1-Inputs!$E$44*Inputs!$E$51)+Inputs!$E$42*(1-Inputs!$E$48*Inputs!$E$51))</f>
        <v>0.8423127463863338</v>
      </c>
      <c r="H195" s="35">
        <f>IF(Inputs!$E$53&lt;=0,Inputs!$E$52,Inputs!$E$52*MIN($A195/Inputs!$E$53,1))</f>
        <v>0.1</v>
      </c>
      <c r="I195" s="35">
        <f>IF(Inputs!$E$64&lt;=0,Inputs!$E$63,Inputs!$E$62+(Inputs!$E$63-Inputs!$E$62)*MIN($A195/Inputs!$E$64,1))</f>
        <v>0.03</v>
      </c>
      <c r="J195" s="37">
        <f>(E195-Inputs!$E$44)*Inputs!$E$45/Inputs!$E$60*Inputs!$E$61</f>
        <v>5999.9999999999991</v>
      </c>
      <c r="K195" s="29">
        <f t="shared" si="98"/>
        <v>0</v>
      </c>
      <c r="L195" s="29"/>
      <c r="M195" s="38">
        <f>MAX(0,MIN(Inputs!$B$36,R194,N195+O195+P195+Inputs!$B$6-Q194))</f>
        <v>0</v>
      </c>
      <c r="N195" s="38">
        <f>Inputs!$B$27*(1+Inputs!$B$28)^($A195/12)*IF(Inputs!$B$70=1,$G195,1)*(1-Inputs!$C$70*$H195*(1-Inputs!$E$54*Inputs!$B$70))*(1+$I195)*IF(Inputs!$B$29=0,1,(MAX(Q194,0)/Inputs!$B$6)^Inputs!$B$29)</f>
        <v>33452.279676854276</v>
      </c>
      <c r="O195" s="38">
        <f>Inputs!$B$32*Q194/Inputs!$B$6</f>
        <v>0</v>
      </c>
      <c r="P195" s="38">
        <f>Inputs!$B$33</f>
        <v>2500</v>
      </c>
      <c r="Q195" s="38">
        <f t="shared" si="99"/>
        <v>0</v>
      </c>
      <c r="R195" s="38">
        <f t="shared" si="100"/>
        <v>0</v>
      </c>
      <c r="S195" s="38">
        <f>Inputs!$B$19*(1-Inputs!$C$70*$H195)+Inputs!$B$21+Inputs!$B$70*$J195</f>
        <v>595000</v>
      </c>
      <c r="T195" s="38">
        <f t="shared" si="101"/>
        <v>-595000</v>
      </c>
      <c r="U195" s="38">
        <f t="shared" si="102"/>
        <v>1</v>
      </c>
      <c r="V195" s="38">
        <f>MAX(0,MIN(Inputs!$C$36,AA194,W195+X195+Y195+Inputs!$C$6-Z194))</f>
        <v>0</v>
      </c>
      <c r="W195" s="38">
        <f>Inputs!$C$27*(1+Inputs!$C$28)^($A195/12)*IF(Inputs!$B$70=1,$G195,1)*(1-Inputs!$C$70*$H195*(1-Inputs!$E$54*Inputs!$B$70))*(1+$I195)*IF(Inputs!$C$29=0,1,(MAX(Z194,0)/Inputs!$C$6)^Inputs!$C$29)</f>
        <v>0</v>
      </c>
      <c r="X195" s="38">
        <f>Inputs!$C$32*Z194/Inputs!$C$6</f>
        <v>0</v>
      </c>
      <c r="Y195" s="38">
        <f>Inputs!$C$33</f>
        <v>2000</v>
      </c>
      <c r="Z195" s="38">
        <f t="shared" si="103"/>
        <v>0</v>
      </c>
      <c r="AA195" s="38">
        <f t="shared" si="104"/>
        <v>0</v>
      </c>
      <c r="AB195" s="38">
        <f>Inputs!$C$19*(1-Inputs!$C$70*$H195)+Inputs!$C$21+Inputs!$B$70*$J195</f>
        <v>495000</v>
      </c>
      <c r="AC195" s="38">
        <f t="shared" si="105"/>
        <v>-495000</v>
      </c>
      <c r="AD195" s="38">
        <f t="shared" si="106"/>
        <v>1</v>
      </c>
      <c r="AE195" s="38">
        <f>MAX(0,MIN(Inputs!$D$36,AJ194,AF195+AG195+AH195+Inputs!$D$6-AI194))</f>
        <v>0</v>
      </c>
      <c r="AF195" s="38">
        <f>Inputs!$D$27*(1+Inputs!$D$28)^($A195/12)*IF(Inputs!$B$70=1,$G195,1)*(1-Inputs!$C$70*$H195*(1-Inputs!$E$54*Inputs!$B$70))*(1+$I195)*IF(Inputs!$D$29=0,1,(MAX(AI194,0)/Inputs!$D$6)^Inputs!$D$29)</f>
        <v>641.86872808157227</v>
      </c>
      <c r="AG195" s="38">
        <f>Inputs!$D$32*AI194/Inputs!$D$6</f>
        <v>82.772570323448406</v>
      </c>
      <c r="AH195" s="38">
        <f>Inputs!$D$33</f>
        <v>1500</v>
      </c>
      <c r="AI195" s="38">
        <f t="shared" si="107"/>
        <v>15118.18295984131</v>
      </c>
      <c r="AJ195" s="38">
        <f t="shared" si="108"/>
        <v>0</v>
      </c>
      <c r="AK195" s="38">
        <f>Inputs!$D$19*(1-Inputs!$C$70*$H195)+Inputs!$D$21+Inputs!$B$70*$J195</f>
        <v>404800</v>
      </c>
      <c r="AL195" s="38">
        <f t="shared" si="109"/>
        <v>-389681.81704015867</v>
      </c>
      <c r="AM195" s="38">
        <f t="shared" si="110"/>
        <v>1</v>
      </c>
      <c r="AN195" s="38">
        <f>MAX(0,MIN(Inputs!$B$36,AS194,AO195+AP195+AQ195+Inputs!$B$6-AR194))</f>
        <v>0</v>
      </c>
      <c r="AO195" s="38">
        <f>Inputs!$B$27*(1+Inputs!$B$28)^($A195/12)*IF(Inputs!$B$71=1,$G195,1)*(1-Inputs!$C$71*$H195*(1-Inputs!$E$54*Inputs!$B$71))*(1+$I195)*IF(Inputs!$B$29=0,1,(MAX(AR194,0)/Inputs!$B$6)^Inputs!$B$29)</f>
        <v>28177.281567494862</v>
      </c>
      <c r="AP195" s="38">
        <f>Inputs!$B$32*AR194/Inputs!$B$6</f>
        <v>0</v>
      </c>
      <c r="AQ195" s="38">
        <f>Inputs!$B$33</f>
        <v>2500</v>
      </c>
      <c r="AR195" s="38">
        <f t="shared" si="111"/>
        <v>0</v>
      </c>
      <c r="AS195" s="38">
        <f t="shared" si="112"/>
        <v>0</v>
      </c>
      <c r="AT195" s="38">
        <f>Inputs!$B$19*(1-Inputs!$C$71*$H195)+Inputs!$B$21+Inputs!$B$71*$J195</f>
        <v>601000</v>
      </c>
      <c r="AU195" s="38">
        <f t="shared" si="113"/>
        <v>-601000</v>
      </c>
      <c r="AV195" s="38">
        <f t="shared" si="114"/>
        <v>1</v>
      </c>
      <c r="AW195" s="38">
        <f>MAX(0,MIN(Inputs!$C$36,BB194,AX195+AY195+AZ195+Inputs!$C$6-BA194))</f>
        <v>0</v>
      </c>
      <c r="AX195" s="38">
        <f>Inputs!$C$27*(1+Inputs!$C$28)^($A195/12)*IF(Inputs!$B$71=1,$G195,1)*(1-Inputs!$C$71*$H195*(1-Inputs!$E$54*Inputs!$B$71))*(1+$I195)*IF(Inputs!$C$29=0,1,(MAX(BA194,0)/Inputs!$C$6)^Inputs!$C$29)</f>
        <v>0</v>
      </c>
      <c r="AY195" s="38">
        <f>Inputs!$C$32*BA194/Inputs!$C$6</f>
        <v>0</v>
      </c>
      <c r="AZ195" s="38">
        <f>Inputs!$C$33</f>
        <v>2000</v>
      </c>
      <c r="BA195" s="38">
        <f t="shared" si="115"/>
        <v>0</v>
      </c>
      <c r="BB195" s="38">
        <f t="shared" si="116"/>
        <v>0</v>
      </c>
      <c r="BC195" s="38">
        <f>Inputs!$C$19*(1-Inputs!$C$71*$H195)+Inputs!$C$21+Inputs!$B$71*$J195</f>
        <v>501000</v>
      </c>
      <c r="BD195" s="38">
        <f t="shared" si="117"/>
        <v>-501000</v>
      </c>
      <c r="BE195" s="38">
        <f t="shared" si="118"/>
        <v>1</v>
      </c>
      <c r="BF195" s="38">
        <f>MAX(0,MIN(Inputs!$D$36,BK194,BG195+BH195+BI195+Inputs!$D$6-BJ194))</f>
        <v>0</v>
      </c>
      <c r="BG195" s="38">
        <f>Inputs!$D$27*(1+Inputs!$D$28)^($A195/12)*IF(Inputs!$B$71=1,$G195,1)*(1-Inputs!$C$71*$H195*(1-Inputs!$E$54*Inputs!$B$71))*(1+$I195)*IF(Inputs!$D$29=0,1,(MAX(BJ194,0)/Inputs!$D$6)^Inputs!$D$29)</f>
        <v>1072.192717808321</v>
      </c>
      <c r="BH195" s="38">
        <f>Inputs!$D$32*BJ194/Inputs!$D$6</f>
        <v>325.5314613465402</v>
      </c>
      <c r="BI195" s="38">
        <f>Inputs!$D$33</f>
        <v>1500</v>
      </c>
      <c r="BJ195" s="38">
        <f t="shared" si="119"/>
        <v>65308.867722024981</v>
      </c>
      <c r="BK195" s="38">
        <f t="shared" si="120"/>
        <v>0</v>
      </c>
      <c r="BL195" s="38">
        <f>Inputs!$D$19*(1-Inputs!$C$71*$H195)+Inputs!$D$21+Inputs!$B$71*$J195</f>
        <v>410800</v>
      </c>
      <c r="BM195" s="38">
        <f t="shared" si="121"/>
        <v>-345491.13227797503</v>
      </c>
      <c r="BN195" s="38">
        <f t="shared" si="122"/>
        <v>1</v>
      </c>
      <c r="BO195" s="38">
        <f>MAX(0,MIN(Inputs!$B$36,BT194,BP195+BQ195+BR195+Inputs!$B$6-BS194))</f>
        <v>0</v>
      </c>
      <c r="BP195" s="38">
        <f>Inputs!$B$27*(1+Inputs!$B$28)^($A195/12)*IF(Inputs!$B$72=1,$G195,1)*(1-Inputs!$C$72*$H195*(1-Inputs!$E$54*Inputs!$B$72))*(1+$I195)*IF(Inputs!$B$29=0,1,(MAX(BS194,0)/Inputs!$B$6)^Inputs!$B$29)</f>
        <v>30107.051709168849</v>
      </c>
      <c r="BQ195" s="38">
        <f>Inputs!$B$32*BS194/Inputs!$B$6</f>
        <v>0</v>
      </c>
      <c r="BR195" s="38">
        <f>Inputs!$B$33</f>
        <v>2500</v>
      </c>
      <c r="BS195" s="38">
        <f t="shared" si="123"/>
        <v>0</v>
      </c>
      <c r="BT195" s="38">
        <f t="shared" si="124"/>
        <v>0</v>
      </c>
      <c r="BU195" s="38">
        <f>Inputs!$B$19*(1-Inputs!$C$72*$H195)+Inputs!$B$21+Inputs!$B$72*$J195</f>
        <v>577500</v>
      </c>
      <c r="BV195" s="38">
        <f t="shared" si="125"/>
        <v>-577500</v>
      </c>
      <c r="BW195" s="38">
        <f t="shared" si="126"/>
        <v>1</v>
      </c>
      <c r="BX195" s="38">
        <f>MAX(0,MIN(Inputs!$C$36,CC194,BY195+BZ195+CA195+Inputs!$C$6-CB194))</f>
        <v>0</v>
      </c>
      <c r="BY195" s="38">
        <f>Inputs!$C$27*(1+Inputs!$C$28)^($A195/12)*IF(Inputs!$B$72=1,$G195,1)*(1-Inputs!$C$72*$H195*(1-Inputs!$E$54*Inputs!$B$72))*(1+$I195)*IF(Inputs!$C$29=0,1,(MAX(CB194,0)/Inputs!$C$6)^Inputs!$C$29)</f>
        <v>0</v>
      </c>
      <c r="BZ195" s="38">
        <f>Inputs!$C$32*CB194/Inputs!$C$6</f>
        <v>0</v>
      </c>
      <c r="CA195" s="38">
        <f>Inputs!$C$33</f>
        <v>2000</v>
      </c>
      <c r="CB195" s="38">
        <f t="shared" si="127"/>
        <v>0</v>
      </c>
      <c r="CC195" s="38">
        <f t="shared" si="128"/>
        <v>0</v>
      </c>
      <c r="CD195" s="38">
        <f>Inputs!$C$19*(1-Inputs!$C$72*$H195)+Inputs!$C$21+Inputs!$B$72*$J195</f>
        <v>480000</v>
      </c>
      <c r="CE195" s="38">
        <f t="shared" si="129"/>
        <v>-480000</v>
      </c>
      <c r="CF195" s="38">
        <f t="shared" si="130"/>
        <v>1</v>
      </c>
      <c r="CG195" s="38">
        <f>MAX(0,MIN(Inputs!$D$36,CL194,CH195+CI195+CJ195+Inputs!$D$6-CK194))</f>
        <v>0</v>
      </c>
      <c r="CH195" s="38">
        <f>Inputs!$D$27*(1+Inputs!$D$28)^($A195/12)*IF(Inputs!$B$72=1,$G195,1)*(1-Inputs!$C$72*$H195*(1-Inputs!$E$54*Inputs!$B$72))*(1+$I195)*IF(Inputs!$D$29=0,1,(MAX(CK194,0)/Inputs!$D$6)^Inputs!$D$29)</f>
        <v>931.47185101246407</v>
      </c>
      <c r="CI195" s="38">
        <f>Inputs!$D$32*CK194/Inputs!$D$6</f>
        <v>215.20306784063465</v>
      </c>
      <c r="CJ195" s="38">
        <f>Inputs!$D$33</f>
        <v>1500</v>
      </c>
      <c r="CK195" s="38">
        <f t="shared" si="131"/>
        <v>42443.491676327489</v>
      </c>
      <c r="CL195" s="38">
        <f t="shared" si="132"/>
        <v>0</v>
      </c>
      <c r="CM195" s="38">
        <f>Inputs!$D$19*(1-Inputs!$C$72*$H195)+Inputs!$D$21+Inputs!$B$72*$J195</f>
        <v>392150</v>
      </c>
      <c r="CN195" s="38">
        <f t="shared" si="133"/>
        <v>-349706.50832367252</v>
      </c>
      <c r="CO195" s="38">
        <f t="shared" si="134"/>
        <v>1</v>
      </c>
      <c r="CP195" s="38">
        <f>MAX(0,MIN(Inputs!$B$36,CU194,CQ195+CR195+CS195+Inputs!$B$6-CT194))</f>
        <v>0</v>
      </c>
      <c r="CQ195" s="38">
        <f>Inputs!$B$27*(1+Inputs!$B$28)^($A195/12)*IF(Inputs!$B$73=1,$G195,1)*(1-Inputs!$C$73*$H195*(1-Inputs!$E$54*Inputs!$B$73))*(1+$I195)*IF(Inputs!$B$29=0,1,(MAX(CT194,0)/Inputs!$B$6)^Inputs!$B$29)</f>
        <v>26768.417489120118</v>
      </c>
      <c r="CR195" s="38">
        <f>Inputs!$B$32*CT194/Inputs!$B$6</f>
        <v>0</v>
      </c>
      <c r="CS195" s="38">
        <f>Inputs!$B$33</f>
        <v>2500</v>
      </c>
      <c r="CT195" s="38">
        <f t="shared" si="135"/>
        <v>0</v>
      </c>
      <c r="CU195" s="38">
        <f t="shared" si="136"/>
        <v>0</v>
      </c>
      <c r="CV195" s="38">
        <f>Inputs!$B$19*(1-Inputs!$C$73*$H195)+Inputs!$B$21+Inputs!$B$73*$J195</f>
        <v>583500</v>
      </c>
      <c r="CW195" s="38">
        <f t="shared" si="137"/>
        <v>-583500</v>
      </c>
      <c r="CX195" s="38">
        <f t="shared" si="138"/>
        <v>1</v>
      </c>
      <c r="CY195" s="38">
        <f>MAX(0,MIN(Inputs!$C$36,DD194,CZ195+DA195+DB195+Inputs!$C$6-DC194))</f>
        <v>0</v>
      </c>
      <c r="CZ195" s="38">
        <f>Inputs!$C$27*(1+Inputs!$C$28)^($A195/12)*IF(Inputs!$B$73=1,$G195,1)*(1-Inputs!$C$73*$H195*(1-Inputs!$E$54*Inputs!$B$73))*(1+$I195)*IF(Inputs!$C$29=0,1,(MAX(DC194,0)/Inputs!$C$6)^Inputs!$C$29)</f>
        <v>0</v>
      </c>
      <c r="DA195" s="38">
        <f>Inputs!$C$32*DC194/Inputs!$C$6</f>
        <v>0</v>
      </c>
      <c r="DB195" s="38">
        <f>Inputs!$C$33</f>
        <v>2000</v>
      </c>
      <c r="DC195" s="38">
        <f t="shared" si="139"/>
        <v>0</v>
      </c>
      <c r="DD195" s="38">
        <f t="shared" si="140"/>
        <v>0</v>
      </c>
      <c r="DE195" s="38">
        <f>Inputs!$C$19*(1-Inputs!$C$73*$H195)+Inputs!$C$21+Inputs!$B$73*$J195</f>
        <v>486000</v>
      </c>
      <c r="DF195" s="38">
        <f t="shared" si="141"/>
        <v>-486000</v>
      </c>
      <c r="DG195" s="38">
        <f t="shared" si="142"/>
        <v>1</v>
      </c>
      <c r="DH195" s="38">
        <f>MAX(0,MIN(Inputs!$D$36,DM194,DI195+DJ195+DK195+Inputs!$D$6-DL194))</f>
        <v>0</v>
      </c>
      <c r="DI195" s="38">
        <f>Inputs!$D$27*(1+Inputs!$D$28)^($A195/12)*IF(Inputs!$B$73=1,$G195,1)*(1-Inputs!$C$73*$H195*(1-Inputs!$E$54*Inputs!$B$73))*(1+$I195)*IF(Inputs!$D$29=0,1,(MAX(DL194,0)/Inputs!$D$6)^Inputs!$D$29)</f>
        <v>1126.9349887011156</v>
      </c>
      <c r="DJ195" s="38">
        <f>Inputs!$D$32*DL194/Inputs!$D$6</f>
        <v>398.47196973121754</v>
      </c>
      <c r="DK195" s="38">
        <f>Inputs!$D$33</f>
        <v>1500</v>
      </c>
      <c r="DL195" s="38">
        <f t="shared" si="143"/>
        <v>80463.958128108497</v>
      </c>
      <c r="DM195" s="38">
        <f t="shared" si="144"/>
        <v>0</v>
      </c>
      <c r="DN195" s="38">
        <f>Inputs!$D$19*(1-Inputs!$C$73*$H195)+Inputs!$D$21+Inputs!$B$73*$J195</f>
        <v>398150</v>
      </c>
      <c r="DO195" s="38">
        <f t="shared" si="145"/>
        <v>-317686.04187189147</v>
      </c>
      <c r="DP195" s="38">
        <f t="shared" si="146"/>
        <v>1</v>
      </c>
    </row>
    <row r="196" spans="1:120" x14ac:dyDescent="0.35">
      <c r="A196" s="29">
        <v>191</v>
      </c>
      <c r="B196" s="34">
        <f>EDATE(Inputs!$B$67,$A196)</f>
        <v>52079</v>
      </c>
      <c r="C196" s="35">
        <f>IF(Inputs!$E$47&lt;=0,Inputs!$E$46,Inputs!$E$44+(Inputs!$E$46-Inputs!$E$44)*MIN($A196/Inputs!$E$47,1))</f>
        <v>0.7</v>
      </c>
      <c r="D196" s="35">
        <f>MIN(Inputs!$E$57,Inputs!$E$55*(1+Inputs!$E$56)^($A196/12))*Inputs!$E$58*(1+Inputs!$E$59)^($A196/12)/Inputs!$E$45</f>
        <v>1.5</v>
      </c>
      <c r="E196" s="35">
        <f>MAX(Inputs!$E$44,MIN(C196,D196))</f>
        <v>0.7</v>
      </c>
      <c r="F196" s="35">
        <f>IF(Inputs!$E$50&lt;=0,Inputs!$E$49,Inputs!$E$48+(Inputs!$E$49-Inputs!$E$48)*MIN($A196/Inputs!$E$50,1))</f>
        <v>0.12</v>
      </c>
      <c r="G196" s="36">
        <f>(Inputs!$E$41*(1-E196*Inputs!$E$51)+Inputs!$E$42*(1-F196*Inputs!$E$51))/(Inputs!$E$41*(1-Inputs!$E$44*Inputs!$E$51)+Inputs!$E$42*(1-Inputs!$E$48*Inputs!$E$51))</f>
        <v>0.8423127463863338</v>
      </c>
      <c r="H196" s="35">
        <f>IF(Inputs!$E$53&lt;=0,Inputs!$E$52,Inputs!$E$52*MIN($A196/Inputs!$E$53,1))</f>
        <v>0.1</v>
      </c>
      <c r="I196" s="35">
        <f>IF(Inputs!$E$64&lt;=0,Inputs!$E$63,Inputs!$E$62+(Inputs!$E$63-Inputs!$E$62)*MIN($A196/Inputs!$E$64,1))</f>
        <v>0.03</v>
      </c>
      <c r="J196" s="37">
        <f>(E196-Inputs!$E$44)*Inputs!$E$45/Inputs!$E$60*Inputs!$E$61</f>
        <v>5999.9999999999991</v>
      </c>
      <c r="K196" s="29">
        <f t="shared" si="98"/>
        <v>0</v>
      </c>
      <c r="L196" s="29"/>
      <c r="M196" s="38">
        <f>MAX(0,MIN(Inputs!$B$36,R195,N196+O196+P196+Inputs!$B$6-Q195))</f>
        <v>0</v>
      </c>
      <c r="N196" s="38">
        <f>Inputs!$B$27*(1+Inputs!$B$28)^($A196/12)*IF(Inputs!$B$70=1,$G196,1)*(1-Inputs!$C$70*$H196*(1-Inputs!$E$54*Inputs!$B$70))*(1+$I196)*IF(Inputs!$B$29=0,1,(MAX(Q195,0)/Inputs!$B$6)^Inputs!$B$29)</f>
        <v>33588.568405103004</v>
      </c>
      <c r="O196" s="38">
        <f>Inputs!$B$32*Q195/Inputs!$B$6</f>
        <v>0</v>
      </c>
      <c r="P196" s="38">
        <f>Inputs!$B$33</f>
        <v>2500</v>
      </c>
      <c r="Q196" s="38">
        <f t="shared" si="99"/>
        <v>0</v>
      </c>
      <c r="R196" s="38">
        <f t="shared" si="100"/>
        <v>0</v>
      </c>
      <c r="S196" s="38">
        <f>Inputs!$B$19*(1-Inputs!$C$70*$H196)+Inputs!$B$21+Inputs!$B$70*$J196</f>
        <v>595000</v>
      </c>
      <c r="T196" s="38">
        <f t="shared" si="101"/>
        <v>-595000</v>
      </c>
      <c r="U196" s="38">
        <f t="shared" si="102"/>
        <v>1</v>
      </c>
      <c r="V196" s="38">
        <f>MAX(0,MIN(Inputs!$C$36,AA195,W196+X196+Y196+Inputs!$C$6-Z195))</f>
        <v>0</v>
      </c>
      <c r="W196" s="38">
        <f>Inputs!$C$27*(1+Inputs!$C$28)^($A196/12)*IF(Inputs!$B$70=1,$G196,1)*(1-Inputs!$C$70*$H196*(1-Inputs!$E$54*Inputs!$B$70))*(1+$I196)*IF(Inputs!$C$29=0,1,(MAX(Z195,0)/Inputs!$C$6)^Inputs!$C$29)</f>
        <v>0</v>
      </c>
      <c r="X196" s="38">
        <f>Inputs!$C$32*Z195/Inputs!$C$6</f>
        <v>0</v>
      </c>
      <c r="Y196" s="38">
        <f>Inputs!$C$33</f>
        <v>2000</v>
      </c>
      <c r="Z196" s="38">
        <f t="shared" si="103"/>
        <v>0</v>
      </c>
      <c r="AA196" s="38">
        <f t="shared" si="104"/>
        <v>0</v>
      </c>
      <c r="AB196" s="38">
        <f>Inputs!$C$19*(1-Inputs!$C$70*$H196)+Inputs!$C$21+Inputs!$B$70*$J196</f>
        <v>495000</v>
      </c>
      <c r="AC196" s="38">
        <f t="shared" si="105"/>
        <v>-495000</v>
      </c>
      <c r="AD196" s="38">
        <f t="shared" si="106"/>
        <v>1</v>
      </c>
      <c r="AE196" s="38">
        <f>MAX(0,MIN(Inputs!$D$36,AJ195,AF196+AG196+AH196+Inputs!$D$6-AI195))</f>
        <v>0</v>
      </c>
      <c r="AF196" s="38">
        <f>Inputs!$D$27*(1+Inputs!$D$28)^($A196/12)*IF(Inputs!$B$70=1,$G196,1)*(1-Inputs!$C$70*$H196*(1-Inputs!$E$54*Inputs!$B$70))*(1+$I196)*IF(Inputs!$D$29=0,1,(MAX(AI195,0)/Inputs!$D$6)^Inputs!$D$29)</f>
        <v>596.73256364874339</v>
      </c>
      <c r="AG196" s="38">
        <f>Inputs!$D$32*AI195/Inputs!$D$6</f>
        <v>72.154964126515338</v>
      </c>
      <c r="AH196" s="38">
        <f>Inputs!$D$33</f>
        <v>1500</v>
      </c>
      <c r="AI196" s="38">
        <f t="shared" si="107"/>
        <v>12949.29543206605</v>
      </c>
      <c r="AJ196" s="38">
        <f t="shared" si="108"/>
        <v>0</v>
      </c>
      <c r="AK196" s="38">
        <f>Inputs!$D$19*(1-Inputs!$C$70*$H196)+Inputs!$D$21+Inputs!$B$70*$J196</f>
        <v>404800</v>
      </c>
      <c r="AL196" s="38">
        <f t="shared" si="109"/>
        <v>-391850.70456793392</v>
      </c>
      <c r="AM196" s="38">
        <f t="shared" si="110"/>
        <v>1</v>
      </c>
      <c r="AN196" s="38">
        <f>MAX(0,MIN(Inputs!$B$36,AS195,AO196+AP196+AQ196+Inputs!$B$6-AR195))</f>
        <v>0</v>
      </c>
      <c r="AO196" s="38">
        <f>Inputs!$B$27*(1+Inputs!$B$28)^($A196/12)*IF(Inputs!$B$71=1,$G196,1)*(1-Inputs!$C$71*$H196*(1-Inputs!$E$54*Inputs!$B$71))*(1+$I196)*IF(Inputs!$B$29=0,1,(MAX(AR195,0)/Inputs!$B$6)^Inputs!$B$29)</f>
        <v>28292.079300487552</v>
      </c>
      <c r="AP196" s="38">
        <f>Inputs!$B$32*AR195/Inputs!$B$6</f>
        <v>0</v>
      </c>
      <c r="AQ196" s="38">
        <f>Inputs!$B$33</f>
        <v>2500</v>
      </c>
      <c r="AR196" s="38">
        <f t="shared" si="111"/>
        <v>0</v>
      </c>
      <c r="AS196" s="38">
        <f t="shared" si="112"/>
        <v>0</v>
      </c>
      <c r="AT196" s="38">
        <f>Inputs!$B$19*(1-Inputs!$C$71*$H196)+Inputs!$B$21+Inputs!$B$71*$J196</f>
        <v>601000</v>
      </c>
      <c r="AU196" s="38">
        <f t="shared" si="113"/>
        <v>-601000</v>
      </c>
      <c r="AV196" s="38">
        <f t="shared" si="114"/>
        <v>1</v>
      </c>
      <c r="AW196" s="38">
        <f>MAX(0,MIN(Inputs!$C$36,BB195,AX196+AY196+AZ196+Inputs!$C$6-BA195))</f>
        <v>0</v>
      </c>
      <c r="AX196" s="38">
        <f>Inputs!$C$27*(1+Inputs!$C$28)^($A196/12)*IF(Inputs!$B$71=1,$G196,1)*(1-Inputs!$C$71*$H196*(1-Inputs!$E$54*Inputs!$B$71))*(1+$I196)*IF(Inputs!$C$29=0,1,(MAX(BA195,0)/Inputs!$C$6)^Inputs!$C$29)</f>
        <v>0</v>
      </c>
      <c r="AY196" s="38">
        <f>Inputs!$C$32*BA195/Inputs!$C$6</f>
        <v>0</v>
      </c>
      <c r="AZ196" s="38">
        <f>Inputs!$C$33</f>
        <v>2000</v>
      </c>
      <c r="BA196" s="38">
        <f t="shared" si="115"/>
        <v>0</v>
      </c>
      <c r="BB196" s="38">
        <f t="shared" si="116"/>
        <v>0</v>
      </c>
      <c r="BC196" s="38">
        <f>Inputs!$C$19*(1-Inputs!$C$71*$H196)+Inputs!$C$21+Inputs!$B$71*$J196</f>
        <v>501000</v>
      </c>
      <c r="BD196" s="38">
        <f t="shared" si="117"/>
        <v>-501000</v>
      </c>
      <c r="BE196" s="38">
        <f t="shared" si="118"/>
        <v>1</v>
      </c>
      <c r="BF196" s="38">
        <f>MAX(0,MIN(Inputs!$D$36,BK195,BG196+BH196+BI196+Inputs!$D$6-BJ195))</f>
        <v>0</v>
      </c>
      <c r="BG196" s="38">
        <f>Inputs!$D$27*(1+Inputs!$D$28)^($A196/12)*IF(Inputs!$B$71=1,$G196,1)*(1-Inputs!$C$71*$H196*(1-Inputs!$E$54*Inputs!$B$71))*(1+$I196)*IF(Inputs!$D$29=0,1,(MAX(BJ195,0)/Inputs!$D$6)^Inputs!$D$29)</f>
        <v>1044.6946951197019</v>
      </c>
      <c r="BH196" s="38">
        <f>Inputs!$D$32*BJ195/Inputs!$D$6</f>
        <v>311.70141412784648</v>
      </c>
      <c r="BI196" s="38">
        <f>Inputs!$D$33</f>
        <v>1500</v>
      </c>
      <c r="BJ196" s="38">
        <f t="shared" si="119"/>
        <v>62452.47161277743</v>
      </c>
      <c r="BK196" s="38">
        <f t="shared" si="120"/>
        <v>0</v>
      </c>
      <c r="BL196" s="38">
        <f>Inputs!$D$19*(1-Inputs!$C$71*$H196)+Inputs!$D$21+Inputs!$B$71*$J196</f>
        <v>410800</v>
      </c>
      <c r="BM196" s="38">
        <f t="shared" si="121"/>
        <v>-348347.52838722256</v>
      </c>
      <c r="BN196" s="38">
        <f t="shared" si="122"/>
        <v>1</v>
      </c>
      <c r="BO196" s="38">
        <f>MAX(0,MIN(Inputs!$B$36,BT195,BP196+BQ196+BR196+Inputs!$B$6-BS195))</f>
        <v>0</v>
      </c>
      <c r="BP196" s="38">
        <f>Inputs!$B$27*(1+Inputs!$B$28)^($A196/12)*IF(Inputs!$B$72=1,$G196,1)*(1-Inputs!$C$72*$H196*(1-Inputs!$E$54*Inputs!$B$72))*(1+$I196)*IF(Inputs!$B$29=0,1,(MAX(BS195,0)/Inputs!$B$6)^Inputs!$B$29)</f>
        <v>30229.711564592704</v>
      </c>
      <c r="BQ196" s="38">
        <f>Inputs!$B$32*BS195/Inputs!$B$6</f>
        <v>0</v>
      </c>
      <c r="BR196" s="38">
        <f>Inputs!$B$33</f>
        <v>2500</v>
      </c>
      <c r="BS196" s="38">
        <f t="shared" si="123"/>
        <v>0</v>
      </c>
      <c r="BT196" s="38">
        <f t="shared" si="124"/>
        <v>0</v>
      </c>
      <c r="BU196" s="38">
        <f>Inputs!$B$19*(1-Inputs!$C$72*$H196)+Inputs!$B$21+Inputs!$B$72*$J196</f>
        <v>577500</v>
      </c>
      <c r="BV196" s="38">
        <f t="shared" si="125"/>
        <v>-577500</v>
      </c>
      <c r="BW196" s="38">
        <f t="shared" si="126"/>
        <v>1</v>
      </c>
      <c r="BX196" s="38">
        <f>MAX(0,MIN(Inputs!$C$36,CC195,BY196+BZ196+CA196+Inputs!$C$6-CB195))</f>
        <v>0</v>
      </c>
      <c r="BY196" s="38">
        <f>Inputs!$C$27*(1+Inputs!$C$28)^($A196/12)*IF(Inputs!$B$72=1,$G196,1)*(1-Inputs!$C$72*$H196*(1-Inputs!$E$54*Inputs!$B$72))*(1+$I196)*IF(Inputs!$C$29=0,1,(MAX(CB195,0)/Inputs!$C$6)^Inputs!$C$29)</f>
        <v>0</v>
      </c>
      <c r="BZ196" s="38">
        <f>Inputs!$C$32*CB195/Inputs!$C$6</f>
        <v>0</v>
      </c>
      <c r="CA196" s="38">
        <f>Inputs!$C$33</f>
        <v>2000</v>
      </c>
      <c r="CB196" s="38">
        <f t="shared" si="127"/>
        <v>0</v>
      </c>
      <c r="CC196" s="38">
        <f t="shared" si="128"/>
        <v>0</v>
      </c>
      <c r="CD196" s="38">
        <f>Inputs!$C$19*(1-Inputs!$C$72*$H196)+Inputs!$C$21+Inputs!$B$72*$J196</f>
        <v>480000</v>
      </c>
      <c r="CE196" s="38">
        <f t="shared" si="129"/>
        <v>-480000</v>
      </c>
      <c r="CF196" s="38">
        <f t="shared" si="130"/>
        <v>1</v>
      </c>
      <c r="CG196" s="38">
        <f>MAX(0,MIN(Inputs!$D$36,CL195,CH196+CI196+CJ196+Inputs!$D$6-CK195))</f>
        <v>0</v>
      </c>
      <c r="CH196" s="38">
        <f>Inputs!$D$27*(1+Inputs!$D$28)^($A196/12)*IF(Inputs!$B$72=1,$G196,1)*(1-Inputs!$C$72*$H196*(1-Inputs!$E$54*Inputs!$B$72))*(1+$I196)*IF(Inputs!$D$29=0,1,(MAX(CK195,0)/Inputs!$D$6)^Inputs!$D$29)</f>
        <v>899.86632779656702</v>
      </c>
      <c r="CI196" s="38">
        <f>Inputs!$D$32*CK195/Inputs!$D$6</f>
        <v>202.57121027338118</v>
      </c>
      <c r="CJ196" s="38">
        <f>Inputs!$D$33</f>
        <v>1500</v>
      </c>
      <c r="CK196" s="38">
        <f t="shared" si="131"/>
        <v>39841.054138257539</v>
      </c>
      <c r="CL196" s="38">
        <f t="shared" si="132"/>
        <v>0</v>
      </c>
      <c r="CM196" s="38">
        <f>Inputs!$D$19*(1-Inputs!$C$72*$H196)+Inputs!$D$21+Inputs!$B$72*$J196</f>
        <v>392150</v>
      </c>
      <c r="CN196" s="38">
        <f t="shared" si="133"/>
        <v>-352308.94586174248</v>
      </c>
      <c r="CO196" s="38">
        <f t="shared" si="134"/>
        <v>1</v>
      </c>
      <c r="CP196" s="38">
        <f>MAX(0,MIN(Inputs!$B$36,CU195,CQ196+CR196+CS196+Inputs!$B$6-CT195))</f>
        <v>0</v>
      </c>
      <c r="CQ196" s="38">
        <f>Inputs!$B$27*(1+Inputs!$B$28)^($A196/12)*IF(Inputs!$B$73=1,$G196,1)*(1-Inputs!$C$73*$H196*(1-Inputs!$E$54*Inputs!$B$73))*(1+$I196)*IF(Inputs!$B$29=0,1,(MAX(CT195,0)/Inputs!$B$6)^Inputs!$B$29)</f>
        <v>26877.475335463172</v>
      </c>
      <c r="CR196" s="38">
        <f>Inputs!$B$32*CT195/Inputs!$B$6</f>
        <v>0</v>
      </c>
      <c r="CS196" s="38">
        <f>Inputs!$B$33</f>
        <v>2500</v>
      </c>
      <c r="CT196" s="38">
        <f t="shared" si="135"/>
        <v>0</v>
      </c>
      <c r="CU196" s="38">
        <f t="shared" si="136"/>
        <v>0</v>
      </c>
      <c r="CV196" s="38">
        <f>Inputs!$B$19*(1-Inputs!$C$73*$H196)+Inputs!$B$21+Inputs!$B$73*$J196</f>
        <v>583500</v>
      </c>
      <c r="CW196" s="38">
        <f t="shared" si="137"/>
        <v>-583500</v>
      </c>
      <c r="CX196" s="38">
        <f t="shared" si="138"/>
        <v>1</v>
      </c>
      <c r="CY196" s="38">
        <f>MAX(0,MIN(Inputs!$C$36,DD195,CZ196+DA196+DB196+Inputs!$C$6-DC195))</f>
        <v>0</v>
      </c>
      <c r="CZ196" s="38">
        <f>Inputs!$C$27*(1+Inputs!$C$28)^($A196/12)*IF(Inputs!$B$73=1,$G196,1)*(1-Inputs!$C$73*$H196*(1-Inputs!$E$54*Inputs!$B$73))*(1+$I196)*IF(Inputs!$C$29=0,1,(MAX(DC195,0)/Inputs!$C$6)^Inputs!$C$29)</f>
        <v>0</v>
      </c>
      <c r="DA196" s="38">
        <f>Inputs!$C$32*DC195/Inputs!$C$6</f>
        <v>0</v>
      </c>
      <c r="DB196" s="38">
        <f>Inputs!$C$33</f>
        <v>2000</v>
      </c>
      <c r="DC196" s="38">
        <f t="shared" si="139"/>
        <v>0</v>
      </c>
      <c r="DD196" s="38">
        <f t="shared" si="140"/>
        <v>0</v>
      </c>
      <c r="DE196" s="38">
        <f>Inputs!$C$19*(1-Inputs!$C$73*$H196)+Inputs!$C$21+Inputs!$B$73*$J196</f>
        <v>486000</v>
      </c>
      <c r="DF196" s="38">
        <f t="shared" si="141"/>
        <v>-486000</v>
      </c>
      <c r="DG196" s="38">
        <f t="shared" si="142"/>
        <v>1</v>
      </c>
      <c r="DH196" s="38">
        <f>MAX(0,MIN(Inputs!$D$36,DM195,DI196+DJ196+DK196+Inputs!$D$6-DL195))</f>
        <v>0</v>
      </c>
      <c r="DI196" s="38">
        <f>Inputs!$D$27*(1+Inputs!$D$28)^($A196/12)*IF(Inputs!$B$73=1,$G196,1)*(1-Inputs!$C$73*$H196*(1-Inputs!$E$54*Inputs!$B$73))*(1+$I196)*IF(Inputs!$D$29=0,1,(MAX(DL195,0)/Inputs!$D$6)^Inputs!$D$29)</f>
        <v>1101.6093507082908</v>
      </c>
      <c r="DJ196" s="38">
        <f>Inputs!$D$32*DL195/Inputs!$D$6</f>
        <v>384.03252742960871</v>
      </c>
      <c r="DK196" s="38">
        <f>Inputs!$D$33</f>
        <v>1500</v>
      </c>
      <c r="DL196" s="38">
        <f t="shared" si="143"/>
        <v>77478.316249970609</v>
      </c>
      <c r="DM196" s="38">
        <f t="shared" si="144"/>
        <v>0</v>
      </c>
      <c r="DN196" s="38">
        <f>Inputs!$D$19*(1-Inputs!$C$73*$H196)+Inputs!$D$21+Inputs!$B$73*$J196</f>
        <v>398150</v>
      </c>
      <c r="DO196" s="38">
        <f t="shared" si="145"/>
        <v>-320671.68375002942</v>
      </c>
      <c r="DP196" s="38">
        <f t="shared" si="146"/>
        <v>1</v>
      </c>
    </row>
    <row r="197" spans="1:120" x14ac:dyDescent="0.35">
      <c r="A197" s="29">
        <v>192</v>
      </c>
      <c r="B197" s="34">
        <f>EDATE(Inputs!$B$67,$A197)</f>
        <v>52110</v>
      </c>
      <c r="C197" s="35">
        <f>IF(Inputs!$E$47&lt;=0,Inputs!$E$46,Inputs!$E$44+(Inputs!$E$46-Inputs!$E$44)*MIN($A197/Inputs!$E$47,1))</f>
        <v>0.7</v>
      </c>
      <c r="D197" s="35">
        <f>MIN(Inputs!$E$57,Inputs!$E$55*(1+Inputs!$E$56)^($A197/12))*Inputs!$E$58*(1+Inputs!$E$59)^($A197/12)/Inputs!$E$45</f>
        <v>1.5</v>
      </c>
      <c r="E197" s="35">
        <f>MAX(Inputs!$E$44,MIN(C197,D197))</f>
        <v>0.7</v>
      </c>
      <c r="F197" s="35">
        <f>IF(Inputs!$E$50&lt;=0,Inputs!$E$49,Inputs!$E$48+(Inputs!$E$49-Inputs!$E$48)*MIN($A197/Inputs!$E$50,1))</f>
        <v>0.12</v>
      </c>
      <c r="G197" s="36">
        <f>(Inputs!$E$41*(1-E197*Inputs!$E$51)+Inputs!$E$42*(1-F197*Inputs!$E$51))/(Inputs!$E$41*(1-Inputs!$E$44*Inputs!$E$51)+Inputs!$E$42*(1-Inputs!$E$48*Inputs!$E$51))</f>
        <v>0.8423127463863338</v>
      </c>
      <c r="H197" s="35">
        <f>IF(Inputs!$E$53&lt;=0,Inputs!$E$52,Inputs!$E$52*MIN($A197/Inputs!$E$53,1))</f>
        <v>0.1</v>
      </c>
      <c r="I197" s="35">
        <f>IF(Inputs!$E$64&lt;=0,Inputs!$E$63,Inputs!$E$62+(Inputs!$E$63-Inputs!$E$62)*MIN($A197/Inputs!$E$64,1))</f>
        <v>0.03</v>
      </c>
      <c r="J197" s="37">
        <f>(E197-Inputs!$E$44)*Inputs!$E$45/Inputs!$E$60*Inputs!$E$61</f>
        <v>5999.9999999999991</v>
      </c>
      <c r="K197" s="29">
        <f t="shared" si="98"/>
        <v>0</v>
      </c>
      <c r="L197" s="29"/>
      <c r="M197" s="38">
        <f>MAX(0,MIN(Inputs!$B$36,R196,N197+O197+P197+Inputs!$B$6-Q196))</f>
        <v>0</v>
      </c>
      <c r="N197" s="38">
        <f>Inputs!$B$27*(1+Inputs!$B$28)^($A197/12)*IF(Inputs!$B$70=1,$G197,1)*(1-Inputs!$C$70*$H197*(1-Inputs!$E$54*Inputs!$B$70))*(1+$I197)*IF(Inputs!$B$29=0,1,(MAX(Q196,0)/Inputs!$B$6)^Inputs!$B$29)</f>
        <v>33725.412390500911</v>
      </c>
      <c r="O197" s="38">
        <f>Inputs!$B$32*Q196/Inputs!$B$6</f>
        <v>0</v>
      </c>
      <c r="P197" s="38">
        <f>Inputs!$B$33</f>
        <v>2500</v>
      </c>
      <c r="Q197" s="38">
        <f t="shared" si="99"/>
        <v>0</v>
      </c>
      <c r="R197" s="38">
        <f t="shared" si="100"/>
        <v>0</v>
      </c>
      <c r="S197" s="38">
        <f>Inputs!$B$19*(1-Inputs!$C$70*$H197)+Inputs!$B$21+Inputs!$B$70*$J197</f>
        <v>595000</v>
      </c>
      <c r="T197" s="38">
        <f t="shared" si="101"/>
        <v>-595000</v>
      </c>
      <c r="U197" s="38">
        <f t="shared" si="102"/>
        <v>1</v>
      </c>
      <c r="V197" s="38">
        <f>MAX(0,MIN(Inputs!$C$36,AA196,W197+X197+Y197+Inputs!$C$6-Z196))</f>
        <v>0</v>
      </c>
      <c r="W197" s="38">
        <f>Inputs!$C$27*(1+Inputs!$C$28)^($A197/12)*IF(Inputs!$B$70=1,$G197,1)*(1-Inputs!$C$70*$H197*(1-Inputs!$E$54*Inputs!$B$70))*(1+$I197)*IF(Inputs!$C$29=0,1,(MAX(Z196,0)/Inputs!$C$6)^Inputs!$C$29)</f>
        <v>0</v>
      </c>
      <c r="X197" s="38">
        <f>Inputs!$C$32*Z196/Inputs!$C$6</f>
        <v>0</v>
      </c>
      <c r="Y197" s="38">
        <f>Inputs!$C$33</f>
        <v>2000</v>
      </c>
      <c r="Z197" s="38">
        <f t="shared" si="103"/>
        <v>0</v>
      </c>
      <c r="AA197" s="38">
        <f t="shared" si="104"/>
        <v>0</v>
      </c>
      <c r="AB197" s="38">
        <f>Inputs!$C$19*(1-Inputs!$C$70*$H197)+Inputs!$C$21+Inputs!$B$70*$J197</f>
        <v>495000</v>
      </c>
      <c r="AC197" s="38">
        <f t="shared" si="105"/>
        <v>-495000</v>
      </c>
      <c r="AD197" s="38">
        <f t="shared" si="106"/>
        <v>1</v>
      </c>
      <c r="AE197" s="38">
        <f>MAX(0,MIN(Inputs!$D$36,AJ196,AF197+AG197+AH197+Inputs!$D$6-AI196))</f>
        <v>0</v>
      </c>
      <c r="AF197" s="38">
        <f>Inputs!$D$27*(1+Inputs!$D$28)^($A197/12)*IF(Inputs!$B$70=1,$G197,1)*(1-Inputs!$C$70*$H197*(1-Inputs!$E$54*Inputs!$B$70))*(1+$I197)*IF(Inputs!$D$29=0,1,(MAX(AI196,0)/Inputs!$D$6)^Inputs!$D$29)</f>
        <v>549.91636345532618</v>
      </c>
      <c r="AG197" s="38">
        <f>Inputs!$D$32*AI196/Inputs!$D$6</f>
        <v>61.803455471224332</v>
      </c>
      <c r="AH197" s="38">
        <f>Inputs!$D$33</f>
        <v>1500</v>
      </c>
      <c r="AI197" s="38">
        <f t="shared" si="107"/>
        <v>10837.575613139499</v>
      </c>
      <c r="AJ197" s="38">
        <f t="shared" si="108"/>
        <v>0</v>
      </c>
      <c r="AK197" s="38">
        <f>Inputs!$D$19*(1-Inputs!$C$70*$H197)+Inputs!$D$21+Inputs!$B$70*$J197</f>
        <v>404800</v>
      </c>
      <c r="AL197" s="38">
        <f t="shared" si="109"/>
        <v>-393962.42438686051</v>
      </c>
      <c r="AM197" s="38">
        <f t="shared" si="110"/>
        <v>1</v>
      </c>
      <c r="AN197" s="38">
        <f>MAX(0,MIN(Inputs!$B$36,AS196,AO197+AP197+AQ197+Inputs!$B$6-AR196))</f>
        <v>0</v>
      </c>
      <c r="AO197" s="38">
        <f>Inputs!$B$27*(1+Inputs!$B$28)^($A197/12)*IF(Inputs!$B$71=1,$G197,1)*(1-Inputs!$C$71*$H197*(1-Inputs!$E$54*Inputs!$B$71))*(1+$I197)*IF(Inputs!$B$29=0,1,(MAX(AR196,0)/Inputs!$B$6)^Inputs!$B$29)</f>
        <v>28407.344733654518</v>
      </c>
      <c r="AP197" s="38">
        <f>Inputs!$B$32*AR196/Inputs!$B$6</f>
        <v>0</v>
      </c>
      <c r="AQ197" s="38">
        <f>Inputs!$B$33</f>
        <v>2500</v>
      </c>
      <c r="AR197" s="38">
        <f t="shared" si="111"/>
        <v>0</v>
      </c>
      <c r="AS197" s="38">
        <f t="shared" si="112"/>
        <v>0</v>
      </c>
      <c r="AT197" s="38">
        <f>Inputs!$B$19*(1-Inputs!$C$71*$H197)+Inputs!$B$21+Inputs!$B$71*$J197</f>
        <v>601000</v>
      </c>
      <c r="AU197" s="38">
        <f t="shared" si="113"/>
        <v>-601000</v>
      </c>
      <c r="AV197" s="38">
        <f t="shared" si="114"/>
        <v>1</v>
      </c>
      <c r="AW197" s="38">
        <f>MAX(0,MIN(Inputs!$C$36,BB196,AX197+AY197+AZ197+Inputs!$C$6-BA196))</f>
        <v>0</v>
      </c>
      <c r="AX197" s="38">
        <f>Inputs!$C$27*(1+Inputs!$C$28)^($A197/12)*IF(Inputs!$B$71=1,$G197,1)*(1-Inputs!$C$71*$H197*(1-Inputs!$E$54*Inputs!$B$71))*(1+$I197)*IF(Inputs!$C$29=0,1,(MAX(BA196,0)/Inputs!$C$6)^Inputs!$C$29)</f>
        <v>0</v>
      </c>
      <c r="AY197" s="38">
        <f>Inputs!$C$32*BA196/Inputs!$C$6</f>
        <v>0</v>
      </c>
      <c r="AZ197" s="38">
        <f>Inputs!$C$33</f>
        <v>2000</v>
      </c>
      <c r="BA197" s="38">
        <f t="shared" si="115"/>
        <v>0</v>
      </c>
      <c r="BB197" s="38">
        <f t="shared" si="116"/>
        <v>0</v>
      </c>
      <c r="BC197" s="38">
        <f>Inputs!$C$19*(1-Inputs!$C$71*$H197)+Inputs!$C$21+Inputs!$B$71*$J197</f>
        <v>501000</v>
      </c>
      <c r="BD197" s="38">
        <f t="shared" si="117"/>
        <v>-501000</v>
      </c>
      <c r="BE197" s="38">
        <f t="shared" si="118"/>
        <v>1</v>
      </c>
      <c r="BF197" s="38">
        <f>MAX(0,MIN(Inputs!$D$36,BK196,BG197+BH197+BI197+Inputs!$D$6-BJ196))</f>
        <v>0</v>
      </c>
      <c r="BG197" s="38">
        <f>Inputs!$D$27*(1+Inputs!$D$28)^($A197/12)*IF(Inputs!$B$71=1,$G197,1)*(1-Inputs!$C$71*$H197*(1-Inputs!$E$54*Inputs!$B$71))*(1+$I197)*IF(Inputs!$D$29=0,1,(MAX(BJ196,0)/Inputs!$D$6)^Inputs!$D$29)</f>
        <v>1017.2360933571744</v>
      </c>
      <c r="BH197" s="38">
        <f>Inputs!$D$32*BJ196/Inputs!$D$6</f>
        <v>298.06861451552868</v>
      </c>
      <c r="BI197" s="38">
        <f>Inputs!$D$33</f>
        <v>1500</v>
      </c>
      <c r="BJ197" s="38">
        <f t="shared" si="119"/>
        <v>59637.166904904727</v>
      </c>
      <c r="BK197" s="38">
        <f t="shared" si="120"/>
        <v>0</v>
      </c>
      <c r="BL197" s="38">
        <f>Inputs!$D$19*(1-Inputs!$C$71*$H197)+Inputs!$D$21+Inputs!$B$71*$J197</f>
        <v>410800</v>
      </c>
      <c r="BM197" s="38">
        <f t="shared" si="121"/>
        <v>-351162.83309509529</v>
      </c>
      <c r="BN197" s="38">
        <f t="shared" si="122"/>
        <v>1</v>
      </c>
      <c r="BO197" s="38">
        <f>MAX(0,MIN(Inputs!$B$36,BT196,BP197+BQ197+BR197+Inputs!$B$6-BS196))</f>
        <v>0</v>
      </c>
      <c r="BP197" s="38">
        <f>Inputs!$B$27*(1+Inputs!$B$28)^($A197/12)*IF(Inputs!$B$72=1,$G197,1)*(1-Inputs!$C$72*$H197*(1-Inputs!$E$54*Inputs!$B$72))*(1+$I197)*IF(Inputs!$B$29=0,1,(MAX(BS196,0)/Inputs!$B$6)^Inputs!$B$29)</f>
        <v>30352.871151450821</v>
      </c>
      <c r="BQ197" s="38">
        <f>Inputs!$B$32*BS196/Inputs!$B$6</f>
        <v>0</v>
      </c>
      <c r="BR197" s="38">
        <f>Inputs!$B$33</f>
        <v>2500</v>
      </c>
      <c r="BS197" s="38">
        <f t="shared" si="123"/>
        <v>0</v>
      </c>
      <c r="BT197" s="38">
        <f t="shared" si="124"/>
        <v>0</v>
      </c>
      <c r="BU197" s="38">
        <f>Inputs!$B$19*(1-Inputs!$C$72*$H197)+Inputs!$B$21+Inputs!$B$72*$J197</f>
        <v>577500</v>
      </c>
      <c r="BV197" s="38">
        <f t="shared" si="125"/>
        <v>-577500</v>
      </c>
      <c r="BW197" s="38">
        <f t="shared" si="126"/>
        <v>1</v>
      </c>
      <c r="BX197" s="38">
        <f>MAX(0,MIN(Inputs!$C$36,CC196,BY197+BZ197+CA197+Inputs!$C$6-CB196))</f>
        <v>0</v>
      </c>
      <c r="BY197" s="38">
        <f>Inputs!$C$27*(1+Inputs!$C$28)^($A197/12)*IF(Inputs!$B$72=1,$G197,1)*(1-Inputs!$C$72*$H197*(1-Inputs!$E$54*Inputs!$B$72))*(1+$I197)*IF(Inputs!$C$29=0,1,(MAX(CB196,0)/Inputs!$C$6)^Inputs!$C$29)</f>
        <v>0</v>
      </c>
      <c r="BZ197" s="38">
        <f>Inputs!$C$32*CB196/Inputs!$C$6</f>
        <v>0</v>
      </c>
      <c r="CA197" s="38">
        <f>Inputs!$C$33</f>
        <v>2000</v>
      </c>
      <c r="CB197" s="38">
        <f t="shared" si="127"/>
        <v>0</v>
      </c>
      <c r="CC197" s="38">
        <f t="shared" si="128"/>
        <v>0</v>
      </c>
      <c r="CD197" s="38">
        <f>Inputs!$C$19*(1-Inputs!$C$72*$H197)+Inputs!$C$21+Inputs!$B$72*$J197</f>
        <v>480000</v>
      </c>
      <c r="CE197" s="38">
        <f t="shared" si="129"/>
        <v>-480000</v>
      </c>
      <c r="CF197" s="38">
        <f t="shared" si="130"/>
        <v>1</v>
      </c>
      <c r="CG197" s="38">
        <f>MAX(0,MIN(Inputs!$D$36,CL196,CH197+CI197+CJ197+Inputs!$D$6-CK196))</f>
        <v>0</v>
      </c>
      <c r="CH197" s="38">
        <f>Inputs!$D$27*(1+Inputs!$D$28)^($A197/12)*IF(Inputs!$B$72=1,$G197,1)*(1-Inputs!$C$72*$H197*(1-Inputs!$E$54*Inputs!$B$72))*(1+$I197)*IF(Inputs!$D$29=0,1,(MAX(CK196,0)/Inputs!$D$6)^Inputs!$D$29)</f>
        <v>868.12346076742199</v>
      </c>
      <c r="CI197" s="38">
        <f>Inputs!$D$32*CK196/Inputs!$D$6</f>
        <v>190.15048565986552</v>
      </c>
      <c r="CJ197" s="38">
        <f>Inputs!$D$33</f>
        <v>1500</v>
      </c>
      <c r="CK197" s="38">
        <f t="shared" si="131"/>
        <v>37282.780191830258</v>
      </c>
      <c r="CL197" s="38">
        <f t="shared" si="132"/>
        <v>0</v>
      </c>
      <c r="CM197" s="38">
        <f>Inputs!$D$19*(1-Inputs!$C$72*$H197)+Inputs!$D$21+Inputs!$B$72*$J197</f>
        <v>392150</v>
      </c>
      <c r="CN197" s="38">
        <f t="shared" si="133"/>
        <v>-354867.21980816976</v>
      </c>
      <c r="CO197" s="38">
        <f t="shared" si="134"/>
        <v>1</v>
      </c>
      <c r="CP197" s="38">
        <f>MAX(0,MIN(Inputs!$B$36,CU196,CQ197+CR197+CS197+Inputs!$B$6-CT196))</f>
        <v>0</v>
      </c>
      <c r="CQ197" s="38">
        <f>Inputs!$B$27*(1+Inputs!$B$28)^($A197/12)*IF(Inputs!$B$73=1,$G197,1)*(1-Inputs!$C$73*$H197*(1-Inputs!$E$54*Inputs!$B$73))*(1+$I197)*IF(Inputs!$B$29=0,1,(MAX(CT196,0)/Inputs!$B$6)^Inputs!$B$29)</f>
        <v>26986.977496971787</v>
      </c>
      <c r="CR197" s="38">
        <f>Inputs!$B$32*CT196/Inputs!$B$6</f>
        <v>0</v>
      </c>
      <c r="CS197" s="38">
        <f>Inputs!$B$33</f>
        <v>2500</v>
      </c>
      <c r="CT197" s="38">
        <f t="shared" si="135"/>
        <v>0</v>
      </c>
      <c r="CU197" s="38">
        <f t="shared" si="136"/>
        <v>0</v>
      </c>
      <c r="CV197" s="38">
        <f>Inputs!$B$19*(1-Inputs!$C$73*$H197)+Inputs!$B$21+Inputs!$B$73*$J197</f>
        <v>583500</v>
      </c>
      <c r="CW197" s="38">
        <f t="shared" si="137"/>
        <v>-583500</v>
      </c>
      <c r="CX197" s="38">
        <f t="shared" si="138"/>
        <v>1</v>
      </c>
      <c r="CY197" s="38">
        <f>MAX(0,MIN(Inputs!$C$36,DD196,CZ197+DA197+DB197+Inputs!$C$6-DC196))</f>
        <v>0</v>
      </c>
      <c r="CZ197" s="38">
        <f>Inputs!$C$27*(1+Inputs!$C$28)^($A197/12)*IF(Inputs!$B$73=1,$G197,1)*(1-Inputs!$C$73*$H197*(1-Inputs!$E$54*Inputs!$B$73))*(1+$I197)*IF(Inputs!$C$29=0,1,(MAX(DC196,0)/Inputs!$C$6)^Inputs!$C$29)</f>
        <v>0</v>
      </c>
      <c r="DA197" s="38">
        <f>Inputs!$C$32*DC196/Inputs!$C$6</f>
        <v>0</v>
      </c>
      <c r="DB197" s="38">
        <f>Inputs!$C$33</f>
        <v>2000</v>
      </c>
      <c r="DC197" s="38">
        <f t="shared" si="139"/>
        <v>0</v>
      </c>
      <c r="DD197" s="38">
        <f t="shared" si="140"/>
        <v>0</v>
      </c>
      <c r="DE197" s="38">
        <f>Inputs!$C$19*(1-Inputs!$C$73*$H197)+Inputs!$C$21+Inputs!$B$73*$J197</f>
        <v>486000</v>
      </c>
      <c r="DF197" s="38">
        <f t="shared" si="141"/>
        <v>-486000</v>
      </c>
      <c r="DG197" s="38">
        <f t="shared" si="142"/>
        <v>1</v>
      </c>
      <c r="DH197" s="38">
        <f>MAX(0,MIN(Inputs!$D$36,DM196,DI197+DJ197+DK197+Inputs!$D$6-DL196))</f>
        <v>0</v>
      </c>
      <c r="DI197" s="38">
        <f>Inputs!$D$27*(1+Inputs!$D$28)^($A197/12)*IF(Inputs!$B$73=1,$G197,1)*(1-Inputs!$C$73*$H197*(1-Inputs!$E$54*Inputs!$B$73))*(1+$I197)*IF(Inputs!$D$29=0,1,(MAX(DL196,0)/Inputs!$D$6)^Inputs!$D$29)</f>
        <v>1076.3676541744553</v>
      </c>
      <c r="DJ197" s="38">
        <f>Inputs!$D$32*DL196/Inputs!$D$6</f>
        <v>369.78287301122339</v>
      </c>
      <c r="DK197" s="38">
        <f>Inputs!$D$33</f>
        <v>1500</v>
      </c>
      <c r="DL197" s="38">
        <f t="shared" si="143"/>
        <v>74532.165722784935</v>
      </c>
      <c r="DM197" s="38">
        <f t="shared" si="144"/>
        <v>0</v>
      </c>
      <c r="DN197" s="38">
        <f>Inputs!$D$19*(1-Inputs!$C$73*$H197)+Inputs!$D$21+Inputs!$B$73*$J197</f>
        <v>398150</v>
      </c>
      <c r="DO197" s="38">
        <f t="shared" si="145"/>
        <v>-323617.83427721506</v>
      </c>
      <c r="DP197" s="38">
        <f t="shared" si="146"/>
        <v>1</v>
      </c>
    </row>
    <row r="198" spans="1:120" x14ac:dyDescent="0.35">
      <c r="A198" s="29">
        <v>193</v>
      </c>
      <c r="B198" s="34">
        <f>EDATE(Inputs!$B$67,$A198)</f>
        <v>52140</v>
      </c>
      <c r="C198" s="35">
        <f>IF(Inputs!$E$47&lt;=0,Inputs!$E$46,Inputs!$E$44+(Inputs!$E$46-Inputs!$E$44)*MIN($A198/Inputs!$E$47,1))</f>
        <v>0.7</v>
      </c>
      <c r="D198" s="35">
        <f>MIN(Inputs!$E$57,Inputs!$E$55*(1+Inputs!$E$56)^($A198/12))*Inputs!$E$58*(1+Inputs!$E$59)^($A198/12)/Inputs!$E$45</f>
        <v>1.5</v>
      </c>
      <c r="E198" s="35">
        <f>MAX(Inputs!$E$44,MIN(C198,D198))</f>
        <v>0.7</v>
      </c>
      <c r="F198" s="35">
        <f>IF(Inputs!$E$50&lt;=0,Inputs!$E$49,Inputs!$E$48+(Inputs!$E$49-Inputs!$E$48)*MIN($A198/Inputs!$E$50,1))</f>
        <v>0.12</v>
      </c>
      <c r="G198" s="36">
        <f>(Inputs!$E$41*(1-E198*Inputs!$E$51)+Inputs!$E$42*(1-F198*Inputs!$E$51))/(Inputs!$E$41*(1-Inputs!$E$44*Inputs!$E$51)+Inputs!$E$42*(1-Inputs!$E$48*Inputs!$E$51))</f>
        <v>0.8423127463863338</v>
      </c>
      <c r="H198" s="35">
        <f>IF(Inputs!$E$53&lt;=0,Inputs!$E$52,Inputs!$E$52*MIN($A198/Inputs!$E$53,1))</f>
        <v>0.1</v>
      </c>
      <c r="I198" s="35">
        <f>IF(Inputs!$E$64&lt;=0,Inputs!$E$63,Inputs!$E$62+(Inputs!$E$63-Inputs!$E$62)*MIN($A198/Inputs!$E$64,1))</f>
        <v>0.03</v>
      </c>
      <c r="J198" s="37">
        <f>(E198-Inputs!$E$44)*Inputs!$E$45/Inputs!$E$60*Inputs!$E$61</f>
        <v>5999.9999999999991</v>
      </c>
      <c r="K198" s="29">
        <f t="shared" ref="K198:K245" si="147">IF(D198&lt;C198,1,0)</f>
        <v>0</v>
      </c>
      <c r="L198" s="29"/>
      <c r="M198" s="38">
        <f>MAX(0,MIN(Inputs!$B$36,R197,N198+O198+P198+Inputs!$B$6-Q197))</f>
        <v>0</v>
      </c>
      <c r="N198" s="38">
        <f>Inputs!$B$27*(1+Inputs!$B$28)^($A198/12)*IF(Inputs!$B$70=1,$G198,1)*(1-Inputs!$C$70*$H198*(1-Inputs!$E$54*Inputs!$B$70))*(1+$I198)*IF(Inputs!$B$29=0,1,(MAX(Q197,0)/Inputs!$B$6)^Inputs!$B$29)</f>
        <v>33862.813895234416</v>
      </c>
      <c r="O198" s="38">
        <f>Inputs!$B$32*Q197/Inputs!$B$6</f>
        <v>0</v>
      </c>
      <c r="P198" s="38">
        <f>Inputs!$B$33</f>
        <v>2500</v>
      </c>
      <c r="Q198" s="38">
        <f t="shared" si="99"/>
        <v>0</v>
      </c>
      <c r="R198" s="38">
        <f t="shared" si="100"/>
        <v>0</v>
      </c>
      <c r="S198" s="38">
        <f>Inputs!$B$19*(1-Inputs!$C$70*$H198)+Inputs!$B$21+Inputs!$B$70*$J198</f>
        <v>595000</v>
      </c>
      <c r="T198" s="38">
        <f t="shared" si="101"/>
        <v>-595000</v>
      </c>
      <c r="U198" s="38">
        <f t="shared" si="102"/>
        <v>1</v>
      </c>
      <c r="V198" s="38">
        <f>MAX(0,MIN(Inputs!$C$36,AA197,W198+X198+Y198+Inputs!$C$6-Z197))</f>
        <v>0</v>
      </c>
      <c r="W198" s="38">
        <f>Inputs!$C$27*(1+Inputs!$C$28)^($A198/12)*IF(Inputs!$B$70=1,$G198,1)*(1-Inputs!$C$70*$H198*(1-Inputs!$E$54*Inputs!$B$70))*(1+$I198)*IF(Inputs!$C$29=0,1,(MAX(Z197,0)/Inputs!$C$6)^Inputs!$C$29)</f>
        <v>0</v>
      </c>
      <c r="X198" s="38">
        <f>Inputs!$C$32*Z197/Inputs!$C$6</f>
        <v>0</v>
      </c>
      <c r="Y198" s="38">
        <f>Inputs!$C$33</f>
        <v>2000</v>
      </c>
      <c r="Z198" s="38">
        <f t="shared" si="103"/>
        <v>0</v>
      </c>
      <c r="AA198" s="38">
        <f t="shared" si="104"/>
        <v>0</v>
      </c>
      <c r="AB198" s="38">
        <f>Inputs!$C$19*(1-Inputs!$C$70*$H198)+Inputs!$C$21+Inputs!$B$70*$J198</f>
        <v>495000</v>
      </c>
      <c r="AC198" s="38">
        <f t="shared" si="105"/>
        <v>-495000</v>
      </c>
      <c r="AD198" s="38">
        <f t="shared" si="106"/>
        <v>1</v>
      </c>
      <c r="AE198" s="38">
        <f>MAX(0,MIN(Inputs!$D$36,AJ197,AF198+AG198+AH198+Inputs!$D$6-AI197))</f>
        <v>0</v>
      </c>
      <c r="AF198" s="38">
        <f>Inputs!$D$27*(1+Inputs!$D$28)^($A198/12)*IF(Inputs!$B$70=1,$G198,1)*(1-Inputs!$C$70*$H198*(1-Inputs!$E$54*Inputs!$B$70))*(1+$I198)*IF(Inputs!$D$29=0,1,(MAX(AI197,0)/Inputs!$D$6)^Inputs!$D$29)</f>
        <v>500.93719233159385</v>
      </c>
      <c r="AG198" s="38">
        <f>Inputs!$D$32*AI197/Inputs!$D$6</f>
        <v>51.724792699074882</v>
      </c>
      <c r="AH198" s="38">
        <f>Inputs!$D$33</f>
        <v>1500</v>
      </c>
      <c r="AI198" s="38">
        <f t="shared" si="107"/>
        <v>8784.9136281088304</v>
      </c>
      <c r="AJ198" s="38">
        <f t="shared" si="108"/>
        <v>0</v>
      </c>
      <c r="AK198" s="38">
        <f>Inputs!$D$19*(1-Inputs!$C$70*$H198)+Inputs!$D$21+Inputs!$B$70*$J198</f>
        <v>404800</v>
      </c>
      <c r="AL198" s="38">
        <f t="shared" si="109"/>
        <v>-396015.08637189114</v>
      </c>
      <c r="AM198" s="38">
        <f t="shared" si="110"/>
        <v>1</v>
      </c>
      <c r="AN198" s="38">
        <f>MAX(0,MIN(Inputs!$B$36,AS197,AO198+AP198+AQ198+Inputs!$B$6-AR197))</f>
        <v>0</v>
      </c>
      <c r="AO198" s="38">
        <f>Inputs!$B$27*(1+Inputs!$B$28)^($A198/12)*IF(Inputs!$B$71=1,$G198,1)*(1-Inputs!$C$71*$H198*(1-Inputs!$E$54*Inputs!$B$71))*(1+$I198)*IF(Inputs!$B$29=0,1,(MAX(AR197,0)/Inputs!$B$6)^Inputs!$B$29)</f>
        <v>28523.079772464207</v>
      </c>
      <c r="AP198" s="38">
        <f>Inputs!$B$32*AR197/Inputs!$B$6</f>
        <v>0</v>
      </c>
      <c r="AQ198" s="38">
        <f>Inputs!$B$33</f>
        <v>2500</v>
      </c>
      <c r="AR198" s="38">
        <f t="shared" si="111"/>
        <v>0</v>
      </c>
      <c r="AS198" s="38">
        <f t="shared" si="112"/>
        <v>0</v>
      </c>
      <c r="AT198" s="38">
        <f>Inputs!$B$19*(1-Inputs!$C$71*$H198)+Inputs!$B$21+Inputs!$B$71*$J198</f>
        <v>601000</v>
      </c>
      <c r="AU198" s="38">
        <f t="shared" si="113"/>
        <v>-601000</v>
      </c>
      <c r="AV198" s="38">
        <f t="shared" si="114"/>
        <v>1</v>
      </c>
      <c r="AW198" s="38">
        <f>MAX(0,MIN(Inputs!$C$36,BB197,AX198+AY198+AZ198+Inputs!$C$6-BA197))</f>
        <v>0</v>
      </c>
      <c r="AX198" s="38">
        <f>Inputs!$C$27*(1+Inputs!$C$28)^($A198/12)*IF(Inputs!$B$71=1,$G198,1)*(1-Inputs!$C$71*$H198*(1-Inputs!$E$54*Inputs!$B$71))*(1+$I198)*IF(Inputs!$C$29=0,1,(MAX(BA197,0)/Inputs!$C$6)^Inputs!$C$29)</f>
        <v>0</v>
      </c>
      <c r="AY198" s="38">
        <f>Inputs!$C$32*BA197/Inputs!$C$6</f>
        <v>0</v>
      </c>
      <c r="AZ198" s="38">
        <f>Inputs!$C$33</f>
        <v>2000</v>
      </c>
      <c r="BA198" s="38">
        <f t="shared" si="115"/>
        <v>0</v>
      </c>
      <c r="BB198" s="38">
        <f t="shared" si="116"/>
        <v>0</v>
      </c>
      <c r="BC198" s="38">
        <f>Inputs!$C$19*(1-Inputs!$C$71*$H198)+Inputs!$C$21+Inputs!$B$71*$J198</f>
        <v>501000</v>
      </c>
      <c r="BD198" s="38">
        <f t="shared" si="117"/>
        <v>-501000</v>
      </c>
      <c r="BE198" s="38">
        <f t="shared" si="118"/>
        <v>1</v>
      </c>
      <c r="BF198" s="38">
        <f>MAX(0,MIN(Inputs!$D$36,BK197,BG198+BH198+BI198+Inputs!$D$6-BJ197))</f>
        <v>0</v>
      </c>
      <c r="BG198" s="38">
        <f>Inputs!$D$27*(1+Inputs!$D$28)^($A198/12)*IF(Inputs!$B$71=1,$G198,1)*(1-Inputs!$C$71*$H198*(1-Inputs!$E$54*Inputs!$B$71))*(1+$I198)*IF(Inputs!$D$29=0,1,(MAX(BJ197,0)/Inputs!$D$6)^Inputs!$D$29)</f>
        <v>989.80372004313188</v>
      </c>
      <c r="BH198" s="38">
        <f>Inputs!$D$32*BJ197/Inputs!$D$6</f>
        <v>284.63193295522711</v>
      </c>
      <c r="BI198" s="38">
        <f>Inputs!$D$33</f>
        <v>1500</v>
      </c>
      <c r="BJ198" s="38">
        <f t="shared" si="119"/>
        <v>56862.731251906363</v>
      </c>
      <c r="BK198" s="38">
        <f t="shared" si="120"/>
        <v>0</v>
      </c>
      <c r="BL198" s="38">
        <f>Inputs!$D$19*(1-Inputs!$C$71*$H198)+Inputs!$D$21+Inputs!$B$71*$J198</f>
        <v>410800</v>
      </c>
      <c r="BM198" s="38">
        <f t="shared" si="121"/>
        <v>-353937.26874809363</v>
      </c>
      <c r="BN198" s="38">
        <f t="shared" si="122"/>
        <v>1</v>
      </c>
      <c r="BO198" s="38">
        <f>MAX(0,MIN(Inputs!$B$36,BT197,BP198+BQ198+BR198+Inputs!$B$6-BS197))</f>
        <v>0</v>
      </c>
      <c r="BP198" s="38">
        <f>Inputs!$B$27*(1+Inputs!$B$28)^($A198/12)*IF(Inputs!$B$72=1,$G198,1)*(1-Inputs!$C$72*$H198*(1-Inputs!$E$54*Inputs!$B$72))*(1+$I198)*IF(Inputs!$B$29=0,1,(MAX(BS197,0)/Inputs!$B$6)^Inputs!$B$29)</f>
        <v>30476.532505710973</v>
      </c>
      <c r="BQ198" s="38">
        <f>Inputs!$B$32*BS197/Inputs!$B$6</f>
        <v>0</v>
      </c>
      <c r="BR198" s="38">
        <f>Inputs!$B$33</f>
        <v>2500</v>
      </c>
      <c r="BS198" s="38">
        <f t="shared" si="123"/>
        <v>0</v>
      </c>
      <c r="BT198" s="38">
        <f t="shared" si="124"/>
        <v>0</v>
      </c>
      <c r="BU198" s="38">
        <f>Inputs!$B$19*(1-Inputs!$C$72*$H198)+Inputs!$B$21+Inputs!$B$72*$J198</f>
        <v>577500</v>
      </c>
      <c r="BV198" s="38">
        <f t="shared" si="125"/>
        <v>-577500</v>
      </c>
      <c r="BW198" s="38">
        <f t="shared" si="126"/>
        <v>1</v>
      </c>
      <c r="BX198" s="38">
        <f>MAX(0,MIN(Inputs!$C$36,CC197,BY198+BZ198+CA198+Inputs!$C$6-CB197))</f>
        <v>0</v>
      </c>
      <c r="BY198" s="38">
        <f>Inputs!$C$27*(1+Inputs!$C$28)^($A198/12)*IF(Inputs!$B$72=1,$G198,1)*(1-Inputs!$C$72*$H198*(1-Inputs!$E$54*Inputs!$B$72))*(1+$I198)*IF(Inputs!$C$29=0,1,(MAX(CB197,0)/Inputs!$C$6)^Inputs!$C$29)</f>
        <v>0</v>
      </c>
      <c r="BZ198" s="38">
        <f>Inputs!$C$32*CB197/Inputs!$C$6</f>
        <v>0</v>
      </c>
      <c r="CA198" s="38">
        <f>Inputs!$C$33</f>
        <v>2000</v>
      </c>
      <c r="CB198" s="38">
        <f t="shared" si="127"/>
        <v>0</v>
      </c>
      <c r="CC198" s="38">
        <f t="shared" si="128"/>
        <v>0</v>
      </c>
      <c r="CD198" s="38">
        <f>Inputs!$C$19*(1-Inputs!$C$72*$H198)+Inputs!$C$21+Inputs!$B$72*$J198</f>
        <v>480000</v>
      </c>
      <c r="CE198" s="38">
        <f t="shared" si="129"/>
        <v>-480000</v>
      </c>
      <c r="CF198" s="38">
        <f t="shared" si="130"/>
        <v>1</v>
      </c>
      <c r="CG198" s="38">
        <f>MAX(0,MIN(Inputs!$D$36,CL197,CH198+CI198+CJ198+Inputs!$D$6-CK197))</f>
        <v>0</v>
      </c>
      <c r="CH198" s="38">
        <f>Inputs!$D$27*(1+Inputs!$D$28)^($A198/12)*IF(Inputs!$B$72=1,$G198,1)*(1-Inputs!$C$72*$H198*(1-Inputs!$E$54*Inputs!$B$72))*(1+$I198)*IF(Inputs!$D$29=0,1,(MAX(CK197,0)/Inputs!$D$6)^Inputs!$D$29)</f>
        <v>836.20712110991076</v>
      </c>
      <c r="CI198" s="38">
        <f>Inputs!$D$32*CK197/Inputs!$D$6</f>
        <v>177.94054182464438</v>
      </c>
      <c r="CJ198" s="38">
        <f>Inputs!$D$33</f>
        <v>1500</v>
      </c>
      <c r="CK198" s="38">
        <f t="shared" si="131"/>
        <v>34768.632528895701</v>
      </c>
      <c r="CL198" s="38">
        <f t="shared" si="132"/>
        <v>0</v>
      </c>
      <c r="CM198" s="38">
        <f>Inputs!$D$19*(1-Inputs!$C$72*$H198)+Inputs!$D$21+Inputs!$B$72*$J198</f>
        <v>392150</v>
      </c>
      <c r="CN198" s="38">
        <f t="shared" si="133"/>
        <v>-357381.36747110431</v>
      </c>
      <c r="CO198" s="38">
        <f t="shared" si="134"/>
        <v>1</v>
      </c>
      <c r="CP198" s="38">
        <f>MAX(0,MIN(Inputs!$B$36,CU197,CQ198+CR198+CS198+Inputs!$B$6-CT197))</f>
        <v>0</v>
      </c>
      <c r="CQ198" s="38">
        <f>Inputs!$B$27*(1+Inputs!$B$28)^($A198/12)*IF(Inputs!$B$73=1,$G198,1)*(1-Inputs!$C$73*$H198*(1-Inputs!$E$54*Inputs!$B$73))*(1+$I198)*IF(Inputs!$B$29=0,1,(MAX(CT197,0)/Inputs!$B$6)^Inputs!$B$29)</f>
        <v>27096.925783840994</v>
      </c>
      <c r="CR198" s="38">
        <f>Inputs!$B$32*CT197/Inputs!$B$6</f>
        <v>0</v>
      </c>
      <c r="CS198" s="38">
        <f>Inputs!$B$33</f>
        <v>2500</v>
      </c>
      <c r="CT198" s="38">
        <f t="shared" si="135"/>
        <v>0</v>
      </c>
      <c r="CU198" s="38">
        <f t="shared" si="136"/>
        <v>0</v>
      </c>
      <c r="CV198" s="38">
        <f>Inputs!$B$19*(1-Inputs!$C$73*$H198)+Inputs!$B$21+Inputs!$B$73*$J198</f>
        <v>583500</v>
      </c>
      <c r="CW198" s="38">
        <f t="shared" si="137"/>
        <v>-583500</v>
      </c>
      <c r="CX198" s="38">
        <f t="shared" si="138"/>
        <v>1</v>
      </c>
      <c r="CY198" s="38">
        <f>MAX(0,MIN(Inputs!$C$36,DD197,CZ198+DA198+DB198+Inputs!$C$6-DC197))</f>
        <v>0</v>
      </c>
      <c r="CZ198" s="38">
        <f>Inputs!$C$27*(1+Inputs!$C$28)^($A198/12)*IF(Inputs!$B$73=1,$G198,1)*(1-Inputs!$C$73*$H198*(1-Inputs!$E$54*Inputs!$B$73))*(1+$I198)*IF(Inputs!$C$29=0,1,(MAX(DC197,0)/Inputs!$C$6)^Inputs!$C$29)</f>
        <v>0</v>
      </c>
      <c r="DA198" s="38">
        <f>Inputs!$C$32*DC197/Inputs!$C$6</f>
        <v>0</v>
      </c>
      <c r="DB198" s="38">
        <f>Inputs!$C$33</f>
        <v>2000</v>
      </c>
      <c r="DC198" s="38">
        <f t="shared" si="139"/>
        <v>0</v>
      </c>
      <c r="DD198" s="38">
        <f t="shared" si="140"/>
        <v>0</v>
      </c>
      <c r="DE198" s="38">
        <f>Inputs!$C$19*(1-Inputs!$C$73*$H198)+Inputs!$C$21+Inputs!$B$73*$J198</f>
        <v>486000</v>
      </c>
      <c r="DF198" s="38">
        <f t="shared" si="141"/>
        <v>-486000</v>
      </c>
      <c r="DG198" s="38">
        <f t="shared" si="142"/>
        <v>1</v>
      </c>
      <c r="DH198" s="38">
        <f>MAX(0,MIN(Inputs!$D$36,DM197,DI198+DJ198+DK198+Inputs!$D$6-DL197))</f>
        <v>0</v>
      </c>
      <c r="DI198" s="38">
        <f>Inputs!$D$27*(1+Inputs!$D$28)^($A198/12)*IF(Inputs!$B$73=1,$G198,1)*(1-Inputs!$C$73*$H198*(1-Inputs!$E$54*Inputs!$B$73))*(1+$I198)*IF(Inputs!$D$29=0,1,(MAX(DL197,0)/Inputs!$D$6)^Inputs!$D$29)</f>
        <v>1051.2017023779274</v>
      </c>
      <c r="DJ198" s="38">
        <f>Inputs!$D$32*DL197/Inputs!$D$6</f>
        <v>355.72170004056449</v>
      </c>
      <c r="DK198" s="38">
        <f>Inputs!$D$33</f>
        <v>1500</v>
      </c>
      <c r="DL198" s="38">
        <f t="shared" si="143"/>
        <v>71625.242320366437</v>
      </c>
      <c r="DM198" s="38">
        <f t="shared" si="144"/>
        <v>0</v>
      </c>
      <c r="DN198" s="38">
        <f>Inputs!$D$19*(1-Inputs!$C$73*$H198)+Inputs!$D$21+Inputs!$B$73*$J198</f>
        <v>398150</v>
      </c>
      <c r="DO198" s="38">
        <f t="shared" si="145"/>
        <v>-326524.75767963356</v>
      </c>
      <c r="DP198" s="38">
        <f t="shared" si="146"/>
        <v>1</v>
      </c>
    </row>
    <row r="199" spans="1:120" x14ac:dyDescent="0.35">
      <c r="A199" s="29">
        <v>194</v>
      </c>
      <c r="B199" s="34">
        <f>EDATE(Inputs!$B$67,$A199)</f>
        <v>52171</v>
      </c>
      <c r="C199" s="35">
        <f>IF(Inputs!$E$47&lt;=0,Inputs!$E$46,Inputs!$E$44+(Inputs!$E$46-Inputs!$E$44)*MIN($A199/Inputs!$E$47,1))</f>
        <v>0.7</v>
      </c>
      <c r="D199" s="35">
        <f>MIN(Inputs!$E$57,Inputs!$E$55*(1+Inputs!$E$56)^($A199/12))*Inputs!$E$58*(1+Inputs!$E$59)^($A199/12)/Inputs!$E$45</f>
        <v>1.5</v>
      </c>
      <c r="E199" s="35">
        <f>MAX(Inputs!$E$44,MIN(C199,D199))</f>
        <v>0.7</v>
      </c>
      <c r="F199" s="35">
        <f>IF(Inputs!$E$50&lt;=0,Inputs!$E$49,Inputs!$E$48+(Inputs!$E$49-Inputs!$E$48)*MIN($A199/Inputs!$E$50,1))</f>
        <v>0.12</v>
      </c>
      <c r="G199" s="36">
        <f>(Inputs!$E$41*(1-E199*Inputs!$E$51)+Inputs!$E$42*(1-F199*Inputs!$E$51))/(Inputs!$E$41*(1-Inputs!$E$44*Inputs!$E$51)+Inputs!$E$42*(1-Inputs!$E$48*Inputs!$E$51))</f>
        <v>0.8423127463863338</v>
      </c>
      <c r="H199" s="35">
        <f>IF(Inputs!$E$53&lt;=0,Inputs!$E$52,Inputs!$E$52*MIN($A199/Inputs!$E$53,1))</f>
        <v>0.1</v>
      </c>
      <c r="I199" s="35">
        <f>IF(Inputs!$E$64&lt;=0,Inputs!$E$63,Inputs!$E$62+(Inputs!$E$63-Inputs!$E$62)*MIN($A199/Inputs!$E$64,1))</f>
        <v>0.03</v>
      </c>
      <c r="J199" s="37">
        <f>(E199-Inputs!$E$44)*Inputs!$E$45/Inputs!$E$60*Inputs!$E$61</f>
        <v>5999.9999999999991</v>
      </c>
      <c r="K199" s="29">
        <f t="shared" si="147"/>
        <v>0</v>
      </c>
      <c r="L199" s="29"/>
      <c r="M199" s="38">
        <f>MAX(0,MIN(Inputs!$B$36,R198,N199+O199+P199+Inputs!$B$6-Q198))</f>
        <v>0</v>
      </c>
      <c r="N199" s="38">
        <f>Inputs!$B$27*(1+Inputs!$B$28)^($A199/12)*IF(Inputs!$B$70=1,$G199,1)*(1-Inputs!$C$70*$H199*(1-Inputs!$E$54*Inputs!$B$70))*(1+$I199)*IF(Inputs!$B$29=0,1,(MAX(Q198,0)/Inputs!$B$6)^Inputs!$B$29)</f>
        <v>34000.775190706256</v>
      </c>
      <c r="O199" s="38">
        <f>Inputs!$B$32*Q198/Inputs!$B$6</f>
        <v>0</v>
      </c>
      <c r="P199" s="38">
        <f>Inputs!$B$33</f>
        <v>2500</v>
      </c>
      <c r="Q199" s="38">
        <f t="shared" ref="Q199:Q245" si="148">MAX(Q198+M199-N199-O199-P199,0)</f>
        <v>0</v>
      </c>
      <c r="R199" s="38">
        <f t="shared" ref="R199:R245" si="149">R198-M199</f>
        <v>0</v>
      </c>
      <c r="S199" s="38">
        <f>Inputs!$B$19*(1-Inputs!$C$70*$H199)+Inputs!$B$21+Inputs!$B$70*$J199</f>
        <v>595000</v>
      </c>
      <c r="T199" s="38">
        <f t="shared" ref="T199:T245" si="150">Q199-S199</f>
        <v>-595000</v>
      </c>
      <c r="U199" s="38">
        <f t="shared" ref="U199:U245" si="151">IF(T199&lt;0,1,0)</f>
        <v>1</v>
      </c>
      <c r="V199" s="38">
        <f>MAX(0,MIN(Inputs!$C$36,AA198,W199+X199+Y199+Inputs!$C$6-Z198))</f>
        <v>0</v>
      </c>
      <c r="W199" s="38">
        <f>Inputs!$C$27*(1+Inputs!$C$28)^($A199/12)*IF(Inputs!$B$70=1,$G199,1)*(1-Inputs!$C$70*$H199*(1-Inputs!$E$54*Inputs!$B$70))*(1+$I199)*IF(Inputs!$C$29=0,1,(MAX(Z198,0)/Inputs!$C$6)^Inputs!$C$29)</f>
        <v>0</v>
      </c>
      <c r="X199" s="38">
        <f>Inputs!$C$32*Z198/Inputs!$C$6</f>
        <v>0</v>
      </c>
      <c r="Y199" s="38">
        <f>Inputs!$C$33</f>
        <v>2000</v>
      </c>
      <c r="Z199" s="38">
        <f t="shared" ref="Z199:Z245" si="152">MAX(Z198+V199-W199-X199-Y199,0)</f>
        <v>0</v>
      </c>
      <c r="AA199" s="38">
        <f t="shared" ref="AA199:AA245" si="153">AA198-V199</f>
        <v>0</v>
      </c>
      <c r="AB199" s="38">
        <f>Inputs!$C$19*(1-Inputs!$C$70*$H199)+Inputs!$C$21+Inputs!$B$70*$J199</f>
        <v>495000</v>
      </c>
      <c r="AC199" s="38">
        <f t="shared" ref="AC199:AC245" si="154">Z199-AB199</f>
        <v>-495000</v>
      </c>
      <c r="AD199" s="38">
        <f t="shared" ref="AD199:AD245" si="155">IF(AC199&lt;0,1,0)</f>
        <v>1</v>
      </c>
      <c r="AE199" s="38">
        <f>MAX(0,MIN(Inputs!$D$36,AJ198,AF199+AG199+AH199+Inputs!$D$6-AI198))</f>
        <v>0</v>
      </c>
      <c r="AF199" s="38">
        <f>Inputs!$D$27*(1+Inputs!$D$28)^($A199/12)*IF(Inputs!$B$70=1,$G199,1)*(1-Inputs!$C$70*$H199*(1-Inputs!$E$54*Inputs!$B$70))*(1+$I199)*IF(Inputs!$D$29=0,1,(MAX(AI198,0)/Inputs!$D$6)^Inputs!$D$29)</f>
        <v>449.08607484257834</v>
      </c>
      <c r="AG199" s="38">
        <f>Inputs!$D$32*AI198/Inputs!$D$6</f>
        <v>41.927996861428504</v>
      </c>
      <c r="AH199" s="38">
        <f>Inputs!$D$33</f>
        <v>1500</v>
      </c>
      <c r="AI199" s="38">
        <f t="shared" ref="AI199:AI245" si="156">MAX(AI198+AE199-AF199-AG199-AH199,0)</f>
        <v>6793.8995564048237</v>
      </c>
      <c r="AJ199" s="38">
        <f t="shared" ref="AJ199:AJ245" si="157">AJ198-AE199</f>
        <v>0</v>
      </c>
      <c r="AK199" s="38">
        <f>Inputs!$D$19*(1-Inputs!$C$70*$H199)+Inputs!$D$21+Inputs!$B$70*$J199</f>
        <v>404800</v>
      </c>
      <c r="AL199" s="38">
        <f t="shared" ref="AL199:AL245" si="158">AI199-AK199</f>
        <v>-398006.10044359521</v>
      </c>
      <c r="AM199" s="38">
        <f t="shared" ref="AM199:AM245" si="159">IF(AL199&lt;0,1,0)</f>
        <v>1</v>
      </c>
      <c r="AN199" s="38">
        <f>MAX(0,MIN(Inputs!$B$36,AS198,AO199+AP199+AQ199+Inputs!$B$6-AR198))</f>
        <v>0</v>
      </c>
      <c r="AO199" s="38">
        <f>Inputs!$B$27*(1+Inputs!$B$28)^($A199/12)*IF(Inputs!$B$71=1,$G199,1)*(1-Inputs!$C$71*$H199*(1-Inputs!$E$54*Inputs!$B$71))*(1+$I199)*IF(Inputs!$B$29=0,1,(MAX(AR198,0)/Inputs!$B$6)^Inputs!$B$29)</f>
        <v>28639.286330148108</v>
      </c>
      <c r="AP199" s="38">
        <f>Inputs!$B$32*AR198/Inputs!$B$6</f>
        <v>0</v>
      </c>
      <c r="AQ199" s="38">
        <f>Inputs!$B$33</f>
        <v>2500</v>
      </c>
      <c r="AR199" s="38">
        <f t="shared" ref="AR199:AR245" si="160">MAX(AR198+AN199-AO199-AP199-AQ199,0)</f>
        <v>0</v>
      </c>
      <c r="AS199" s="38">
        <f t="shared" ref="AS199:AS245" si="161">AS198-AN199</f>
        <v>0</v>
      </c>
      <c r="AT199" s="38">
        <f>Inputs!$B$19*(1-Inputs!$C$71*$H199)+Inputs!$B$21+Inputs!$B$71*$J199</f>
        <v>601000</v>
      </c>
      <c r="AU199" s="38">
        <f t="shared" ref="AU199:AU245" si="162">AR199-AT199</f>
        <v>-601000</v>
      </c>
      <c r="AV199" s="38">
        <f t="shared" ref="AV199:AV245" si="163">IF(AU199&lt;0,1,0)</f>
        <v>1</v>
      </c>
      <c r="AW199" s="38">
        <f>MAX(0,MIN(Inputs!$C$36,BB198,AX199+AY199+AZ199+Inputs!$C$6-BA198))</f>
        <v>0</v>
      </c>
      <c r="AX199" s="38">
        <f>Inputs!$C$27*(1+Inputs!$C$28)^($A199/12)*IF(Inputs!$B$71=1,$G199,1)*(1-Inputs!$C$71*$H199*(1-Inputs!$E$54*Inputs!$B$71))*(1+$I199)*IF(Inputs!$C$29=0,1,(MAX(BA198,0)/Inputs!$C$6)^Inputs!$C$29)</f>
        <v>0</v>
      </c>
      <c r="AY199" s="38">
        <f>Inputs!$C$32*BA198/Inputs!$C$6</f>
        <v>0</v>
      </c>
      <c r="AZ199" s="38">
        <f>Inputs!$C$33</f>
        <v>2000</v>
      </c>
      <c r="BA199" s="38">
        <f t="shared" ref="BA199:BA245" si="164">MAX(BA198+AW199-AX199-AY199-AZ199,0)</f>
        <v>0</v>
      </c>
      <c r="BB199" s="38">
        <f t="shared" ref="BB199:BB245" si="165">BB198-AW199</f>
        <v>0</v>
      </c>
      <c r="BC199" s="38">
        <f>Inputs!$C$19*(1-Inputs!$C$71*$H199)+Inputs!$C$21+Inputs!$B$71*$J199</f>
        <v>501000</v>
      </c>
      <c r="BD199" s="38">
        <f t="shared" ref="BD199:BD245" si="166">BA199-BC199</f>
        <v>-501000</v>
      </c>
      <c r="BE199" s="38">
        <f t="shared" ref="BE199:BE245" si="167">IF(BD199&lt;0,1,0)</f>
        <v>1</v>
      </c>
      <c r="BF199" s="38">
        <f>MAX(0,MIN(Inputs!$D$36,BK198,BG199+BH199+BI199+Inputs!$D$6-BJ198))</f>
        <v>0</v>
      </c>
      <c r="BG199" s="38">
        <f>Inputs!$D$27*(1+Inputs!$D$28)^($A199/12)*IF(Inputs!$B$71=1,$G199,1)*(1-Inputs!$C$71*$H199*(1-Inputs!$E$54*Inputs!$B$71))*(1+$I199)*IF(Inputs!$D$29=0,1,(MAX(BJ198,0)/Inputs!$D$6)^Inputs!$D$29)</f>
        <v>962.38328533209142</v>
      </c>
      <c r="BH199" s="38">
        <f>Inputs!$D$32*BJ198/Inputs!$D$6</f>
        <v>271.39030824773494</v>
      </c>
      <c r="BI199" s="38">
        <f>Inputs!$D$33</f>
        <v>1500</v>
      </c>
      <c r="BJ199" s="38">
        <f t="shared" ref="BJ199:BJ245" si="168">MAX(BJ198+BF199-BG199-BH199-BI199,0)</f>
        <v>54128.957658326537</v>
      </c>
      <c r="BK199" s="38">
        <f t="shared" ref="BK199:BK245" si="169">BK198-BF199</f>
        <v>0</v>
      </c>
      <c r="BL199" s="38">
        <f>Inputs!$D$19*(1-Inputs!$C$71*$H199)+Inputs!$D$21+Inputs!$B$71*$J199</f>
        <v>410800</v>
      </c>
      <c r="BM199" s="38">
        <f t="shared" ref="BM199:BM245" si="170">BJ199-BL199</f>
        <v>-356671.04234167346</v>
      </c>
      <c r="BN199" s="38">
        <f t="shared" ref="BN199:BN245" si="171">IF(BM199&lt;0,1,0)</f>
        <v>1</v>
      </c>
      <c r="BO199" s="38">
        <f>MAX(0,MIN(Inputs!$B$36,BT198,BP199+BQ199+BR199+Inputs!$B$6-BS198))</f>
        <v>0</v>
      </c>
      <c r="BP199" s="38">
        <f>Inputs!$B$27*(1+Inputs!$B$28)^($A199/12)*IF(Inputs!$B$72=1,$G199,1)*(1-Inputs!$C$72*$H199*(1-Inputs!$E$54*Inputs!$B$72))*(1+$I199)*IF(Inputs!$B$29=0,1,(MAX(BS198,0)/Inputs!$B$6)^Inputs!$B$29)</f>
        <v>30600.697671635629</v>
      </c>
      <c r="BQ199" s="38">
        <f>Inputs!$B$32*BS198/Inputs!$B$6</f>
        <v>0</v>
      </c>
      <c r="BR199" s="38">
        <f>Inputs!$B$33</f>
        <v>2500</v>
      </c>
      <c r="BS199" s="38">
        <f t="shared" ref="BS199:BS245" si="172">MAX(BS198+BO199-BP199-BQ199-BR199,0)</f>
        <v>0</v>
      </c>
      <c r="BT199" s="38">
        <f t="shared" ref="BT199:BT245" si="173">BT198-BO199</f>
        <v>0</v>
      </c>
      <c r="BU199" s="38">
        <f>Inputs!$B$19*(1-Inputs!$C$72*$H199)+Inputs!$B$21+Inputs!$B$72*$J199</f>
        <v>577500</v>
      </c>
      <c r="BV199" s="38">
        <f t="shared" ref="BV199:BV245" si="174">BS199-BU199</f>
        <v>-577500</v>
      </c>
      <c r="BW199" s="38">
        <f t="shared" ref="BW199:BW245" si="175">IF(BV199&lt;0,1,0)</f>
        <v>1</v>
      </c>
      <c r="BX199" s="38">
        <f>MAX(0,MIN(Inputs!$C$36,CC198,BY199+BZ199+CA199+Inputs!$C$6-CB198))</f>
        <v>0</v>
      </c>
      <c r="BY199" s="38">
        <f>Inputs!$C$27*(1+Inputs!$C$28)^($A199/12)*IF(Inputs!$B$72=1,$G199,1)*(1-Inputs!$C$72*$H199*(1-Inputs!$E$54*Inputs!$B$72))*(1+$I199)*IF(Inputs!$C$29=0,1,(MAX(CB198,0)/Inputs!$C$6)^Inputs!$C$29)</f>
        <v>0</v>
      </c>
      <c r="BZ199" s="38">
        <f>Inputs!$C$32*CB198/Inputs!$C$6</f>
        <v>0</v>
      </c>
      <c r="CA199" s="38">
        <f>Inputs!$C$33</f>
        <v>2000</v>
      </c>
      <c r="CB199" s="38">
        <f t="shared" ref="CB199:CB245" si="176">MAX(CB198+BX199-BY199-BZ199-CA199,0)</f>
        <v>0</v>
      </c>
      <c r="CC199" s="38">
        <f t="shared" ref="CC199:CC245" si="177">CC198-BX199</f>
        <v>0</v>
      </c>
      <c r="CD199" s="38">
        <f>Inputs!$C$19*(1-Inputs!$C$72*$H199)+Inputs!$C$21+Inputs!$B$72*$J199</f>
        <v>480000</v>
      </c>
      <c r="CE199" s="38">
        <f t="shared" ref="CE199:CE245" si="178">CB199-CD199</f>
        <v>-480000</v>
      </c>
      <c r="CF199" s="38">
        <f t="shared" ref="CF199:CF245" si="179">IF(CE199&lt;0,1,0)</f>
        <v>1</v>
      </c>
      <c r="CG199" s="38">
        <f>MAX(0,MIN(Inputs!$D$36,CL198,CH199+CI199+CJ199+Inputs!$D$6-CK198))</f>
        <v>0</v>
      </c>
      <c r="CH199" s="38">
        <f>Inputs!$D$27*(1+Inputs!$D$28)^($A199/12)*IF(Inputs!$B$72=1,$G199,1)*(1-Inputs!$C$72*$H199*(1-Inputs!$E$54*Inputs!$B$72))*(1+$I199)*IF(Inputs!$D$29=0,1,(MAX(CK198,0)/Inputs!$D$6)^Inputs!$D$29)</f>
        <v>804.07610312113422</v>
      </c>
      <c r="CI199" s="38">
        <f>Inputs!$D$32*CK198/Inputs!$D$6</f>
        <v>165.94120070609313</v>
      </c>
      <c r="CJ199" s="38">
        <f>Inputs!$D$33</f>
        <v>1500</v>
      </c>
      <c r="CK199" s="38">
        <f t="shared" ref="CK199:CK245" si="180">MAX(CK198+CG199-CH199-CI199-CJ199,0)</f>
        <v>32298.615225068468</v>
      </c>
      <c r="CL199" s="38">
        <f t="shared" ref="CL199:CL245" si="181">CL198-CG199</f>
        <v>0</v>
      </c>
      <c r="CM199" s="38">
        <f>Inputs!$D$19*(1-Inputs!$C$72*$H199)+Inputs!$D$21+Inputs!$B$72*$J199</f>
        <v>392150</v>
      </c>
      <c r="CN199" s="38">
        <f t="shared" ref="CN199:CN245" si="182">CK199-CM199</f>
        <v>-359851.38477493153</v>
      </c>
      <c r="CO199" s="38">
        <f t="shared" ref="CO199:CO245" si="183">IF(CN199&lt;0,1,0)</f>
        <v>1</v>
      </c>
      <c r="CP199" s="38">
        <f>MAX(0,MIN(Inputs!$B$36,CU198,CQ199+CR199+CS199+Inputs!$B$6-CT198))</f>
        <v>0</v>
      </c>
      <c r="CQ199" s="38">
        <f>Inputs!$B$27*(1+Inputs!$B$28)^($A199/12)*IF(Inputs!$B$73=1,$G199,1)*(1-Inputs!$C$73*$H199*(1-Inputs!$E$54*Inputs!$B$73))*(1+$I199)*IF(Inputs!$B$29=0,1,(MAX(CT198,0)/Inputs!$B$6)^Inputs!$B$29)</f>
        <v>27207.3220136407</v>
      </c>
      <c r="CR199" s="38">
        <f>Inputs!$B$32*CT198/Inputs!$B$6</f>
        <v>0</v>
      </c>
      <c r="CS199" s="38">
        <f>Inputs!$B$33</f>
        <v>2500</v>
      </c>
      <c r="CT199" s="38">
        <f t="shared" ref="CT199:CT245" si="184">MAX(CT198+CP199-CQ199-CR199-CS199,0)</f>
        <v>0</v>
      </c>
      <c r="CU199" s="38">
        <f t="shared" ref="CU199:CU245" si="185">CU198-CP199</f>
        <v>0</v>
      </c>
      <c r="CV199" s="38">
        <f>Inputs!$B$19*(1-Inputs!$C$73*$H199)+Inputs!$B$21+Inputs!$B$73*$J199</f>
        <v>583500</v>
      </c>
      <c r="CW199" s="38">
        <f t="shared" ref="CW199:CW245" si="186">CT199-CV199</f>
        <v>-583500</v>
      </c>
      <c r="CX199" s="38">
        <f t="shared" ref="CX199:CX245" si="187">IF(CW199&lt;0,1,0)</f>
        <v>1</v>
      </c>
      <c r="CY199" s="38">
        <f>MAX(0,MIN(Inputs!$C$36,DD198,CZ199+DA199+DB199+Inputs!$C$6-DC198))</f>
        <v>0</v>
      </c>
      <c r="CZ199" s="38">
        <f>Inputs!$C$27*(1+Inputs!$C$28)^($A199/12)*IF(Inputs!$B$73=1,$G199,1)*(1-Inputs!$C$73*$H199*(1-Inputs!$E$54*Inputs!$B$73))*(1+$I199)*IF(Inputs!$C$29=0,1,(MAX(DC198,0)/Inputs!$C$6)^Inputs!$C$29)</f>
        <v>0</v>
      </c>
      <c r="DA199" s="38">
        <f>Inputs!$C$32*DC198/Inputs!$C$6</f>
        <v>0</v>
      </c>
      <c r="DB199" s="38">
        <f>Inputs!$C$33</f>
        <v>2000</v>
      </c>
      <c r="DC199" s="38">
        <f t="shared" ref="DC199:DC245" si="188">MAX(DC198+CY199-CZ199-DA199-DB199,0)</f>
        <v>0</v>
      </c>
      <c r="DD199" s="38">
        <f t="shared" ref="DD199:DD245" si="189">DD198-CY199</f>
        <v>0</v>
      </c>
      <c r="DE199" s="38">
        <f>Inputs!$C$19*(1-Inputs!$C$73*$H199)+Inputs!$C$21+Inputs!$B$73*$J199</f>
        <v>486000</v>
      </c>
      <c r="DF199" s="38">
        <f t="shared" ref="DF199:DF245" si="190">DC199-DE199</f>
        <v>-486000</v>
      </c>
      <c r="DG199" s="38">
        <f t="shared" ref="DG199:DG245" si="191">IF(DF199&lt;0,1,0)</f>
        <v>1</v>
      </c>
      <c r="DH199" s="38">
        <f>MAX(0,MIN(Inputs!$D$36,DM198,DI199+DJ199+DK199+Inputs!$D$6-DL198))</f>
        <v>0</v>
      </c>
      <c r="DI199" s="38">
        <f>Inputs!$D$27*(1+Inputs!$D$28)^($A199/12)*IF(Inputs!$B$73=1,$G199,1)*(1-Inputs!$C$73*$H199*(1-Inputs!$E$54*Inputs!$B$73))*(1+$I199)*IF(Inputs!$D$29=0,1,(MAX(DL198,0)/Inputs!$D$6)^Inputs!$D$29)</f>
        <v>1026.1027959122828</v>
      </c>
      <c r="DJ199" s="38">
        <f>Inputs!$D$32*DL198/Inputs!$D$6</f>
        <v>341.84774743811249</v>
      </c>
      <c r="DK199" s="38">
        <f>Inputs!$D$33</f>
        <v>1500</v>
      </c>
      <c r="DL199" s="38">
        <f t="shared" ref="DL199:DL245" si="192">MAX(DL198+DH199-DI199-DJ199-DK199,0)</f>
        <v>68757.291777016042</v>
      </c>
      <c r="DM199" s="38">
        <f t="shared" ref="DM199:DM245" si="193">DM198-DH199</f>
        <v>0</v>
      </c>
      <c r="DN199" s="38">
        <f>Inputs!$D$19*(1-Inputs!$C$73*$H199)+Inputs!$D$21+Inputs!$B$73*$J199</f>
        <v>398150</v>
      </c>
      <c r="DO199" s="38">
        <f t="shared" ref="DO199:DO245" si="194">DL199-DN199</f>
        <v>-329392.70822298399</v>
      </c>
      <c r="DP199" s="38">
        <f t="shared" ref="DP199:DP245" si="195">IF(DO199&lt;0,1,0)</f>
        <v>1</v>
      </c>
    </row>
    <row r="200" spans="1:120" x14ac:dyDescent="0.35">
      <c r="A200" s="29">
        <v>195</v>
      </c>
      <c r="B200" s="34">
        <f>EDATE(Inputs!$B$67,$A200)</f>
        <v>52201</v>
      </c>
      <c r="C200" s="35">
        <f>IF(Inputs!$E$47&lt;=0,Inputs!$E$46,Inputs!$E$44+(Inputs!$E$46-Inputs!$E$44)*MIN($A200/Inputs!$E$47,1))</f>
        <v>0.7</v>
      </c>
      <c r="D200" s="35">
        <f>MIN(Inputs!$E$57,Inputs!$E$55*(1+Inputs!$E$56)^($A200/12))*Inputs!$E$58*(1+Inputs!$E$59)^($A200/12)/Inputs!$E$45</f>
        <v>1.5</v>
      </c>
      <c r="E200" s="35">
        <f>MAX(Inputs!$E$44,MIN(C200,D200))</f>
        <v>0.7</v>
      </c>
      <c r="F200" s="35">
        <f>IF(Inputs!$E$50&lt;=0,Inputs!$E$49,Inputs!$E$48+(Inputs!$E$49-Inputs!$E$48)*MIN($A200/Inputs!$E$50,1))</f>
        <v>0.12</v>
      </c>
      <c r="G200" s="36">
        <f>(Inputs!$E$41*(1-E200*Inputs!$E$51)+Inputs!$E$42*(1-F200*Inputs!$E$51))/(Inputs!$E$41*(1-Inputs!$E$44*Inputs!$E$51)+Inputs!$E$42*(1-Inputs!$E$48*Inputs!$E$51))</f>
        <v>0.8423127463863338</v>
      </c>
      <c r="H200" s="35">
        <f>IF(Inputs!$E$53&lt;=0,Inputs!$E$52,Inputs!$E$52*MIN($A200/Inputs!$E$53,1))</f>
        <v>0.1</v>
      </c>
      <c r="I200" s="35">
        <f>IF(Inputs!$E$64&lt;=0,Inputs!$E$63,Inputs!$E$62+(Inputs!$E$63-Inputs!$E$62)*MIN($A200/Inputs!$E$64,1))</f>
        <v>0.03</v>
      </c>
      <c r="J200" s="37">
        <f>(E200-Inputs!$E$44)*Inputs!$E$45/Inputs!$E$60*Inputs!$E$61</f>
        <v>5999.9999999999991</v>
      </c>
      <c r="K200" s="29">
        <f t="shared" si="147"/>
        <v>0</v>
      </c>
      <c r="L200" s="29"/>
      <c r="M200" s="38">
        <f>MAX(0,MIN(Inputs!$B$36,R199,N200+O200+P200+Inputs!$B$6-Q199))</f>
        <v>0</v>
      </c>
      <c r="N200" s="38">
        <f>Inputs!$B$27*(1+Inputs!$B$28)^($A200/12)*IF(Inputs!$B$70=1,$G200,1)*(1-Inputs!$C$70*$H200*(1-Inputs!$E$54*Inputs!$B$70))*(1+$I200)*IF(Inputs!$B$29=0,1,(MAX(Q199,0)/Inputs!$B$6)^Inputs!$B$29)</f>
        <v>34139.298557573187</v>
      </c>
      <c r="O200" s="38">
        <f>Inputs!$B$32*Q199/Inputs!$B$6</f>
        <v>0</v>
      </c>
      <c r="P200" s="38">
        <f>Inputs!$B$33</f>
        <v>2500</v>
      </c>
      <c r="Q200" s="38">
        <f t="shared" si="148"/>
        <v>0</v>
      </c>
      <c r="R200" s="38">
        <f t="shared" si="149"/>
        <v>0</v>
      </c>
      <c r="S200" s="38">
        <f>Inputs!$B$19*(1-Inputs!$C$70*$H200)+Inputs!$B$21+Inputs!$B$70*$J200</f>
        <v>595000</v>
      </c>
      <c r="T200" s="38">
        <f t="shared" si="150"/>
        <v>-595000</v>
      </c>
      <c r="U200" s="38">
        <f t="shared" si="151"/>
        <v>1</v>
      </c>
      <c r="V200" s="38">
        <f>MAX(0,MIN(Inputs!$C$36,AA199,W200+X200+Y200+Inputs!$C$6-Z199))</f>
        <v>0</v>
      </c>
      <c r="W200" s="38">
        <f>Inputs!$C$27*(1+Inputs!$C$28)^($A200/12)*IF(Inputs!$B$70=1,$G200,1)*(1-Inputs!$C$70*$H200*(1-Inputs!$E$54*Inputs!$B$70))*(1+$I200)*IF(Inputs!$C$29=0,1,(MAX(Z199,0)/Inputs!$C$6)^Inputs!$C$29)</f>
        <v>0</v>
      </c>
      <c r="X200" s="38">
        <f>Inputs!$C$32*Z199/Inputs!$C$6</f>
        <v>0</v>
      </c>
      <c r="Y200" s="38">
        <f>Inputs!$C$33</f>
        <v>2000</v>
      </c>
      <c r="Z200" s="38">
        <f t="shared" si="152"/>
        <v>0</v>
      </c>
      <c r="AA200" s="38">
        <f t="shared" si="153"/>
        <v>0</v>
      </c>
      <c r="AB200" s="38">
        <f>Inputs!$C$19*(1-Inputs!$C$70*$H200)+Inputs!$C$21+Inputs!$B$70*$J200</f>
        <v>495000</v>
      </c>
      <c r="AC200" s="38">
        <f t="shared" si="154"/>
        <v>-495000</v>
      </c>
      <c r="AD200" s="38">
        <f t="shared" si="155"/>
        <v>1</v>
      </c>
      <c r="AE200" s="38">
        <f>MAX(0,MIN(Inputs!$D$36,AJ199,AF200+AG200+AH200+Inputs!$D$6-AI199))</f>
        <v>0</v>
      </c>
      <c r="AF200" s="38">
        <f>Inputs!$D$27*(1+Inputs!$D$28)^($A200/12)*IF(Inputs!$B$70=1,$G200,1)*(1-Inputs!$C$70*$H200*(1-Inputs!$E$54*Inputs!$B$70))*(1+$I200)*IF(Inputs!$D$29=0,1,(MAX(AI199,0)/Inputs!$D$6)^Inputs!$D$29)</f>
        <v>393.24574799917366</v>
      </c>
      <c r="AG200" s="38">
        <f>Inputs!$D$32*AI199/Inputs!$D$6</f>
        <v>32.425429701023027</v>
      </c>
      <c r="AH200" s="38">
        <f>Inputs!$D$33</f>
        <v>1500</v>
      </c>
      <c r="AI200" s="38">
        <f t="shared" si="156"/>
        <v>4868.2283787046272</v>
      </c>
      <c r="AJ200" s="38">
        <f t="shared" si="157"/>
        <v>0</v>
      </c>
      <c r="AK200" s="38">
        <f>Inputs!$D$19*(1-Inputs!$C$70*$H200)+Inputs!$D$21+Inputs!$B$70*$J200</f>
        <v>404800</v>
      </c>
      <c r="AL200" s="38">
        <f t="shared" si="158"/>
        <v>-399931.77162129537</v>
      </c>
      <c r="AM200" s="38">
        <f t="shared" si="159"/>
        <v>1</v>
      </c>
      <c r="AN200" s="38">
        <f>MAX(0,MIN(Inputs!$B$36,AS199,AO200+AP200+AQ200+Inputs!$B$6-AR199))</f>
        <v>0</v>
      </c>
      <c r="AO200" s="38">
        <f>Inputs!$B$27*(1+Inputs!$B$28)^($A200/12)*IF(Inputs!$B$71=1,$G200,1)*(1-Inputs!$C$71*$H200*(1-Inputs!$E$54*Inputs!$B$71))*(1+$I200)*IF(Inputs!$B$29=0,1,(MAX(AR199,0)/Inputs!$B$6)^Inputs!$B$29)</f>
        <v>28755.966327732473</v>
      </c>
      <c r="AP200" s="38">
        <f>Inputs!$B$32*AR199/Inputs!$B$6</f>
        <v>0</v>
      </c>
      <c r="AQ200" s="38">
        <f>Inputs!$B$33</f>
        <v>2500</v>
      </c>
      <c r="AR200" s="38">
        <f t="shared" si="160"/>
        <v>0</v>
      </c>
      <c r="AS200" s="38">
        <f t="shared" si="161"/>
        <v>0</v>
      </c>
      <c r="AT200" s="38">
        <f>Inputs!$B$19*(1-Inputs!$C$71*$H200)+Inputs!$B$21+Inputs!$B$71*$J200</f>
        <v>601000</v>
      </c>
      <c r="AU200" s="38">
        <f t="shared" si="162"/>
        <v>-601000</v>
      </c>
      <c r="AV200" s="38">
        <f t="shared" si="163"/>
        <v>1</v>
      </c>
      <c r="AW200" s="38">
        <f>MAX(0,MIN(Inputs!$C$36,BB199,AX200+AY200+AZ200+Inputs!$C$6-BA199))</f>
        <v>0</v>
      </c>
      <c r="AX200" s="38">
        <f>Inputs!$C$27*(1+Inputs!$C$28)^($A200/12)*IF(Inputs!$B$71=1,$G200,1)*(1-Inputs!$C$71*$H200*(1-Inputs!$E$54*Inputs!$B$71))*(1+$I200)*IF(Inputs!$C$29=0,1,(MAX(BA199,0)/Inputs!$C$6)^Inputs!$C$29)</f>
        <v>0</v>
      </c>
      <c r="AY200" s="38">
        <f>Inputs!$C$32*BA199/Inputs!$C$6</f>
        <v>0</v>
      </c>
      <c r="AZ200" s="38">
        <f>Inputs!$C$33</f>
        <v>2000</v>
      </c>
      <c r="BA200" s="38">
        <f t="shared" si="164"/>
        <v>0</v>
      </c>
      <c r="BB200" s="38">
        <f t="shared" si="165"/>
        <v>0</v>
      </c>
      <c r="BC200" s="38">
        <f>Inputs!$C$19*(1-Inputs!$C$71*$H200)+Inputs!$C$21+Inputs!$B$71*$J200</f>
        <v>501000</v>
      </c>
      <c r="BD200" s="38">
        <f t="shared" si="166"/>
        <v>-501000</v>
      </c>
      <c r="BE200" s="38">
        <f t="shared" si="167"/>
        <v>1</v>
      </c>
      <c r="BF200" s="38">
        <f>MAX(0,MIN(Inputs!$D$36,BK199,BG200+BH200+BI200+Inputs!$D$6-BJ199))</f>
        <v>0</v>
      </c>
      <c r="BG200" s="38">
        <f>Inputs!$D$27*(1+Inputs!$D$28)^($A200/12)*IF(Inputs!$B$71=1,$G200,1)*(1-Inputs!$C$71*$H200*(1-Inputs!$E$54*Inputs!$B$71))*(1+$I200)*IF(Inputs!$D$29=0,1,(MAX(BJ199,0)/Inputs!$D$6)^Inputs!$D$29)</f>
        <v>934.95924296017961</v>
      </c>
      <c r="BH200" s="38">
        <f>Inputs!$D$32*BJ199/Inputs!$D$6</f>
        <v>258.34275246019484</v>
      </c>
      <c r="BI200" s="38">
        <f>Inputs!$D$33</f>
        <v>1500</v>
      </c>
      <c r="BJ200" s="38">
        <f t="shared" si="168"/>
        <v>51435.655662906167</v>
      </c>
      <c r="BK200" s="38">
        <f t="shared" si="169"/>
        <v>0</v>
      </c>
      <c r="BL200" s="38">
        <f>Inputs!$D$19*(1-Inputs!$C$71*$H200)+Inputs!$D$21+Inputs!$B$71*$J200</f>
        <v>410800</v>
      </c>
      <c r="BM200" s="38">
        <f t="shared" si="170"/>
        <v>-359364.34433709382</v>
      </c>
      <c r="BN200" s="38">
        <f t="shared" si="171"/>
        <v>1</v>
      </c>
      <c r="BO200" s="38">
        <f>MAX(0,MIN(Inputs!$B$36,BT199,BP200+BQ200+BR200+Inputs!$B$6-BS199))</f>
        <v>0</v>
      </c>
      <c r="BP200" s="38">
        <f>Inputs!$B$27*(1+Inputs!$B$28)^($A200/12)*IF(Inputs!$B$72=1,$G200,1)*(1-Inputs!$C$72*$H200*(1-Inputs!$E$54*Inputs!$B$72))*(1+$I200)*IF(Inputs!$B$29=0,1,(MAX(BS199,0)/Inputs!$B$6)^Inputs!$B$29)</f>
        <v>30725.368701815867</v>
      </c>
      <c r="BQ200" s="38">
        <f>Inputs!$B$32*BS199/Inputs!$B$6</f>
        <v>0</v>
      </c>
      <c r="BR200" s="38">
        <f>Inputs!$B$33</f>
        <v>2500</v>
      </c>
      <c r="BS200" s="38">
        <f t="shared" si="172"/>
        <v>0</v>
      </c>
      <c r="BT200" s="38">
        <f t="shared" si="173"/>
        <v>0</v>
      </c>
      <c r="BU200" s="38">
        <f>Inputs!$B$19*(1-Inputs!$C$72*$H200)+Inputs!$B$21+Inputs!$B$72*$J200</f>
        <v>577500</v>
      </c>
      <c r="BV200" s="38">
        <f t="shared" si="174"/>
        <v>-577500</v>
      </c>
      <c r="BW200" s="38">
        <f t="shared" si="175"/>
        <v>1</v>
      </c>
      <c r="BX200" s="38">
        <f>MAX(0,MIN(Inputs!$C$36,CC199,BY200+BZ200+CA200+Inputs!$C$6-CB199))</f>
        <v>0</v>
      </c>
      <c r="BY200" s="38">
        <f>Inputs!$C$27*(1+Inputs!$C$28)^($A200/12)*IF(Inputs!$B$72=1,$G200,1)*(1-Inputs!$C$72*$H200*(1-Inputs!$E$54*Inputs!$B$72))*(1+$I200)*IF(Inputs!$C$29=0,1,(MAX(CB199,0)/Inputs!$C$6)^Inputs!$C$29)</f>
        <v>0</v>
      </c>
      <c r="BZ200" s="38">
        <f>Inputs!$C$32*CB199/Inputs!$C$6</f>
        <v>0</v>
      </c>
      <c r="CA200" s="38">
        <f>Inputs!$C$33</f>
        <v>2000</v>
      </c>
      <c r="CB200" s="38">
        <f t="shared" si="176"/>
        <v>0</v>
      </c>
      <c r="CC200" s="38">
        <f t="shared" si="177"/>
        <v>0</v>
      </c>
      <c r="CD200" s="38">
        <f>Inputs!$C$19*(1-Inputs!$C$72*$H200)+Inputs!$C$21+Inputs!$B$72*$J200</f>
        <v>480000</v>
      </c>
      <c r="CE200" s="38">
        <f t="shared" si="178"/>
        <v>-480000</v>
      </c>
      <c r="CF200" s="38">
        <f t="shared" si="179"/>
        <v>1</v>
      </c>
      <c r="CG200" s="38">
        <f>MAX(0,MIN(Inputs!$D$36,CL199,CH200+CI200+CJ200+Inputs!$D$6-CK199))</f>
        <v>0</v>
      </c>
      <c r="CH200" s="38">
        <f>Inputs!$D$27*(1+Inputs!$D$28)^($A200/12)*IF(Inputs!$B$72=1,$G200,1)*(1-Inputs!$C$72*$H200*(1-Inputs!$E$54*Inputs!$B$72))*(1+$I200)*IF(Inputs!$D$29=0,1,(MAX(CK199,0)/Inputs!$D$6)^Inputs!$D$29)</f>
        <v>771.68300432257763</v>
      </c>
      <c r="CI200" s="38">
        <f>Inputs!$D$32*CK199/Inputs!$D$6</f>
        <v>154.1524817560086</v>
      </c>
      <c r="CJ200" s="38">
        <f>Inputs!$D$33</f>
        <v>1500</v>
      </c>
      <c r="CK200" s="38">
        <f t="shared" si="180"/>
        <v>29872.779738989881</v>
      </c>
      <c r="CL200" s="38">
        <f t="shared" si="181"/>
        <v>0</v>
      </c>
      <c r="CM200" s="38">
        <f>Inputs!$D$19*(1-Inputs!$C$72*$H200)+Inputs!$D$21+Inputs!$B$72*$J200</f>
        <v>392150</v>
      </c>
      <c r="CN200" s="38">
        <f t="shared" si="182"/>
        <v>-362277.22026101011</v>
      </c>
      <c r="CO200" s="38">
        <f t="shared" si="183"/>
        <v>1</v>
      </c>
      <c r="CP200" s="38">
        <f>MAX(0,MIN(Inputs!$B$36,CU199,CQ200+CR200+CS200+Inputs!$B$6-CT199))</f>
        <v>0</v>
      </c>
      <c r="CQ200" s="38">
        <f>Inputs!$B$27*(1+Inputs!$B$28)^($A200/12)*IF(Inputs!$B$73=1,$G200,1)*(1-Inputs!$C$73*$H200*(1-Inputs!$E$54*Inputs!$B$73))*(1+$I200)*IF(Inputs!$B$29=0,1,(MAX(CT199,0)/Inputs!$B$6)^Inputs!$B$29)</f>
        <v>27318.16801134585</v>
      </c>
      <c r="CR200" s="38">
        <f>Inputs!$B$32*CT199/Inputs!$B$6</f>
        <v>0</v>
      </c>
      <c r="CS200" s="38">
        <f>Inputs!$B$33</f>
        <v>2500</v>
      </c>
      <c r="CT200" s="38">
        <f t="shared" si="184"/>
        <v>0</v>
      </c>
      <c r="CU200" s="38">
        <f t="shared" si="185"/>
        <v>0</v>
      </c>
      <c r="CV200" s="38">
        <f>Inputs!$B$19*(1-Inputs!$C$73*$H200)+Inputs!$B$21+Inputs!$B$73*$J200</f>
        <v>583500</v>
      </c>
      <c r="CW200" s="38">
        <f t="shared" si="186"/>
        <v>-583500</v>
      </c>
      <c r="CX200" s="38">
        <f t="shared" si="187"/>
        <v>1</v>
      </c>
      <c r="CY200" s="38">
        <f>MAX(0,MIN(Inputs!$C$36,DD199,CZ200+DA200+DB200+Inputs!$C$6-DC199))</f>
        <v>0</v>
      </c>
      <c r="CZ200" s="38">
        <f>Inputs!$C$27*(1+Inputs!$C$28)^($A200/12)*IF(Inputs!$B$73=1,$G200,1)*(1-Inputs!$C$73*$H200*(1-Inputs!$E$54*Inputs!$B$73))*(1+$I200)*IF(Inputs!$C$29=0,1,(MAX(DC199,0)/Inputs!$C$6)^Inputs!$C$29)</f>
        <v>0</v>
      </c>
      <c r="DA200" s="38">
        <f>Inputs!$C$32*DC199/Inputs!$C$6</f>
        <v>0</v>
      </c>
      <c r="DB200" s="38">
        <f>Inputs!$C$33</f>
        <v>2000</v>
      </c>
      <c r="DC200" s="38">
        <f t="shared" si="188"/>
        <v>0</v>
      </c>
      <c r="DD200" s="38">
        <f t="shared" si="189"/>
        <v>0</v>
      </c>
      <c r="DE200" s="38">
        <f>Inputs!$C$19*(1-Inputs!$C$73*$H200)+Inputs!$C$21+Inputs!$B$73*$J200</f>
        <v>486000</v>
      </c>
      <c r="DF200" s="38">
        <f t="shared" si="190"/>
        <v>-486000</v>
      </c>
      <c r="DG200" s="38">
        <f t="shared" si="191"/>
        <v>1</v>
      </c>
      <c r="DH200" s="38">
        <f>MAX(0,MIN(Inputs!$D$36,DM199,DI200+DJ200+DK200+Inputs!$D$6-DL199))</f>
        <v>0</v>
      </c>
      <c r="DI200" s="38">
        <f>Inputs!$D$27*(1+Inputs!$D$28)^($A200/12)*IF(Inputs!$B$73=1,$G200,1)*(1-Inputs!$C$73*$H200*(1-Inputs!$E$54*Inputs!$B$73))*(1+$I200)*IF(Inputs!$D$29=0,1,(MAX(DL199,0)/Inputs!$D$6)^Inputs!$D$29)</f>
        <v>1001.0616721152834</v>
      </c>
      <c r="DJ200" s="38">
        <f>Inputs!$D$32*DL199/Inputs!$D$6</f>
        <v>328.15980166303109</v>
      </c>
      <c r="DK200" s="38">
        <f>Inputs!$D$33</f>
        <v>1500</v>
      </c>
      <c r="DL200" s="38">
        <f t="shared" si="192"/>
        <v>65928.070303237735</v>
      </c>
      <c r="DM200" s="38">
        <f t="shared" si="193"/>
        <v>0</v>
      </c>
      <c r="DN200" s="38">
        <f>Inputs!$D$19*(1-Inputs!$C$73*$H200)+Inputs!$D$21+Inputs!$B$73*$J200</f>
        <v>398150</v>
      </c>
      <c r="DO200" s="38">
        <f t="shared" si="194"/>
        <v>-332221.92969676224</v>
      </c>
      <c r="DP200" s="38">
        <f t="shared" si="195"/>
        <v>1</v>
      </c>
    </row>
    <row r="201" spans="1:120" x14ac:dyDescent="0.35">
      <c r="A201" s="29">
        <v>196</v>
      </c>
      <c r="B201" s="34">
        <f>EDATE(Inputs!$B$67,$A201)</f>
        <v>52232</v>
      </c>
      <c r="C201" s="35">
        <f>IF(Inputs!$E$47&lt;=0,Inputs!$E$46,Inputs!$E$44+(Inputs!$E$46-Inputs!$E$44)*MIN($A201/Inputs!$E$47,1))</f>
        <v>0.7</v>
      </c>
      <c r="D201" s="35">
        <f>MIN(Inputs!$E$57,Inputs!$E$55*(1+Inputs!$E$56)^($A201/12))*Inputs!$E$58*(1+Inputs!$E$59)^($A201/12)/Inputs!$E$45</f>
        <v>1.5</v>
      </c>
      <c r="E201" s="35">
        <f>MAX(Inputs!$E$44,MIN(C201,D201))</f>
        <v>0.7</v>
      </c>
      <c r="F201" s="35">
        <f>IF(Inputs!$E$50&lt;=0,Inputs!$E$49,Inputs!$E$48+(Inputs!$E$49-Inputs!$E$48)*MIN($A201/Inputs!$E$50,1))</f>
        <v>0.12</v>
      </c>
      <c r="G201" s="36">
        <f>(Inputs!$E$41*(1-E201*Inputs!$E$51)+Inputs!$E$42*(1-F201*Inputs!$E$51))/(Inputs!$E$41*(1-Inputs!$E$44*Inputs!$E$51)+Inputs!$E$42*(1-Inputs!$E$48*Inputs!$E$51))</f>
        <v>0.8423127463863338</v>
      </c>
      <c r="H201" s="35">
        <f>IF(Inputs!$E$53&lt;=0,Inputs!$E$52,Inputs!$E$52*MIN($A201/Inputs!$E$53,1))</f>
        <v>0.1</v>
      </c>
      <c r="I201" s="35">
        <f>IF(Inputs!$E$64&lt;=0,Inputs!$E$63,Inputs!$E$62+(Inputs!$E$63-Inputs!$E$62)*MIN($A201/Inputs!$E$64,1))</f>
        <v>0.03</v>
      </c>
      <c r="J201" s="37">
        <f>(E201-Inputs!$E$44)*Inputs!$E$45/Inputs!$E$60*Inputs!$E$61</f>
        <v>5999.9999999999991</v>
      </c>
      <c r="K201" s="29">
        <f t="shared" si="147"/>
        <v>0</v>
      </c>
      <c r="L201" s="29"/>
      <c r="M201" s="38">
        <f>MAX(0,MIN(Inputs!$B$36,R200,N201+O201+P201+Inputs!$B$6-Q200))</f>
        <v>0</v>
      </c>
      <c r="N201" s="38">
        <f>Inputs!$B$27*(1+Inputs!$B$28)^($A201/12)*IF(Inputs!$B$70=1,$G201,1)*(1-Inputs!$C$70*$H201*(1-Inputs!$E$54*Inputs!$B$70))*(1+$I201)*IF(Inputs!$B$29=0,1,(MAX(Q200,0)/Inputs!$B$6)^Inputs!$B$29)</f>
        <v>34278.386285783658</v>
      </c>
      <c r="O201" s="38">
        <f>Inputs!$B$32*Q200/Inputs!$B$6</f>
        <v>0</v>
      </c>
      <c r="P201" s="38">
        <f>Inputs!$B$33</f>
        <v>2500</v>
      </c>
      <c r="Q201" s="38">
        <f t="shared" si="148"/>
        <v>0</v>
      </c>
      <c r="R201" s="38">
        <f t="shared" si="149"/>
        <v>0</v>
      </c>
      <c r="S201" s="38">
        <f>Inputs!$B$19*(1-Inputs!$C$70*$H201)+Inputs!$B$21+Inputs!$B$70*$J201</f>
        <v>595000</v>
      </c>
      <c r="T201" s="38">
        <f t="shared" si="150"/>
        <v>-595000</v>
      </c>
      <c r="U201" s="38">
        <f t="shared" si="151"/>
        <v>1</v>
      </c>
      <c r="V201" s="38">
        <f>MAX(0,MIN(Inputs!$C$36,AA200,W201+X201+Y201+Inputs!$C$6-Z200))</f>
        <v>0</v>
      </c>
      <c r="W201" s="38">
        <f>Inputs!$C$27*(1+Inputs!$C$28)^($A201/12)*IF(Inputs!$B$70=1,$G201,1)*(1-Inputs!$C$70*$H201*(1-Inputs!$E$54*Inputs!$B$70))*(1+$I201)*IF(Inputs!$C$29=0,1,(MAX(Z200,0)/Inputs!$C$6)^Inputs!$C$29)</f>
        <v>0</v>
      </c>
      <c r="X201" s="38">
        <f>Inputs!$C$32*Z200/Inputs!$C$6</f>
        <v>0</v>
      </c>
      <c r="Y201" s="38">
        <f>Inputs!$C$33</f>
        <v>2000</v>
      </c>
      <c r="Z201" s="38">
        <f t="shared" si="152"/>
        <v>0</v>
      </c>
      <c r="AA201" s="38">
        <f t="shared" si="153"/>
        <v>0</v>
      </c>
      <c r="AB201" s="38">
        <f>Inputs!$C$19*(1-Inputs!$C$70*$H201)+Inputs!$C$21+Inputs!$B$70*$J201</f>
        <v>495000</v>
      </c>
      <c r="AC201" s="38">
        <f t="shared" si="154"/>
        <v>-495000</v>
      </c>
      <c r="AD201" s="38">
        <f t="shared" si="155"/>
        <v>1</v>
      </c>
      <c r="AE201" s="38">
        <f>MAX(0,MIN(Inputs!$D$36,AJ200,AF201+AG201+AH201+Inputs!$D$6-AI200))</f>
        <v>0</v>
      </c>
      <c r="AF201" s="38">
        <f>Inputs!$D$27*(1+Inputs!$D$28)^($A201/12)*IF(Inputs!$B$70=1,$G201,1)*(1-Inputs!$C$70*$H201*(1-Inputs!$E$54*Inputs!$B$70))*(1+$I201)*IF(Inputs!$D$29=0,1,(MAX(AI200,0)/Inputs!$D$6)^Inputs!$D$29)</f>
        <v>331.46187306616116</v>
      </c>
      <c r="AG201" s="38">
        <f>Inputs!$D$32*AI200/Inputs!$D$6</f>
        <v>23.234726352908449</v>
      </c>
      <c r="AH201" s="38">
        <f>Inputs!$D$33</f>
        <v>1500</v>
      </c>
      <c r="AI201" s="38">
        <f t="shared" si="156"/>
        <v>3013.5317792855576</v>
      </c>
      <c r="AJ201" s="38">
        <f t="shared" si="157"/>
        <v>0</v>
      </c>
      <c r="AK201" s="38">
        <f>Inputs!$D$19*(1-Inputs!$C$70*$H201)+Inputs!$D$21+Inputs!$B$70*$J201</f>
        <v>404800</v>
      </c>
      <c r="AL201" s="38">
        <f t="shared" si="158"/>
        <v>-401786.46822071442</v>
      </c>
      <c r="AM201" s="38">
        <f t="shared" si="159"/>
        <v>1</v>
      </c>
      <c r="AN201" s="38">
        <f>MAX(0,MIN(Inputs!$B$36,AS200,AO201+AP201+AQ201+Inputs!$B$6-AR200))</f>
        <v>0</v>
      </c>
      <c r="AO201" s="38">
        <f>Inputs!$B$27*(1+Inputs!$B$28)^($A201/12)*IF(Inputs!$B$71=1,$G201,1)*(1-Inputs!$C$71*$H201*(1-Inputs!$E$54*Inputs!$B$71))*(1+$I201)*IF(Inputs!$B$29=0,1,(MAX(AR200,0)/Inputs!$B$6)^Inputs!$B$29)</f>
        <v>28873.121694070076</v>
      </c>
      <c r="AP201" s="38">
        <f>Inputs!$B$32*AR200/Inputs!$B$6</f>
        <v>0</v>
      </c>
      <c r="AQ201" s="38">
        <f>Inputs!$B$33</f>
        <v>2500</v>
      </c>
      <c r="AR201" s="38">
        <f t="shared" si="160"/>
        <v>0</v>
      </c>
      <c r="AS201" s="38">
        <f t="shared" si="161"/>
        <v>0</v>
      </c>
      <c r="AT201" s="38">
        <f>Inputs!$B$19*(1-Inputs!$C$71*$H201)+Inputs!$B$21+Inputs!$B$71*$J201</f>
        <v>601000</v>
      </c>
      <c r="AU201" s="38">
        <f t="shared" si="162"/>
        <v>-601000</v>
      </c>
      <c r="AV201" s="38">
        <f t="shared" si="163"/>
        <v>1</v>
      </c>
      <c r="AW201" s="38">
        <f>MAX(0,MIN(Inputs!$C$36,BB200,AX201+AY201+AZ201+Inputs!$C$6-BA200))</f>
        <v>0</v>
      </c>
      <c r="AX201" s="38">
        <f>Inputs!$C$27*(1+Inputs!$C$28)^($A201/12)*IF(Inputs!$B$71=1,$G201,1)*(1-Inputs!$C$71*$H201*(1-Inputs!$E$54*Inputs!$B$71))*(1+$I201)*IF(Inputs!$C$29=0,1,(MAX(BA200,0)/Inputs!$C$6)^Inputs!$C$29)</f>
        <v>0</v>
      </c>
      <c r="AY201" s="38">
        <f>Inputs!$C$32*BA200/Inputs!$C$6</f>
        <v>0</v>
      </c>
      <c r="AZ201" s="38">
        <f>Inputs!$C$33</f>
        <v>2000</v>
      </c>
      <c r="BA201" s="38">
        <f t="shared" si="164"/>
        <v>0</v>
      </c>
      <c r="BB201" s="38">
        <f t="shared" si="165"/>
        <v>0</v>
      </c>
      <c r="BC201" s="38">
        <f>Inputs!$C$19*(1-Inputs!$C$71*$H201)+Inputs!$C$21+Inputs!$B$71*$J201</f>
        <v>501000</v>
      </c>
      <c r="BD201" s="38">
        <f t="shared" si="166"/>
        <v>-501000</v>
      </c>
      <c r="BE201" s="38">
        <f t="shared" si="167"/>
        <v>1</v>
      </c>
      <c r="BF201" s="38">
        <f>MAX(0,MIN(Inputs!$D$36,BK200,BG201+BH201+BI201+Inputs!$D$6-BJ200))</f>
        <v>0</v>
      </c>
      <c r="BG201" s="38">
        <f>Inputs!$D$27*(1+Inputs!$D$28)^($A201/12)*IF(Inputs!$B$71=1,$G201,1)*(1-Inputs!$C$71*$H201*(1-Inputs!$E$54*Inputs!$B$71))*(1+$I201)*IF(Inputs!$D$29=0,1,(MAX(BJ200,0)/Inputs!$D$6)^Inputs!$D$29)</f>
        <v>907.51460121125945</v>
      </c>
      <c r="BH201" s="38">
        <f>Inputs!$D$32*BJ200/Inputs!$D$6</f>
        <v>245.48835657296127</v>
      </c>
      <c r="BI201" s="38">
        <f>Inputs!$D$33</f>
        <v>1500</v>
      </c>
      <c r="BJ201" s="38">
        <f t="shared" si="168"/>
        <v>48782.652705121945</v>
      </c>
      <c r="BK201" s="38">
        <f t="shared" si="169"/>
        <v>0</v>
      </c>
      <c r="BL201" s="38">
        <f>Inputs!$D$19*(1-Inputs!$C$71*$H201)+Inputs!$D$21+Inputs!$B$71*$J201</f>
        <v>410800</v>
      </c>
      <c r="BM201" s="38">
        <f t="shared" si="170"/>
        <v>-362017.34729487804</v>
      </c>
      <c r="BN201" s="38">
        <f t="shared" si="171"/>
        <v>1</v>
      </c>
      <c r="BO201" s="38">
        <f>MAX(0,MIN(Inputs!$B$36,BT200,BP201+BQ201+BR201+Inputs!$B$6-BS200))</f>
        <v>0</v>
      </c>
      <c r="BP201" s="38">
        <f>Inputs!$B$27*(1+Inputs!$B$28)^($A201/12)*IF(Inputs!$B$72=1,$G201,1)*(1-Inputs!$C$72*$H201*(1-Inputs!$E$54*Inputs!$B$72))*(1+$I201)*IF(Inputs!$B$29=0,1,(MAX(BS200,0)/Inputs!$B$6)^Inputs!$B$29)</f>
        <v>30850.547657205298</v>
      </c>
      <c r="BQ201" s="38">
        <f>Inputs!$B$32*BS200/Inputs!$B$6</f>
        <v>0</v>
      </c>
      <c r="BR201" s="38">
        <f>Inputs!$B$33</f>
        <v>2500</v>
      </c>
      <c r="BS201" s="38">
        <f t="shared" si="172"/>
        <v>0</v>
      </c>
      <c r="BT201" s="38">
        <f t="shared" si="173"/>
        <v>0</v>
      </c>
      <c r="BU201" s="38">
        <f>Inputs!$B$19*(1-Inputs!$C$72*$H201)+Inputs!$B$21+Inputs!$B$72*$J201</f>
        <v>577500</v>
      </c>
      <c r="BV201" s="38">
        <f t="shared" si="174"/>
        <v>-577500</v>
      </c>
      <c r="BW201" s="38">
        <f t="shared" si="175"/>
        <v>1</v>
      </c>
      <c r="BX201" s="38">
        <f>MAX(0,MIN(Inputs!$C$36,CC200,BY201+BZ201+CA201+Inputs!$C$6-CB200))</f>
        <v>0</v>
      </c>
      <c r="BY201" s="38">
        <f>Inputs!$C$27*(1+Inputs!$C$28)^($A201/12)*IF(Inputs!$B$72=1,$G201,1)*(1-Inputs!$C$72*$H201*(1-Inputs!$E$54*Inputs!$B$72))*(1+$I201)*IF(Inputs!$C$29=0,1,(MAX(CB200,0)/Inputs!$C$6)^Inputs!$C$29)</f>
        <v>0</v>
      </c>
      <c r="BZ201" s="38">
        <f>Inputs!$C$32*CB200/Inputs!$C$6</f>
        <v>0</v>
      </c>
      <c r="CA201" s="38">
        <f>Inputs!$C$33</f>
        <v>2000</v>
      </c>
      <c r="CB201" s="38">
        <f t="shared" si="176"/>
        <v>0</v>
      </c>
      <c r="CC201" s="38">
        <f t="shared" si="177"/>
        <v>0</v>
      </c>
      <c r="CD201" s="38">
        <f>Inputs!$C$19*(1-Inputs!$C$72*$H201)+Inputs!$C$21+Inputs!$B$72*$J201</f>
        <v>480000</v>
      </c>
      <c r="CE201" s="38">
        <f t="shared" si="178"/>
        <v>-480000</v>
      </c>
      <c r="CF201" s="38">
        <f t="shared" si="179"/>
        <v>1</v>
      </c>
      <c r="CG201" s="38">
        <f>MAX(0,MIN(Inputs!$D$36,CL200,CH201+CI201+CJ201+Inputs!$D$6-CK200))</f>
        <v>0</v>
      </c>
      <c r="CH201" s="38">
        <f>Inputs!$D$27*(1+Inputs!$D$28)^($A201/12)*IF(Inputs!$B$72=1,$G201,1)*(1-Inputs!$C$72*$H201*(1-Inputs!$E$54*Inputs!$B$72))*(1+$I201)*IF(Inputs!$D$29=0,1,(MAX(CK200,0)/Inputs!$D$6)^Inputs!$D$29)</f>
        <v>738.97277089661486</v>
      </c>
      <c r="CI201" s="38">
        <f>Inputs!$D$32*CK200/Inputs!$D$6</f>
        <v>142.5746305724517</v>
      </c>
      <c r="CJ201" s="38">
        <f>Inputs!$D$33</f>
        <v>1500</v>
      </c>
      <c r="CK201" s="38">
        <f t="shared" si="180"/>
        <v>27491.232337520811</v>
      </c>
      <c r="CL201" s="38">
        <f t="shared" si="181"/>
        <v>0</v>
      </c>
      <c r="CM201" s="38">
        <f>Inputs!$D$19*(1-Inputs!$C$72*$H201)+Inputs!$D$21+Inputs!$B$72*$J201</f>
        <v>392150</v>
      </c>
      <c r="CN201" s="38">
        <f t="shared" si="182"/>
        <v>-364658.76766247919</v>
      </c>
      <c r="CO201" s="38">
        <f t="shared" si="183"/>
        <v>1</v>
      </c>
      <c r="CP201" s="38">
        <f>MAX(0,MIN(Inputs!$B$36,CU200,CQ201+CR201+CS201+Inputs!$B$6-CT200))</f>
        <v>0</v>
      </c>
      <c r="CQ201" s="38">
        <f>Inputs!$B$27*(1+Inputs!$B$28)^($A201/12)*IF(Inputs!$B$73=1,$G201,1)*(1-Inputs!$C$73*$H201*(1-Inputs!$E$54*Inputs!$B$73))*(1+$I201)*IF(Inputs!$B$29=0,1,(MAX(CT200,0)/Inputs!$B$6)^Inputs!$B$29)</f>
        <v>27429.465609366569</v>
      </c>
      <c r="CR201" s="38">
        <f>Inputs!$B$32*CT200/Inputs!$B$6</f>
        <v>0</v>
      </c>
      <c r="CS201" s="38">
        <f>Inputs!$B$33</f>
        <v>2500</v>
      </c>
      <c r="CT201" s="38">
        <f t="shared" si="184"/>
        <v>0</v>
      </c>
      <c r="CU201" s="38">
        <f t="shared" si="185"/>
        <v>0</v>
      </c>
      <c r="CV201" s="38">
        <f>Inputs!$B$19*(1-Inputs!$C$73*$H201)+Inputs!$B$21+Inputs!$B$73*$J201</f>
        <v>583500</v>
      </c>
      <c r="CW201" s="38">
        <f t="shared" si="186"/>
        <v>-583500</v>
      </c>
      <c r="CX201" s="38">
        <f t="shared" si="187"/>
        <v>1</v>
      </c>
      <c r="CY201" s="38">
        <f>MAX(0,MIN(Inputs!$C$36,DD200,CZ201+DA201+DB201+Inputs!$C$6-DC200))</f>
        <v>0</v>
      </c>
      <c r="CZ201" s="38">
        <f>Inputs!$C$27*(1+Inputs!$C$28)^($A201/12)*IF(Inputs!$B$73=1,$G201,1)*(1-Inputs!$C$73*$H201*(1-Inputs!$E$54*Inputs!$B$73))*(1+$I201)*IF(Inputs!$C$29=0,1,(MAX(DC200,0)/Inputs!$C$6)^Inputs!$C$29)</f>
        <v>0</v>
      </c>
      <c r="DA201" s="38">
        <f>Inputs!$C$32*DC200/Inputs!$C$6</f>
        <v>0</v>
      </c>
      <c r="DB201" s="38">
        <f>Inputs!$C$33</f>
        <v>2000</v>
      </c>
      <c r="DC201" s="38">
        <f t="shared" si="188"/>
        <v>0</v>
      </c>
      <c r="DD201" s="38">
        <f t="shared" si="189"/>
        <v>0</v>
      </c>
      <c r="DE201" s="38">
        <f>Inputs!$C$19*(1-Inputs!$C$73*$H201)+Inputs!$C$21+Inputs!$B$73*$J201</f>
        <v>486000</v>
      </c>
      <c r="DF201" s="38">
        <f t="shared" si="190"/>
        <v>-486000</v>
      </c>
      <c r="DG201" s="38">
        <f t="shared" si="191"/>
        <v>1</v>
      </c>
      <c r="DH201" s="38">
        <f>MAX(0,MIN(Inputs!$D$36,DM200,DI201+DJ201+DK201+Inputs!$D$6-DL200))</f>
        <v>0</v>
      </c>
      <c r="DI201" s="38">
        <f>Inputs!$D$27*(1+Inputs!$D$28)^($A201/12)*IF(Inputs!$B$73=1,$G201,1)*(1-Inputs!$C$73*$H201*(1-Inputs!$E$54*Inputs!$B$73))*(1+$I201)*IF(Inputs!$D$29=0,1,(MAX(DL200,0)/Inputs!$D$6)^Inputs!$D$29)</f>
        <v>976.06843527891135</v>
      </c>
      <c r="DJ201" s="38">
        <f>Inputs!$D$32*DL200/Inputs!$D$6</f>
        <v>314.65669917454375</v>
      </c>
      <c r="DK201" s="38">
        <f>Inputs!$D$33</f>
        <v>1500</v>
      </c>
      <c r="DL201" s="38">
        <f t="shared" si="192"/>
        <v>63137.345168784283</v>
      </c>
      <c r="DM201" s="38">
        <f t="shared" si="193"/>
        <v>0</v>
      </c>
      <c r="DN201" s="38">
        <f>Inputs!$D$19*(1-Inputs!$C$73*$H201)+Inputs!$D$21+Inputs!$B$73*$J201</f>
        <v>398150</v>
      </c>
      <c r="DO201" s="38">
        <f t="shared" si="194"/>
        <v>-335012.65483121574</v>
      </c>
      <c r="DP201" s="38">
        <f t="shared" si="195"/>
        <v>1</v>
      </c>
    </row>
    <row r="202" spans="1:120" x14ac:dyDescent="0.35">
      <c r="A202" s="29">
        <v>197</v>
      </c>
      <c r="B202" s="34">
        <f>EDATE(Inputs!$B$67,$A202)</f>
        <v>52263</v>
      </c>
      <c r="C202" s="35">
        <f>IF(Inputs!$E$47&lt;=0,Inputs!$E$46,Inputs!$E$44+(Inputs!$E$46-Inputs!$E$44)*MIN($A202/Inputs!$E$47,1))</f>
        <v>0.7</v>
      </c>
      <c r="D202" s="35">
        <f>MIN(Inputs!$E$57,Inputs!$E$55*(1+Inputs!$E$56)^($A202/12))*Inputs!$E$58*(1+Inputs!$E$59)^($A202/12)/Inputs!$E$45</f>
        <v>1.5</v>
      </c>
      <c r="E202" s="35">
        <f>MAX(Inputs!$E$44,MIN(C202,D202))</f>
        <v>0.7</v>
      </c>
      <c r="F202" s="35">
        <f>IF(Inputs!$E$50&lt;=0,Inputs!$E$49,Inputs!$E$48+(Inputs!$E$49-Inputs!$E$48)*MIN($A202/Inputs!$E$50,1))</f>
        <v>0.12</v>
      </c>
      <c r="G202" s="36">
        <f>(Inputs!$E$41*(1-E202*Inputs!$E$51)+Inputs!$E$42*(1-F202*Inputs!$E$51))/(Inputs!$E$41*(1-Inputs!$E$44*Inputs!$E$51)+Inputs!$E$42*(1-Inputs!$E$48*Inputs!$E$51))</f>
        <v>0.8423127463863338</v>
      </c>
      <c r="H202" s="35">
        <f>IF(Inputs!$E$53&lt;=0,Inputs!$E$52,Inputs!$E$52*MIN($A202/Inputs!$E$53,1))</f>
        <v>0.1</v>
      </c>
      <c r="I202" s="35">
        <f>IF(Inputs!$E$64&lt;=0,Inputs!$E$63,Inputs!$E$62+(Inputs!$E$63-Inputs!$E$62)*MIN($A202/Inputs!$E$64,1))</f>
        <v>0.03</v>
      </c>
      <c r="J202" s="37">
        <f>(E202-Inputs!$E$44)*Inputs!$E$45/Inputs!$E$60*Inputs!$E$61</f>
        <v>5999.9999999999991</v>
      </c>
      <c r="K202" s="29">
        <f t="shared" si="147"/>
        <v>0</v>
      </c>
      <c r="L202" s="29"/>
      <c r="M202" s="38">
        <f>MAX(0,MIN(Inputs!$B$36,R201,N202+O202+P202+Inputs!$B$6-Q201))</f>
        <v>0</v>
      </c>
      <c r="N202" s="38">
        <f>Inputs!$B$27*(1+Inputs!$B$28)^($A202/12)*IF(Inputs!$B$70=1,$G202,1)*(1-Inputs!$C$70*$H202*(1-Inputs!$E$54*Inputs!$B$70))*(1+$I202)*IF(Inputs!$B$29=0,1,(MAX(Q201,0)/Inputs!$B$6)^Inputs!$B$29)</f>
        <v>34418.040674615659</v>
      </c>
      <c r="O202" s="38">
        <f>Inputs!$B$32*Q201/Inputs!$B$6</f>
        <v>0</v>
      </c>
      <c r="P202" s="38">
        <f>Inputs!$B$33</f>
        <v>2500</v>
      </c>
      <c r="Q202" s="38">
        <f t="shared" si="148"/>
        <v>0</v>
      </c>
      <c r="R202" s="38">
        <f t="shared" si="149"/>
        <v>0</v>
      </c>
      <c r="S202" s="38">
        <f>Inputs!$B$19*(1-Inputs!$C$70*$H202)+Inputs!$B$21+Inputs!$B$70*$J202</f>
        <v>595000</v>
      </c>
      <c r="T202" s="38">
        <f t="shared" si="150"/>
        <v>-595000</v>
      </c>
      <c r="U202" s="38">
        <f t="shared" si="151"/>
        <v>1</v>
      </c>
      <c r="V202" s="38">
        <f>MAX(0,MIN(Inputs!$C$36,AA201,W202+X202+Y202+Inputs!$C$6-Z201))</f>
        <v>0</v>
      </c>
      <c r="W202" s="38">
        <f>Inputs!$C$27*(1+Inputs!$C$28)^($A202/12)*IF(Inputs!$B$70=1,$G202,1)*(1-Inputs!$C$70*$H202*(1-Inputs!$E$54*Inputs!$B$70))*(1+$I202)*IF(Inputs!$C$29=0,1,(MAX(Z201,0)/Inputs!$C$6)^Inputs!$C$29)</f>
        <v>0</v>
      </c>
      <c r="X202" s="38">
        <f>Inputs!$C$32*Z201/Inputs!$C$6</f>
        <v>0</v>
      </c>
      <c r="Y202" s="38">
        <f>Inputs!$C$33</f>
        <v>2000</v>
      </c>
      <c r="Z202" s="38">
        <f t="shared" si="152"/>
        <v>0</v>
      </c>
      <c r="AA202" s="38">
        <f t="shared" si="153"/>
        <v>0</v>
      </c>
      <c r="AB202" s="38">
        <f>Inputs!$C$19*(1-Inputs!$C$70*$H202)+Inputs!$C$21+Inputs!$B$70*$J202</f>
        <v>495000</v>
      </c>
      <c r="AC202" s="38">
        <f t="shared" si="154"/>
        <v>-495000</v>
      </c>
      <c r="AD202" s="38">
        <f t="shared" si="155"/>
        <v>1</v>
      </c>
      <c r="AE202" s="38">
        <f>MAX(0,MIN(Inputs!$D$36,AJ201,AF202+AG202+AH202+Inputs!$D$6-AI201))</f>
        <v>0</v>
      </c>
      <c r="AF202" s="38">
        <f>Inputs!$D$27*(1+Inputs!$D$28)^($A202/12)*IF(Inputs!$B$70=1,$G202,1)*(1-Inputs!$C$70*$H202*(1-Inputs!$E$54*Inputs!$B$70))*(1+$I202)*IF(Inputs!$D$29=0,1,(MAX(AI201,0)/Inputs!$D$6)^Inputs!$D$29)</f>
        <v>259.67469486509378</v>
      </c>
      <c r="AG202" s="38">
        <f>Inputs!$D$32*AI201/Inputs!$D$6</f>
        <v>14.382765310226524</v>
      </c>
      <c r="AH202" s="38">
        <f>Inputs!$D$33</f>
        <v>1500</v>
      </c>
      <c r="AI202" s="38">
        <f t="shared" si="156"/>
        <v>1239.474319110237</v>
      </c>
      <c r="AJ202" s="38">
        <f t="shared" si="157"/>
        <v>0</v>
      </c>
      <c r="AK202" s="38">
        <f>Inputs!$D$19*(1-Inputs!$C$70*$H202)+Inputs!$D$21+Inputs!$B$70*$J202</f>
        <v>404800</v>
      </c>
      <c r="AL202" s="38">
        <f t="shared" si="158"/>
        <v>-403560.52568088978</v>
      </c>
      <c r="AM202" s="38">
        <f t="shared" si="159"/>
        <v>1</v>
      </c>
      <c r="AN202" s="38">
        <f>MAX(0,MIN(Inputs!$B$36,AS201,AO202+AP202+AQ202+Inputs!$B$6-AR201))</f>
        <v>0</v>
      </c>
      <c r="AO202" s="38">
        <f>Inputs!$B$27*(1+Inputs!$B$28)^($A202/12)*IF(Inputs!$B$71=1,$G202,1)*(1-Inputs!$C$71*$H202*(1-Inputs!$E$54*Inputs!$B$71))*(1+$I202)*IF(Inputs!$B$29=0,1,(MAX(AR201,0)/Inputs!$B$6)^Inputs!$B$29)</f>
        <v>28990.754365872061</v>
      </c>
      <c r="AP202" s="38">
        <f>Inputs!$B$32*AR201/Inputs!$B$6</f>
        <v>0</v>
      </c>
      <c r="AQ202" s="38">
        <f>Inputs!$B$33</f>
        <v>2500</v>
      </c>
      <c r="AR202" s="38">
        <f t="shared" si="160"/>
        <v>0</v>
      </c>
      <c r="AS202" s="38">
        <f t="shared" si="161"/>
        <v>0</v>
      </c>
      <c r="AT202" s="38">
        <f>Inputs!$B$19*(1-Inputs!$C$71*$H202)+Inputs!$B$21+Inputs!$B$71*$J202</f>
        <v>601000</v>
      </c>
      <c r="AU202" s="38">
        <f t="shared" si="162"/>
        <v>-601000</v>
      </c>
      <c r="AV202" s="38">
        <f t="shared" si="163"/>
        <v>1</v>
      </c>
      <c r="AW202" s="38">
        <f>MAX(0,MIN(Inputs!$C$36,BB201,AX202+AY202+AZ202+Inputs!$C$6-BA201))</f>
        <v>0</v>
      </c>
      <c r="AX202" s="38">
        <f>Inputs!$C$27*(1+Inputs!$C$28)^($A202/12)*IF(Inputs!$B$71=1,$G202,1)*(1-Inputs!$C$71*$H202*(1-Inputs!$E$54*Inputs!$B$71))*(1+$I202)*IF(Inputs!$C$29=0,1,(MAX(BA201,0)/Inputs!$C$6)^Inputs!$C$29)</f>
        <v>0</v>
      </c>
      <c r="AY202" s="38">
        <f>Inputs!$C$32*BA201/Inputs!$C$6</f>
        <v>0</v>
      </c>
      <c r="AZ202" s="38">
        <f>Inputs!$C$33</f>
        <v>2000</v>
      </c>
      <c r="BA202" s="38">
        <f t="shared" si="164"/>
        <v>0</v>
      </c>
      <c r="BB202" s="38">
        <f t="shared" si="165"/>
        <v>0</v>
      </c>
      <c r="BC202" s="38">
        <f>Inputs!$C$19*(1-Inputs!$C$71*$H202)+Inputs!$C$21+Inputs!$B$71*$J202</f>
        <v>501000</v>
      </c>
      <c r="BD202" s="38">
        <f t="shared" si="166"/>
        <v>-501000</v>
      </c>
      <c r="BE202" s="38">
        <f t="shared" si="167"/>
        <v>1</v>
      </c>
      <c r="BF202" s="38">
        <f>MAX(0,MIN(Inputs!$D$36,BK201,BG202+BH202+BI202+Inputs!$D$6-BJ201))</f>
        <v>0</v>
      </c>
      <c r="BG202" s="38">
        <f>Inputs!$D$27*(1+Inputs!$D$28)^($A202/12)*IF(Inputs!$B$71=1,$G202,1)*(1-Inputs!$C$71*$H202*(1-Inputs!$E$54*Inputs!$B$71))*(1+$I202)*IF(Inputs!$D$29=0,1,(MAX(BJ201,0)/Inputs!$D$6)^Inputs!$D$29)</f>
        <v>880.03069671888056</v>
      </c>
      <c r="BH202" s="38">
        <f>Inputs!$D$32*BJ201/Inputs!$D$6</f>
        <v>232.82629700171839</v>
      </c>
      <c r="BI202" s="38">
        <f>Inputs!$D$33</f>
        <v>1500</v>
      </c>
      <c r="BJ202" s="38">
        <f t="shared" si="168"/>
        <v>46169.795711401348</v>
      </c>
      <c r="BK202" s="38">
        <f t="shared" si="169"/>
        <v>0</v>
      </c>
      <c r="BL202" s="38">
        <f>Inputs!$D$19*(1-Inputs!$C$71*$H202)+Inputs!$D$21+Inputs!$B$71*$J202</f>
        <v>410800</v>
      </c>
      <c r="BM202" s="38">
        <f t="shared" si="170"/>
        <v>-364630.20428859867</v>
      </c>
      <c r="BN202" s="38">
        <f t="shared" si="171"/>
        <v>1</v>
      </c>
      <c r="BO202" s="38">
        <f>MAX(0,MIN(Inputs!$B$36,BT201,BP202+BQ202+BR202+Inputs!$B$6-BS201))</f>
        <v>0</v>
      </c>
      <c r="BP202" s="38">
        <f>Inputs!$B$27*(1+Inputs!$B$28)^($A202/12)*IF(Inputs!$B$72=1,$G202,1)*(1-Inputs!$C$72*$H202*(1-Inputs!$E$54*Inputs!$B$72))*(1+$I202)*IF(Inputs!$B$29=0,1,(MAX(BS201,0)/Inputs!$B$6)^Inputs!$B$29)</f>
        <v>30976.236607154093</v>
      </c>
      <c r="BQ202" s="38">
        <f>Inputs!$B$32*BS201/Inputs!$B$6</f>
        <v>0</v>
      </c>
      <c r="BR202" s="38">
        <f>Inputs!$B$33</f>
        <v>2500</v>
      </c>
      <c r="BS202" s="38">
        <f t="shared" si="172"/>
        <v>0</v>
      </c>
      <c r="BT202" s="38">
        <f t="shared" si="173"/>
        <v>0</v>
      </c>
      <c r="BU202" s="38">
        <f>Inputs!$B$19*(1-Inputs!$C$72*$H202)+Inputs!$B$21+Inputs!$B$72*$J202</f>
        <v>577500</v>
      </c>
      <c r="BV202" s="38">
        <f t="shared" si="174"/>
        <v>-577500</v>
      </c>
      <c r="BW202" s="38">
        <f t="shared" si="175"/>
        <v>1</v>
      </c>
      <c r="BX202" s="38">
        <f>MAX(0,MIN(Inputs!$C$36,CC201,BY202+BZ202+CA202+Inputs!$C$6-CB201))</f>
        <v>0</v>
      </c>
      <c r="BY202" s="38">
        <f>Inputs!$C$27*(1+Inputs!$C$28)^($A202/12)*IF(Inputs!$B$72=1,$G202,1)*(1-Inputs!$C$72*$H202*(1-Inputs!$E$54*Inputs!$B$72))*(1+$I202)*IF(Inputs!$C$29=0,1,(MAX(CB201,0)/Inputs!$C$6)^Inputs!$C$29)</f>
        <v>0</v>
      </c>
      <c r="BZ202" s="38">
        <f>Inputs!$C$32*CB201/Inputs!$C$6</f>
        <v>0</v>
      </c>
      <c r="CA202" s="38">
        <f>Inputs!$C$33</f>
        <v>2000</v>
      </c>
      <c r="CB202" s="38">
        <f t="shared" si="176"/>
        <v>0</v>
      </c>
      <c r="CC202" s="38">
        <f t="shared" si="177"/>
        <v>0</v>
      </c>
      <c r="CD202" s="38">
        <f>Inputs!$C$19*(1-Inputs!$C$72*$H202)+Inputs!$C$21+Inputs!$B$72*$J202</f>
        <v>480000</v>
      </c>
      <c r="CE202" s="38">
        <f t="shared" si="178"/>
        <v>-480000</v>
      </c>
      <c r="CF202" s="38">
        <f t="shared" si="179"/>
        <v>1</v>
      </c>
      <c r="CG202" s="38">
        <f>MAX(0,MIN(Inputs!$D$36,CL201,CH202+CI202+CJ202+Inputs!$D$6-CK201))</f>
        <v>0</v>
      </c>
      <c r="CH202" s="38">
        <f>Inputs!$D$27*(1+Inputs!$D$28)^($A202/12)*IF(Inputs!$B$72=1,$G202,1)*(1-Inputs!$C$72*$H202*(1-Inputs!$E$54*Inputs!$B$72))*(1+$I202)*IF(Inputs!$D$29=0,1,(MAX(CK201,0)/Inputs!$D$6)^Inputs!$D$29)</f>
        <v>705.88077796962659</v>
      </c>
      <c r="CI202" s="38">
        <f>Inputs!$D$32*CK201/Inputs!$D$6</f>
        <v>131.2081543381675</v>
      </c>
      <c r="CJ202" s="38">
        <f>Inputs!$D$33</f>
        <v>1500</v>
      </c>
      <c r="CK202" s="38">
        <f t="shared" si="180"/>
        <v>25154.143405213017</v>
      </c>
      <c r="CL202" s="38">
        <f t="shared" si="181"/>
        <v>0</v>
      </c>
      <c r="CM202" s="38">
        <f>Inputs!$D$19*(1-Inputs!$C$72*$H202)+Inputs!$D$21+Inputs!$B$72*$J202</f>
        <v>392150</v>
      </c>
      <c r="CN202" s="38">
        <f t="shared" si="182"/>
        <v>-366995.85659478698</v>
      </c>
      <c r="CO202" s="38">
        <f t="shared" si="183"/>
        <v>1</v>
      </c>
      <c r="CP202" s="38">
        <f>MAX(0,MIN(Inputs!$B$36,CU201,CQ202+CR202+CS202+Inputs!$B$6-CT201))</f>
        <v>0</v>
      </c>
      <c r="CQ202" s="38">
        <f>Inputs!$B$27*(1+Inputs!$B$28)^($A202/12)*IF(Inputs!$B$73=1,$G202,1)*(1-Inputs!$C$73*$H202*(1-Inputs!$E$54*Inputs!$B$73))*(1+$I202)*IF(Inputs!$B$29=0,1,(MAX(CT201,0)/Inputs!$B$6)^Inputs!$B$29)</f>
        <v>27541.216647578458</v>
      </c>
      <c r="CR202" s="38">
        <f>Inputs!$B$32*CT201/Inputs!$B$6</f>
        <v>0</v>
      </c>
      <c r="CS202" s="38">
        <f>Inputs!$B$33</f>
        <v>2500</v>
      </c>
      <c r="CT202" s="38">
        <f t="shared" si="184"/>
        <v>0</v>
      </c>
      <c r="CU202" s="38">
        <f t="shared" si="185"/>
        <v>0</v>
      </c>
      <c r="CV202" s="38">
        <f>Inputs!$B$19*(1-Inputs!$C$73*$H202)+Inputs!$B$21+Inputs!$B$73*$J202</f>
        <v>583500</v>
      </c>
      <c r="CW202" s="38">
        <f t="shared" si="186"/>
        <v>-583500</v>
      </c>
      <c r="CX202" s="38">
        <f t="shared" si="187"/>
        <v>1</v>
      </c>
      <c r="CY202" s="38">
        <f>MAX(0,MIN(Inputs!$C$36,DD201,CZ202+DA202+DB202+Inputs!$C$6-DC201))</f>
        <v>0</v>
      </c>
      <c r="CZ202" s="38">
        <f>Inputs!$C$27*(1+Inputs!$C$28)^($A202/12)*IF(Inputs!$B$73=1,$G202,1)*(1-Inputs!$C$73*$H202*(1-Inputs!$E$54*Inputs!$B$73))*(1+$I202)*IF(Inputs!$C$29=0,1,(MAX(DC201,0)/Inputs!$C$6)^Inputs!$C$29)</f>
        <v>0</v>
      </c>
      <c r="DA202" s="38">
        <f>Inputs!$C$32*DC201/Inputs!$C$6</f>
        <v>0</v>
      </c>
      <c r="DB202" s="38">
        <f>Inputs!$C$33</f>
        <v>2000</v>
      </c>
      <c r="DC202" s="38">
        <f t="shared" si="188"/>
        <v>0</v>
      </c>
      <c r="DD202" s="38">
        <f t="shared" si="189"/>
        <v>0</v>
      </c>
      <c r="DE202" s="38">
        <f>Inputs!$C$19*(1-Inputs!$C$73*$H202)+Inputs!$C$21+Inputs!$B$73*$J202</f>
        <v>486000</v>
      </c>
      <c r="DF202" s="38">
        <f t="shared" si="190"/>
        <v>-486000</v>
      </c>
      <c r="DG202" s="38">
        <f t="shared" si="191"/>
        <v>1</v>
      </c>
      <c r="DH202" s="38">
        <f>MAX(0,MIN(Inputs!$D$36,DM201,DI202+DJ202+DK202+Inputs!$D$6-DL201))</f>
        <v>0</v>
      </c>
      <c r="DI202" s="38">
        <f>Inputs!$D$27*(1+Inputs!$D$28)^($A202/12)*IF(Inputs!$B$73=1,$G202,1)*(1-Inputs!$C$73*$H202*(1-Inputs!$E$54*Inputs!$B$73))*(1+$I202)*IF(Inputs!$D$29=0,1,(MAX(DL201,0)/Inputs!$D$6)^Inputs!$D$29)</f>
        <v>951.11247587127673</v>
      </c>
      <c r="DJ202" s="38">
        <f>Inputs!$D$32*DL201/Inputs!$D$6</f>
        <v>301.33732921465224</v>
      </c>
      <c r="DK202" s="38">
        <f>Inputs!$D$33</f>
        <v>1500</v>
      </c>
      <c r="DL202" s="38">
        <f t="shared" si="192"/>
        <v>60384.895363698357</v>
      </c>
      <c r="DM202" s="38">
        <f t="shared" si="193"/>
        <v>0</v>
      </c>
      <c r="DN202" s="38">
        <f>Inputs!$D$19*(1-Inputs!$C$73*$H202)+Inputs!$D$21+Inputs!$B$73*$J202</f>
        <v>398150</v>
      </c>
      <c r="DO202" s="38">
        <f t="shared" si="194"/>
        <v>-337765.10463630164</v>
      </c>
      <c r="DP202" s="38">
        <f t="shared" si="195"/>
        <v>1</v>
      </c>
    </row>
    <row r="203" spans="1:120" x14ac:dyDescent="0.35">
      <c r="A203" s="29">
        <v>198</v>
      </c>
      <c r="B203" s="34">
        <f>EDATE(Inputs!$B$67,$A203)</f>
        <v>52291</v>
      </c>
      <c r="C203" s="35">
        <f>IF(Inputs!$E$47&lt;=0,Inputs!$E$46,Inputs!$E$44+(Inputs!$E$46-Inputs!$E$44)*MIN($A203/Inputs!$E$47,1))</f>
        <v>0.7</v>
      </c>
      <c r="D203" s="35">
        <f>MIN(Inputs!$E$57,Inputs!$E$55*(1+Inputs!$E$56)^($A203/12))*Inputs!$E$58*(1+Inputs!$E$59)^($A203/12)/Inputs!$E$45</f>
        <v>1.5</v>
      </c>
      <c r="E203" s="35">
        <f>MAX(Inputs!$E$44,MIN(C203,D203))</f>
        <v>0.7</v>
      </c>
      <c r="F203" s="35">
        <f>IF(Inputs!$E$50&lt;=0,Inputs!$E$49,Inputs!$E$48+(Inputs!$E$49-Inputs!$E$48)*MIN($A203/Inputs!$E$50,1))</f>
        <v>0.12</v>
      </c>
      <c r="G203" s="36">
        <f>(Inputs!$E$41*(1-E203*Inputs!$E$51)+Inputs!$E$42*(1-F203*Inputs!$E$51))/(Inputs!$E$41*(1-Inputs!$E$44*Inputs!$E$51)+Inputs!$E$42*(1-Inputs!$E$48*Inputs!$E$51))</f>
        <v>0.8423127463863338</v>
      </c>
      <c r="H203" s="35">
        <f>IF(Inputs!$E$53&lt;=0,Inputs!$E$52,Inputs!$E$52*MIN($A203/Inputs!$E$53,1))</f>
        <v>0.1</v>
      </c>
      <c r="I203" s="35">
        <f>IF(Inputs!$E$64&lt;=0,Inputs!$E$63,Inputs!$E$62+(Inputs!$E$63-Inputs!$E$62)*MIN($A203/Inputs!$E$64,1))</f>
        <v>0.03</v>
      </c>
      <c r="J203" s="37">
        <f>(E203-Inputs!$E$44)*Inputs!$E$45/Inputs!$E$60*Inputs!$E$61</f>
        <v>5999.9999999999991</v>
      </c>
      <c r="K203" s="29">
        <f t="shared" si="147"/>
        <v>0</v>
      </c>
      <c r="L203" s="29"/>
      <c r="M203" s="38">
        <f>MAX(0,MIN(Inputs!$B$36,R202,N203+O203+P203+Inputs!$B$6-Q202))</f>
        <v>0</v>
      </c>
      <c r="N203" s="38">
        <f>Inputs!$B$27*(1+Inputs!$B$28)^($A203/12)*IF(Inputs!$B$70=1,$G203,1)*(1-Inputs!$C$70*$H203*(1-Inputs!$E$54*Inputs!$B$70))*(1+$I203)*IF(Inputs!$B$29=0,1,(MAX(Q202,0)/Inputs!$B$6)^Inputs!$B$29)</f>
        <v>34558.264032714695</v>
      </c>
      <c r="O203" s="38">
        <f>Inputs!$B$32*Q202/Inputs!$B$6</f>
        <v>0</v>
      </c>
      <c r="P203" s="38">
        <f>Inputs!$B$33</f>
        <v>2500</v>
      </c>
      <c r="Q203" s="38">
        <f t="shared" si="148"/>
        <v>0</v>
      </c>
      <c r="R203" s="38">
        <f t="shared" si="149"/>
        <v>0</v>
      </c>
      <c r="S203" s="38">
        <f>Inputs!$B$19*(1-Inputs!$C$70*$H203)+Inputs!$B$21+Inputs!$B$70*$J203</f>
        <v>595000</v>
      </c>
      <c r="T203" s="38">
        <f t="shared" si="150"/>
        <v>-595000</v>
      </c>
      <c r="U203" s="38">
        <f t="shared" si="151"/>
        <v>1</v>
      </c>
      <c r="V203" s="38">
        <f>MAX(0,MIN(Inputs!$C$36,AA202,W203+X203+Y203+Inputs!$C$6-Z202))</f>
        <v>0</v>
      </c>
      <c r="W203" s="38">
        <f>Inputs!$C$27*(1+Inputs!$C$28)^($A203/12)*IF(Inputs!$B$70=1,$G203,1)*(1-Inputs!$C$70*$H203*(1-Inputs!$E$54*Inputs!$B$70))*(1+$I203)*IF(Inputs!$C$29=0,1,(MAX(Z202,0)/Inputs!$C$6)^Inputs!$C$29)</f>
        <v>0</v>
      </c>
      <c r="X203" s="38">
        <f>Inputs!$C$32*Z202/Inputs!$C$6</f>
        <v>0</v>
      </c>
      <c r="Y203" s="38">
        <f>Inputs!$C$33</f>
        <v>2000</v>
      </c>
      <c r="Z203" s="38">
        <f t="shared" si="152"/>
        <v>0</v>
      </c>
      <c r="AA203" s="38">
        <f t="shared" si="153"/>
        <v>0</v>
      </c>
      <c r="AB203" s="38">
        <f>Inputs!$C$19*(1-Inputs!$C$70*$H203)+Inputs!$C$21+Inputs!$B$70*$J203</f>
        <v>495000</v>
      </c>
      <c r="AC203" s="38">
        <f t="shared" si="154"/>
        <v>-495000</v>
      </c>
      <c r="AD203" s="38">
        <f t="shared" si="155"/>
        <v>1</v>
      </c>
      <c r="AE203" s="38">
        <f>MAX(0,MIN(Inputs!$D$36,AJ202,AF203+AG203+AH203+Inputs!$D$6-AI202))</f>
        <v>0</v>
      </c>
      <c r="AF203" s="38">
        <f>Inputs!$D$27*(1+Inputs!$D$28)^($A203/12)*IF(Inputs!$B$70=1,$G203,1)*(1-Inputs!$C$70*$H203*(1-Inputs!$E$54*Inputs!$B$70))*(1+$I203)*IF(Inputs!$D$29=0,1,(MAX(AI202,0)/Inputs!$D$6)^Inputs!$D$29)</f>
        <v>165.82657939778119</v>
      </c>
      <c r="AG203" s="38">
        <f>Inputs!$D$32*AI202/Inputs!$D$6</f>
        <v>5.9156728866624952</v>
      </c>
      <c r="AH203" s="38">
        <f>Inputs!$D$33</f>
        <v>1500</v>
      </c>
      <c r="AI203" s="38">
        <f t="shared" si="156"/>
        <v>0</v>
      </c>
      <c r="AJ203" s="38">
        <f t="shared" si="157"/>
        <v>0</v>
      </c>
      <c r="AK203" s="38">
        <f>Inputs!$D$19*(1-Inputs!$C$70*$H203)+Inputs!$D$21+Inputs!$B$70*$J203</f>
        <v>404800</v>
      </c>
      <c r="AL203" s="38">
        <f t="shared" si="158"/>
        <v>-404800</v>
      </c>
      <c r="AM203" s="38">
        <f t="shared" si="159"/>
        <v>1</v>
      </c>
      <c r="AN203" s="38">
        <f>MAX(0,MIN(Inputs!$B$36,AS202,AO203+AP203+AQ203+Inputs!$B$6-AR202))</f>
        <v>0</v>
      </c>
      <c r="AO203" s="38">
        <f>Inputs!$B$27*(1+Inputs!$B$28)^($A203/12)*IF(Inputs!$B$71=1,$G203,1)*(1-Inputs!$C$71*$H203*(1-Inputs!$E$54*Inputs!$B$71))*(1+$I203)*IF(Inputs!$B$29=0,1,(MAX(AR202,0)/Inputs!$B$6)^Inputs!$B$29)</f>
        <v>29108.866287739973</v>
      </c>
      <c r="AP203" s="38">
        <f>Inputs!$B$32*AR202/Inputs!$B$6</f>
        <v>0</v>
      </c>
      <c r="AQ203" s="38">
        <f>Inputs!$B$33</f>
        <v>2500</v>
      </c>
      <c r="AR203" s="38">
        <f t="shared" si="160"/>
        <v>0</v>
      </c>
      <c r="AS203" s="38">
        <f t="shared" si="161"/>
        <v>0</v>
      </c>
      <c r="AT203" s="38">
        <f>Inputs!$B$19*(1-Inputs!$C$71*$H203)+Inputs!$B$21+Inputs!$B$71*$J203</f>
        <v>601000</v>
      </c>
      <c r="AU203" s="38">
        <f t="shared" si="162"/>
        <v>-601000</v>
      </c>
      <c r="AV203" s="38">
        <f t="shared" si="163"/>
        <v>1</v>
      </c>
      <c r="AW203" s="38">
        <f>MAX(0,MIN(Inputs!$C$36,BB202,AX203+AY203+AZ203+Inputs!$C$6-BA202))</f>
        <v>0</v>
      </c>
      <c r="AX203" s="38">
        <f>Inputs!$C$27*(1+Inputs!$C$28)^($A203/12)*IF(Inputs!$B$71=1,$G203,1)*(1-Inputs!$C$71*$H203*(1-Inputs!$E$54*Inputs!$B$71))*(1+$I203)*IF(Inputs!$C$29=0,1,(MAX(BA202,0)/Inputs!$C$6)^Inputs!$C$29)</f>
        <v>0</v>
      </c>
      <c r="AY203" s="38">
        <f>Inputs!$C$32*BA202/Inputs!$C$6</f>
        <v>0</v>
      </c>
      <c r="AZ203" s="38">
        <f>Inputs!$C$33</f>
        <v>2000</v>
      </c>
      <c r="BA203" s="38">
        <f t="shared" si="164"/>
        <v>0</v>
      </c>
      <c r="BB203" s="38">
        <f t="shared" si="165"/>
        <v>0</v>
      </c>
      <c r="BC203" s="38">
        <f>Inputs!$C$19*(1-Inputs!$C$71*$H203)+Inputs!$C$21+Inputs!$B$71*$J203</f>
        <v>501000</v>
      </c>
      <c r="BD203" s="38">
        <f t="shared" si="166"/>
        <v>-501000</v>
      </c>
      <c r="BE203" s="38">
        <f t="shared" si="167"/>
        <v>1</v>
      </c>
      <c r="BF203" s="38">
        <f>MAX(0,MIN(Inputs!$D$36,BK202,BG203+BH203+BI203+Inputs!$D$6-BJ202))</f>
        <v>0</v>
      </c>
      <c r="BG203" s="38">
        <f>Inputs!$D$27*(1+Inputs!$D$28)^($A203/12)*IF(Inputs!$B$71=1,$G203,1)*(1-Inputs!$C$71*$H203*(1-Inputs!$E$54*Inputs!$B$71))*(1+$I203)*IF(Inputs!$D$29=0,1,(MAX(BJ202,0)/Inputs!$D$6)^Inputs!$D$29)</f>
        <v>852.48692180465684</v>
      </c>
      <c r="BH203" s="38">
        <f>Inputs!$D$32*BJ202/Inputs!$D$6</f>
        <v>220.35584316805188</v>
      </c>
      <c r="BI203" s="38">
        <f>Inputs!$D$33</f>
        <v>1500</v>
      </c>
      <c r="BJ203" s="38">
        <f t="shared" si="168"/>
        <v>43596.952946428639</v>
      </c>
      <c r="BK203" s="38">
        <f t="shared" si="169"/>
        <v>0</v>
      </c>
      <c r="BL203" s="38">
        <f>Inputs!$D$19*(1-Inputs!$C$71*$H203)+Inputs!$D$21+Inputs!$B$71*$J203</f>
        <v>410800</v>
      </c>
      <c r="BM203" s="38">
        <f t="shared" si="170"/>
        <v>-367203.04705357138</v>
      </c>
      <c r="BN203" s="38">
        <f t="shared" si="171"/>
        <v>1</v>
      </c>
      <c r="BO203" s="38">
        <f>MAX(0,MIN(Inputs!$B$36,BT202,BP203+BQ203+BR203+Inputs!$B$6-BS202))</f>
        <v>0</v>
      </c>
      <c r="BP203" s="38">
        <f>Inputs!$B$27*(1+Inputs!$B$28)^($A203/12)*IF(Inputs!$B$72=1,$G203,1)*(1-Inputs!$C$72*$H203*(1-Inputs!$E$54*Inputs!$B$72))*(1+$I203)*IF(Inputs!$B$29=0,1,(MAX(BS202,0)/Inputs!$B$6)^Inputs!$B$29)</f>
        <v>31102.437629443222</v>
      </c>
      <c r="BQ203" s="38">
        <f>Inputs!$B$32*BS202/Inputs!$B$6</f>
        <v>0</v>
      </c>
      <c r="BR203" s="38">
        <f>Inputs!$B$33</f>
        <v>2500</v>
      </c>
      <c r="BS203" s="38">
        <f t="shared" si="172"/>
        <v>0</v>
      </c>
      <c r="BT203" s="38">
        <f t="shared" si="173"/>
        <v>0</v>
      </c>
      <c r="BU203" s="38">
        <f>Inputs!$B$19*(1-Inputs!$C$72*$H203)+Inputs!$B$21+Inputs!$B$72*$J203</f>
        <v>577500</v>
      </c>
      <c r="BV203" s="38">
        <f t="shared" si="174"/>
        <v>-577500</v>
      </c>
      <c r="BW203" s="38">
        <f t="shared" si="175"/>
        <v>1</v>
      </c>
      <c r="BX203" s="38">
        <f>MAX(0,MIN(Inputs!$C$36,CC202,BY203+BZ203+CA203+Inputs!$C$6-CB202))</f>
        <v>0</v>
      </c>
      <c r="BY203" s="38">
        <f>Inputs!$C$27*(1+Inputs!$C$28)^($A203/12)*IF(Inputs!$B$72=1,$G203,1)*(1-Inputs!$C$72*$H203*(1-Inputs!$E$54*Inputs!$B$72))*(1+$I203)*IF(Inputs!$C$29=0,1,(MAX(CB202,0)/Inputs!$C$6)^Inputs!$C$29)</f>
        <v>0</v>
      </c>
      <c r="BZ203" s="38">
        <f>Inputs!$C$32*CB202/Inputs!$C$6</f>
        <v>0</v>
      </c>
      <c r="CA203" s="38">
        <f>Inputs!$C$33</f>
        <v>2000</v>
      </c>
      <c r="CB203" s="38">
        <f t="shared" si="176"/>
        <v>0</v>
      </c>
      <c r="CC203" s="38">
        <f t="shared" si="177"/>
        <v>0</v>
      </c>
      <c r="CD203" s="38">
        <f>Inputs!$C$19*(1-Inputs!$C$72*$H203)+Inputs!$C$21+Inputs!$B$72*$J203</f>
        <v>480000</v>
      </c>
      <c r="CE203" s="38">
        <f t="shared" si="178"/>
        <v>-480000</v>
      </c>
      <c r="CF203" s="38">
        <f t="shared" si="179"/>
        <v>1</v>
      </c>
      <c r="CG203" s="38">
        <f>MAX(0,MIN(Inputs!$D$36,CL202,CH203+CI203+CJ203+Inputs!$D$6-CK202))</f>
        <v>0</v>
      </c>
      <c r="CH203" s="38">
        <f>Inputs!$D$27*(1+Inputs!$D$28)^($A203/12)*IF(Inputs!$B$72=1,$G203,1)*(1-Inputs!$C$72*$H203*(1-Inputs!$E$54*Inputs!$B$72))*(1+$I203)*IF(Inputs!$D$29=0,1,(MAX(CK202,0)/Inputs!$D$6)^Inputs!$D$29)</f>
        <v>672.33024967842698</v>
      </c>
      <c r="CI203" s="38">
        <f>Inputs!$D$32*CK202/Inputs!$D$6</f>
        <v>120.05386625215303</v>
      </c>
      <c r="CJ203" s="38">
        <f>Inputs!$D$33</f>
        <v>1500</v>
      </c>
      <c r="CK203" s="38">
        <f t="shared" si="180"/>
        <v>22861.759289282436</v>
      </c>
      <c r="CL203" s="38">
        <f t="shared" si="181"/>
        <v>0</v>
      </c>
      <c r="CM203" s="38">
        <f>Inputs!$D$19*(1-Inputs!$C$72*$H203)+Inputs!$D$21+Inputs!$B$72*$J203</f>
        <v>392150</v>
      </c>
      <c r="CN203" s="38">
        <f t="shared" si="182"/>
        <v>-369288.24071071757</v>
      </c>
      <c r="CO203" s="38">
        <f t="shared" si="183"/>
        <v>1</v>
      </c>
      <c r="CP203" s="38">
        <f>MAX(0,MIN(Inputs!$B$36,CU202,CQ203+CR203+CS203+Inputs!$B$6-CT202))</f>
        <v>0</v>
      </c>
      <c r="CQ203" s="38">
        <f>Inputs!$B$27*(1+Inputs!$B$28)^($A203/12)*IF(Inputs!$B$73=1,$G203,1)*(1-Inputs!$C$73*$H203*(1-Inputs!$E$54*Inputs!$B$73))*(1+$I203)*IF(Inputs!$B$29=0,1,(MAX(CT202,0)/Inputs!$B$6)^Inputs!$B$29)</f>
        <v>27653.422973352972</v>
      </c>
      <c r="CR203" s="38">
        <f>Inputs!$B$32*CT202/Inputs!$B$6</f>
        <v>0</v>
      </c>
      <c r="CS203" s="38">
        <f>Inputs!$B$33</f>
        <v>2500</v>
      </c>
      <c r="CT203" s="38">
        <f t="shared" si="184"/>
        <v>0</v>
      </c>
      <c r="CU203" s="38">
        <f t="shared" si="185"/>
        <v>0</v>
      </c>
      <c r="CV203" s="38">
        <f>Inputs!$B$19*(1-Inputs!$C$73*$H203)+Inputs!$B$21+Inputs!$B$73*$J203</f>
        <v>583500</v>
      </c>
      <c r="CW203" s="38">
        <f t="shared" si="186"/>
        <v>-583500</v>
      </c>
      <c r="CX203" s="38">
        <f t="shared" si="187"/>
        <v>1</v>
      </c>
      <c r="CY203" s="38">
        <f>MAX(0,MIN(Inputs!$C$36,DD202,CZ203+DA203+DB203+Inputs!$C$6-DC202))</f>
        <v>0</v>
      </c>
      <c r="CZ203" s="38">
        <f>Inputs!$C$27*(1+Inputs!$C$28)^($A203/12)*IF(Inputs!$B$73=1,$G203,1)*(1-Inputs!$C$73*$H203*(1-Inputs!$E$54*Inputs!$B$73))*(1+$I203)*IF(Inputs!$C$29=0,1,(MAX(DC202,0)/Inputs!$C$6)^Inputs!$C$29)</f>
        <v>0</v>
      </c>
      <c r="DA203" s="38">
        <f>Inputs!$C$32*DC202/Inputs!$C$6</f>
        <v>0</v>
      </c>
      <c r="DB203" s="38">
        <f>Inputs!$C$33</f>
        <v>2000</v>
      </c>
      <c r="DC203" s="38">
        <f t="shared" si="188"/>
        <v>0</v>
      </c>
      <c r="DD203" s="38">
        <f t="shared" si="189"/>
        <v>0</v>
      </c>
      <c r="DE203" s="38">
        <f>Inputs!$C$19*(1-Inputs!$C$73*$H203)+Inputs!$C$21+Inputs!$B$73*$J203</f>
        <v>486000</v>
      </c>
      <c r="DF203" s="38">
        <f t="shared" si="190"/>
        <v>-486000</v>
      </c>
      <c r="DG203" s="38">
        <f t="shared" si="191"/>
        <v>1</v>
      </c>
      <c r="DH203" s="38">
        <f>MAX(0,MIN(Inputs!$D$36,DM202,DI203+DJ203+DK203+Inputs!$D$6-DL202))</f>
        <v>0</v>
      </c>
      <c r="DI203" s="38">
        <f>Inputs!$D$27*(1+Inputs!$D$28)^($A203/12)*IF(Inputs!$B$73=1,$G203,1)*(1-Inputs!$C$73*$H203*(1-Inputs!$E$54*Inputs!$B$73))*(1+$I203)*IF(Inputs!$D$29=0,1,(MAX(DL202,0)/Inputs!$D$6)^Inputs!$D$29)</f>
        <v>926.18237658689054</v>
      </c>
      <c r="DJ203" s="38">
        <f>Inputs!$D$32*DL202/Inputs!$D$6</f>
        <v>288.20063696310581</v>
      </c>
      <c r="DK203" s="38">
        <f>Inputs!$D$33</f>
        <v>1500</v>
      </c>
      <c r="DL203" s="38">
        <f t="shared" si="192"/>
        <v>57670.512350148361</v>
      </c>
      <c r="DM203" s="38">
        <f t="shared" si="193"/>
        <v>0</v>
      </c>
      <c r="DN203" s="38">
        <f>Inputs!$D$19*(1-Inputs!$C$73*$H203)+Inputs!$D$21+Inputs!$B$73*$J203</f>
        <v>398150</v>
      </c>
      <c r="DO203" s="38">
        <f t="shared" si="194"/>
        <v>-340479.48764985165</v>
      </c>
      <c r="DP203" s="38">
        <f t="shared" si="195"/>
        <v>1</v>
      </c>
    </row>
    <row r="204" spans="1:120" x14ac:dyDescent="0.35">
      <c r="A204" s="29">
        <v>199</v>
      </c>
      <c r="B204" s="34">
        <f>EDATE(Inputs!$B$67,$A204)</f>
        <v>52322</v>
      </c>
      <c r="C204" s="35">
        <f>IF(Inputs!$E$47&lt;=0,Inputs!$E$46,Inputs!$E$44+(Inputs!$E$46-Inputs!$E$44)*MIN($A204/Inputs!$E$47,1))</f>
        <v>0.7</v>
      </c>
      <c r="D204" s="35">
        <f>MIN(Inputs!$E$57,Inputs!$E$55*(1+Inputs!$E$56)^($A204/12))*Inputs!$E$58*(1+Inputs!$E$59)^($A204/12)/Inputs!$E$45</f>
        <v>1.5</v>
      </c>
      <c r="E204" s="35">
        <f>MAX(Inputs!$E$44,MIN(C204,D204))</f>
        <v>0.7</v>
      </c>
      <c r="F204" s="35">
        <f>IF(Inputs!$E$50&lt;=0,Inputs!$E$49,Inputs!$E$48+(Inputs!$E$49-Inputs!$E$48)*MIN($A204/Inputs!$E$50,1))</f>
        <v>0.12</v>
      </c>
      <c r="G204" s="36">
        <f>(Inputs!$E$41*(1-E204*Inputs!$E$51)+Inputs!$E$42*(1-F204*Inputs!$E$51))/(Inputs!$E$41*(1-Inputs!$E$44*Inputs!$E$51)+Inputs!$E$42*(1-Inputs!$E$48*Inputs!$E$51))</f>
        <v>0.8423127463863338</v>
      </c>
      <c r="H204" s="35">
        <f>IF(Inputs!$E$53&lt;=0,Inputs!$E$52,Inputs!$E$52*MIN($A204/Inputs!$E$53,1))</f>
        <v>0.1</v>
      </c>
      <c r="I204" s="35">
        <f>IF(Inputs!$E$64&lt;=0,Inputs!$E$63,Inputs!$E$62+(Inputs!$E$63-Inputs!$E$62)*MIN($A204/Inputs!$E$64,1))</f>
        <v>0.03</v>
      </c>
      <c r="J204" s="37">
        <f>(E204-Inputs!$E$44)*Inputs!$E$45/Inputs!$E$60*Inputs!$E$61</f>
        <v>5999.9999999999991</v>
      </c>
      <c r="K204" s="29">
        <f t="shared" si="147"/>
        <v>0</v>
      </c>
      <c r="L204" s="29"/>
      <c r="M204" s="38">
        <f>MAX(0,MIN(Inputs!$B$36,R203,N204+O204+P204+Inputs!$B$6-Q203))</f>
        <v>0</v>
      </c>
      <c r="N204" s="38">
        <f>Inputs!$B$27*(1+Inputs!$B$28)^($A204/12)*IF(Inputs!$B$70=1,$G204,1)*(1-Inputs!$C$70*$H204*(1-Inputs!$E$54*Inputs!$B$70))*(1+$I204)*IF(Inputs!$B$29=0,1,(MAX(Q203,0)/Inputs!$B$6)^Inputs!$B$29)</f>
        <v>34699.058678131965</v>
      </c>
      <c r="O204" s="38">
        <f>Inputs!$B$32*Q203/Inputs!$B$6</f>
        <v>0</v>
      </c>
      <c r="P204" s="38">
        <f>Inputs!$B$33</f>
        <v>2500</v>
      </c>
      <c r="Q204" s="38">
        <f t="shared" si="148"/>
        <v>0</v>
      </c>
      <c r="R204" s="38">
        <f t="shared" si="149"/>
        <v>0</v>
      </c>
      <c r="S204" s="38">
        <f>Inputs!$B$19*(1-Inputs!$C$70*$H204)+Inputs!$B$21+Inputs!$B$70*$J204</f>
        <v>595000</v>
      </c>
      <c r="T204" s="38">
        <f t="shared" si="150"/>
        <v>-595000</v>
      </c>
      <c r="U204" s="38">
        <f t="shared" si="151"/>
        <v>1</v>
      </c>
      <c r="V204" s="38">
        <f>MAX(0,MIN(Inputs!$C$36,AA203,W204+X204+Y204+Inputs!$C$6-Z203))</f>
        <v>0</v>
      </c>
      <c r="W204" s="38">
        <f>Inputs!$C$27*(1+Inputs!$C$28)^($A204/12)*IF(Inputs!$B$70=1,$G204,1)*(1-Inputs!$C$70*$H204*(1-Inputs!$E$54*Inputs!$B$70))*(1+$I204)*IF(Inputs!$C$29=0,1,(MAX(Z203,0)/Inputs!$C$6)^Inputs!$C$29)</f>
        <v>0</v>
      </c>
      <c r="X204" s="38">
        <f>Inputs!$C$32*Z203/Inputs!$C$6</f>
        <v>0</v>
      </c>
      <c r="Y204" s="38">
        <f>Inputs!$C$33</f>
        <v>2000</v>
      </c>
      <c r="Z204" s="38">
        <f t="shared" si="152"/>
        <v>0</v>
      </c>
      <c r="AA204" s="38">
        <f t="shared" si="153"/>
        <v>0</v>
      </c>
      <c r="AB204" s="38">
        <f>Inputs!$C$19*(1-Inputs!$C$70*$H204)+Inputs!$C$21+Inputs!$B$70*$J204</f>
        <v>495000</v>
      </c>
      <c r="AC204" s="38">
        <f t="shared" si="154"/>
        <v>-495000</v>
      </c>
      <c r="AD204" s="38">
        <f t="shared" si="155"/>
        <v>1</v>
      </c>
      <c r="AE204" s="38">
        <f>MAX(0,MIN(Inputs!$D$36,AJ203,AF204+AG204+AH204+Inputs!$D$6-AI203))</f>
        <v>0</v>
      </c>
      <c r="AF204" s="38">
        <f>Inputs!$D$27*(1+Inputs!$D$28)^($A204/12)*IF(Inputs!$B$70=1,$G204,1)*(1-Inputs!$C$70*$H204*(1-Inputs!$E$54*Inputs!$B$70))*(1+$I204)*IF(Inputs!$D$29=0,1,(MAX(AI203,0)/Inputs!$D$6)^Inputs!$D$29)</f>
        <v>0</v>
      </c>
      <c r="AG204" s="38">
        <f>Inputs!$D$32*AI203/Inputs!$D$6</f>
        <v>0</v>
      </c>
      <c r="AH204" s="38">
        <f>Inputs!$D$33</f>
        <v>1500</v>
      </c>
      <c r="AI204" s="38">
        <f t="shared" si="156"/>
        <v>0</v>
      </c>
      <c r="AJ204" s="38">
        <f t="shared" si="157"/>
        <v>0</v>
      </c>
      <c r="AK204" s="38">
        <f>Inputs!$D$19*(1-Inputs!$C$70*$H204)+Inputs!$D$21+Inputs!$B$70*$J204</f>
        <v>404800</v>
      </c>
      <c r="AL204" s="38">
        <f t="shared" si="158"/>
        <v>-404800</v>
      </c>
      <c r="AM204" s="38">
        <f t="shared" si="159"/>
        <v>1</v>
      </c>
      <c r="AN204" s="38">
        <f>MAX(0,MIN(Inputs!$B$36,AS203,AO204+AP204+AQ204+Inputs!$B$6-AR203))</f>
        <v>0</v>
      </c>
      <c r="AO204" s="38">
        <f>Inputs!$B$27*(1+Inputs!$B$28)^($A204/12)*IF(Inputs!$B$71=1,$G204,1)*(1-Inputs!$C$71*$H204*(1-Inputs!$E$54*Inputs!$B$71))*(1+$I204)*IF(Inputs!$B$29=0,1,(MAX(AR203,0)/Inputs!$B$6)^Inputs!$B$29)</f>
        <v>29227.459412197881</v>
      </c>
      <c r="AP204" s="38">
        <f>Inputs!$B$32*AR203/Inputs!$B$6</f>
        <v>0</v>
      </c>
      <c r="AQ204" s="38">
        <f>Inputs!$B$33</f>
        <v>2500</v>
      </c>
      <c r="AR204" s="38">
        <f t="shared" si="160"/>
        <v>0</v>
      </c>
      <c r="AS204" s="38">
        <f t="shared" si="161"/>
        <v>0</v>
      </c>
      <c r="AT204" s="38">
        <f>Inputs!$B$19*(1-Inputs!$C$71*$H204)+Inputs!$B$21+Inputs!$B$71*$J204</f>
        <v>601000</v>
      </c>
      <c r="AU204" s="38">
        <f t="shared" si="162"/>
        <v>-601000</v>
      </c>
      <c r="AV204" s="38">
        <f t="shared" si="163"/>
        <v>1</v>
      </c>
      <c r="AW204" s="38">
        <f>MAX(0,MIN(Inputs!$C$36,BB203,AX204+AY204+AZ204+Inputs!$C$6-BA203))</f>
        <v>0</v>
      </c>
      <c r="AX204" s="38">
        <f>Inputs!$C$27*(1+Inputs!$C$28)^($A204/12)*IF(Inputs!$B$71=1,$G204,1)*(1-Inputs!$C$71*$H204*(1-Inputs!$E$54*Inputs!$B$71))*(1+$I204)*IF(Inputs!$C$29=0,1,(MAX(BA203,0)/Inputs!$C$6)^Inputs!$C$29)</f>
        <v>0</v>
      </c>
      <c r="AY204" s="38">
        <f>Inputs!$C$32*BA203/Inputs!$C$6</f>
        <v>0</v>
      </c>
      <c r="AZ204" s="38">
        <f>Inputs!$C$33</f>
        <v>2000</v>
      </c>
      <c r="BA204" s="38">
        <f t="shared" si="164"/>
        <v>0</v>
      </c>
      <c r="BB204" s="38">
        <f t="shared" si="165"/>
        <v>0</v>
      </c>
      <c r="BC204" s="38">
        <f>Inputs!$C$19*(1-Inputs!$C$71*$H204)+Inputs!$C$21+Inputs!$B$71*$J204</f>
        <v>501000</v>
      </c>
      <c r="BD204" s="38">
        <f t="shared" si="166"/>
        <v>-501000</v>
      </c>
      <c r="BE204" s="38">
        <f t="shared" si="167"/>
        <v>1</v>
      </c>
      <c r="BF204" s="38">
        <f>MAX(0,MIN(Inputs!$D$36,BK203,BG204+BH204+BI204+Inputs!$D$6-BJ203))</f>
        <v>0</v>
      </c>
      <c r="BG204" s="38">
        <f>Inputs!$D$27*(1+Inputs!$D$28)^($A204/12)*IF(Inputs!$B$71=1,$G204,1)*(1-Inputs!$C$71*$H204*(1-Inputs!$E$54*Inputs!$B$71))*(1+$I204)*IF(Inputs!$D$29=0,1,(MAX(BJ203,0)/Inputs!$D$6)^Inputs!$D$29)</f>
        <v>824.86039318092833</v>
      </c>
      <c r="BH204" s="38">
        <f>Inputs!$D$32*BJ203/Inputs!$D$6</f>
        <v>208.07636633522759</v>
      </c>
      <c r="BI204" s="38">
        <f>Inputs!$D$33</f>
        <v>1500</v>
      </c>
      <c r="BJ204" s="38">
        <f t="shared" si="168"/>
        <v>41064.016186912486</v>
      </c>
      <c r="BK204" s="38">
        <f t="shared" si="169"/>
        <v>0</v>
      </c>
      <c r="BL204" s="38">
        <f>Inputs!$D$19*(1-Inputs!$C$71*$H204)+Inputs!$D$21+Inputs!$B$71*$J204</f>
        <v>410800</v>
      </c>
      <c r="BM204" s="38">
        <f t="shared" si="170"/>
        <v>-369735.98381308751</v>
      </c>
      <c r="BN204" s="38">
        <f t="shared" si="171"/>
        <v>1</v>
      </c>
      <c r="BO204" s="38">
        <f>MAX(0,MIN(Inputs!$B$36,BT203,BP204+BQ204+BR204+Inputs!$B$6-BS203))</f>
        <v>0</v>
      </c>
      <c r="BP204" s="38">
        <f>Inputs!$B$27*(1+Inputs!$B$28)^($A204/12)*IF(Inputs!$B$72=1,$G204,1)*(1-Inputs!$C$72*$H204*(1-Inputs!$E$54*Inputs!$B$72))*(1+$I204)*IF(Inputs!$B$29=0,1,(MAX(BS203,0)/Inputs!$B$6)^Inputs!$B$29)</f>
        <v>31229.152810318767</v>
      </c>
      <c r="BQ204" s="38">
        <f>Inputs!$B$32*BS203/Inputs!$B$6</f>
        <v>0</v>
      </c>
      <c r="BR204" s="38">
        <f>Inputs!$B$33</f>
        <v>2500</v>
      </c>
      <c r="BS204" s="38">
        <f t="shared" si="172"/>
        <v>0</v>
      </c>
      <c r="BT204" s="38">
        <f t="shared" si="173"/>
        <v>0</v>
      </c>
      <c r="BU204" s="38">
        <f>Inputs!$B$19*(1-Inputs!$C$72*$H204)+Inputs!$B$21+Inputs!$B$72*$J204</f>
        <v>577500</v>
      </c>
      <c r="BV204" s="38">
        <f t="shared" si="174"/>
        <v>-577500</v>
      </c>
      <c r="BW204" s="38">
        <f t="shared" si="175"/>
        <v>1</v>
      </c>
      <c r="BX204" s="38">
        <f>MAX(0,MIN(Inputs!$C$36,CC203,BY204+BZ204+CA204+Inputs!$C$6-CB203))</f>
        <v>0</v>
      </c>
      <c r="BY204" s="38">
        <f>Inputs!$C$27*(1+Inputs!$C$28)^($A204/12)*IF(Inputs!$B$72=1,$G204,1)*(1-Inputs!$C$72*$H204*(1-Inputs!$E$54*Inputs!$B$72))*(1+$I204)*IF(Inputs!$C$29=0,1,(MAX(CB203,0)/Inputs!$C$6)^Inputs!$C$29)</f>
        <v>0</v>
      </c>
      <c r="BZ204" s="38">
        <f>Inputs!$C$32*CB203/Inputs!$C$6</f>
        <v>0</v>
      </c>
      <c r="CA204" s="38">
        <f>Inputs!$C$33</f>
        <v>2000</v>
      </c>
      <c r="CB204" s="38">
        <f t="shared" si="176"/>
        <v>0</v>
      </c>
      <c r="CC204" s="38">
        <f t="shared" si="177"/>
        <v>0</v>
      </c>
      <c r="CD204" s="38">
        <f>Inputs!$C$19*(1-Inputs!$C$72*$H204)+Inputs!$C$21+Inputs!$B$72*$J204</f>
        <v>480000</v>
      </c>
      <c r="CE204" s="38">
        <f t="shared" si="178"/>
        <v>-480000</v>
      </c>
      <c r="CF204" s="38">
        <f t="shared" si="179"/>
        <v>1</v>
      </c>
      <c r="CG204" s="38">
        <f>MAX(0,MIN(Inputs!$D$36,CL203,CH204+CI204+CJ204+Inputs!$D$6-CK203))</f>
        <v>0</v>
      </c>
      <c r="CH204" s="38">
        <f>Inputs!$D$27*(1+Inputs!$D$28)^($A204/12)*IF(Inputs!$B$72=1,$G204,1)*(1-Inputs!$C$72*$H204*(1-Inputs!$E$54*Inputs!$B$72))*(1+$I204)*IF(Inputs!$D$29=0,1,(MAX(CK203,0)/Inputs!$D$6)^Inputs!$D$29)</f>
        <v>638.22871947508315</v>
      </c>
      <c r="CI204" s="38">
        <f>Inputs!$D$32*CK203/Inputs!$D$6</f>
        <v>109.11294206248435</v>
      </c>
      <c r="CJ204" s="38">
        <f>Inputs!$D$33</f>
        <v>1500</v>
      </c>
      <c r="CK204" s="38">
        <f t="shared" si="180"/>
        <v>20614.417627744868</v>
      </c>
      <c r="CL204" s="38">
        <f t="shared" si="181"/>
        <v>0</v>
      </c>
      <c r="CM204" s="38">
        <f>Inputs!$D$19*(1-Inputs!$C$72*$H204)+Inputs!$D$21+Inputs!$B$72*$J204</f>
        <v>392150</v>
      </c>
      <c r="CN204" s="38">
        <f t="shared" si="182"/>
        <v>-371535.58237225516</v>
      </c>
      <c r="CO204" s="38">
        <f t="shared" si="183"/>
        <v>1</v>
      </c>
      <c r="CP204" s="38">
        <f>MAX(0,MIN(Inputs!$B$36,CU203,CQ204+CR204+CS204+Inputs!$B$6-CT203))</f>
        <v>0</v>
      </c>
      <c r="CQ204" s="38">
        <f>Inputs!$B$27*(1+Inputs!$B$28)^($A204/12)*IF(Inputs!$B$73=1,$G204,1)*(1-Inputs!$C$73*$H204*(1-Inputs!$E$54*Inputs!$B$73))*(1+$I204)*IF(Inputs!$B$29=0,1,(MAX(CT203,0)/Inputs!$B$6)^Inputs!$B$29)</f>
        <v>27766.086441587988</v>
      </c>
      <c r="CR204" s="38">
        <f>Inputs!$B$32*CT203/Inputs!$B$6</f>
        <v>0</v>
      </c>
      <c r="CS204" s="38">
        <f>Inputs!$B$33</f>
        <v>2500</v>
      </c>
      <c r="CT204" s="38">
        <f t="shared" si="184"/>
        <v>0</v>
      </c>
      <c r="CU204" s="38">
        <f t="shared" si="185"/>
        <v>0</v>
      </c>
      <c r="CV204" s="38">
        <f>Inputs!$B$19*(1-Inputs!$C$73*$H204)+Inputs!$B$21+Inputs!$B$73*$J204</f>
        <v>583500</v>
      </c>
      <c r="CW204" s="38">
        <f t="shared" si="186"/>
        <v>-583500</v>
      </c>
      <c r="CX204" s="38">
        <f t="shared" si="187"/>
        <v>1</v>
      </c>
      <c r="CY204" s="38">
        <f>MAX(0,MIN(Inputs!$C$36,DD203,CZ204+DA204+DB204+Inputs!$C$6-DC203))</f>
        <v>0</v>
      </c>
      <c r="CZ204" s="38">
        <f>Inputs!$C$27*(1+Inputs!$C$28)^($A204/12)*IF(Inputs!$B$73=1,$G204,1)*(1-Inputs!$C$73*$H204*(1-Inputs!$E$54*Inputs!$B$73))*(1+$I204)*IF(Inputs!$C$29=0,1,(MAX(DC203,0)/Inputs!$C$6)^Inputs!$C$29)</f>
        <v>0</v>
      </c>
      <c r="DA204" s="38">
        <f>Inputs!$C$32*DC203/Inputs!$C$6</f>
        <v>0</v>
      </c>
      <c r="DB204" s="38">
        <f>Inputs!$C$33</f>
        <v>2000</v>
      </c>
      <c r="DC204" s="38">
        <f t="shared" si="188"/>
        <v>0</v>
      </c>
      <c r="DD204" s="38">
        <f t="shared" si="189"/>
        <v>0</v>
      </c>
      <c r="DE204" s="38">
        <f>Inputs!$C$19*(1-Inputs!$C$73*$H204)+Inputs!$C$21+Inputs!$B$73*$J204</f>
        <v>486000</v>
      </c>
      <c r="DF204" s="38">
        <f t="shared" si="190"/>
        <v>-486000</v>
      </c>
      <c r="DG204" s="38">
        <f t="shared" si="191"/>
        <v>1</v>
      </c>
      <c r="DH204" s="38">
        <f>MAX(0,MIN(Inputs!$D$36,DM203,DI204+DJ204+DK204+Inputs!$D$6-DL203))</f>
        <v>0</v>
      </c>
      <c r="DI204" s="38">
        <f>Inputs!$D$27*(1+Inputs!$D$28)^($A204/12)*IF(Inputs!$B$73=1,$G204,1)*(1-Inputs!$C$73*$H204*(1-Inputs!$E$54*Inputs!$B$73))*(1+$I204)*IF(Inputs!$D$29=0,1,(MAX(DL203,0)/Inputs!$D$6)^Inputs!$D$29)</f>
        <v>901.26580251167331</v>
      </c>
      <c r="DJ204" s="38">
        <f>Inputs!$D$32*DL203/Inputs!$D$6</f>
        <v>275.2456271257081</v>
      </c>
      <c r="DK204" s="38">
        <f>Inputs!$D$33</f>
        <v>1500</v>
      </c>
      <c r="DL204" s="38">
        <f t="shared" si="192"/>
        <v>54994.000920510975</v>
      </c>
      <c r="DM204" s="38">
        <f t="shared" si="193"/>
        <v>0</v>
      </c>
      <c r="DN204" s="38">
        <f>Inputs!$D$19*(1-Inputs!$C$73*$H204)+Inputs!$D$21+Inputs!$B$73*$J204</f>
        <v>398150</v>
      </c>
      <c r="DO204" s="38">
        <f t="shared" si="194"/>
        <v>-343155.99907948903</v>
      </c>
      <c r="DP204" s="38">
        <f t="shared" si="195"/>
        <v>1</v>
      </c>
    </row>
    <row r="205" spans="1:120" x14ac:dyDescent="0.35">
      <c r="A205" s="29">
        <v>200</v>
      </c>
      <c r="B205" s="34">
        <f>EDATE(Inputs!$B$67,$A205)</f>
        <v>52352</v>
      </c>
      <c r="C205" s="35">
        <f>IF(Inputs!$E$47&lt;=0,Inputs!$E$46,Inputs!$E$44+(Inputs!$E$46-Inputs!$E$44)*MIN($A205/Inputs!$E$47,1))</f>
        <v>0.7</v>
      </c>
      <c r="D205" s="35">
        <f>MIN(Inputs!$E$57,Inputs!$E$55*(1+Inputs!$E$56)^($A205/12))*Inputs!$E$58*(1+Inputs!$E$59)^($A205/12)/Inputs!$E$45</f>
        <v>1.5</v>
      </c>
      <c r="E205" s="35">
        <f>MAX(Inputs!$E$44,MIN(C205,D205))</f>
        <v>0.7</v>
      </c>
      <c r="F205" s="35">
        <f>IF(Inputs!$E$50&lt;=0,Inputs!$E$49,Inputs!$E$48+(Inputs!$E$49-Inputs!$E$48)*MIN($A205/Inputs!$E$50,1))</f>
        <v>0.12</v>
      </c>
      <c r="G205" s="36">
        <f>(Inputs!$E$41*(1-E205*Inputs!$E$51)+Inputs!$E$42*(1-F205*Inputs!$E$51))/(Inputs!$E$41*(1-Inputs!$E$44*Inputs!$E$51)+Inputs!$E$42*(1-Inputs!$E$48*Inputs!$E$51))</f>
        <v>0.8423127463863338</v>
      </c>
      <c r="H205" s="35">
        <f>IF(Inputs!$E$53&lt;=0,Inputs!$E$52,Inputs!$E$52*MIN($A205/Inputs!$E$53,1))</f>
        <v>0.1</v>
      </c>
      <c r="I205" s="35">
        <f>IF(Inputs!$E$64&lt;=0,Inputs!$E$63,Inputs!$E$62+(Inputs!$E$63-Inputs!$E$62)*MIN($A205/Inputs!$E$64,1))</f>
        <v>0.03</v>
      </c>
      <c r="J205" s="37">
        <f>(E205-Inputs!$E$44)*Inputs!$E$45/Inputs!$E$60*Inputs!$E$61</f>
        <v>5999.9999999999991</v>
      </c>
      <c r="K205" s="29">
        <f t="shared" si="147"/>
        <v>0</v>
      </c>
      <c r="L205" s="29"/>
      <c r="M205" s="38">
        <f>MAX(0,MIN(Inputs!$B$36,R204,N205+O205+P205+Inputs!$B$6-Q204))</f>
        <v>0</v>
      </c>
      <c r="N205" s="38">
        <f>Inputs!$B$27*(1+Inputs!$B$28)^($A205/12)*IF(Inputs!$B$70=1,$G205,1)*(1-Inputs!$C$70*$H205*(1-Inputs!$E$54*Inputs!$B$70))*(1+$I205)*IF(Inputs!$B$29=0,1,(MAX(Q204,0)/Inputs!$B$6)^Inputs!$B$29)</f>
        <v>34840.426938362754</v>
      </c>
      <c r="O205" s="38">
        <f>Inputs!$B$32*Q204/Inputs!$B$6</f>
        <v>0</v>
      </c>
      <c r="P205" s="38">
        <f>Inputs!$B$33</f>
        <v>2500</v>
      </c>
      <c r="Q205" s="38">
        <f t="shared" si="148"/>
        <v>0</v>
      </c>
      <c r="R205" s="38">
        <f t="shared" si="149"/>
        <v>0</v>
      </c>
      <c r="S205" s="38">
        <f>Inputs!$B$19*(1-Inputs!$C$70*$H205)+Inputs!$B$21+Inputs!$B$70*$J205</f>
        <v>595000</v>
      </c>
      <c r="T205" s="38">
        <f t="shared" si="150"/>
        <v>-595000</v>
      </c>
      <c r="U205" s="38">
        <f t="shared" si="151"/>
        <v>1</v>
      </c>
      <c r="V205" s="38">
        <f>MAX(0,MIN(Inputs!$C$36,AA204,W205+X205+Y205+Inputs!$C$6-Z204))</f>
        <v>0</v>
      </c>
      <c r="W205" s="38">
        <f>Inputs!$C$27*(1+Inputs!$C$28)^($A205/12)*IF(Inputs!$B$70=1,$G205,1)*(1-Inputs!$C$70*$H205*(1-Inputs!$E$54*Inputs!$B$70))*(1+$I205)*IF(Inputs!$C$29=0,1,(MAX(Z204,0)/Inputs!$C$6)^Inputs!$C$29)</f>
        <v>0</v>
      </c>
      <c r="X205" s="38">
        <f>Inputs!$C$32*Z204/Inputs!$C$6</f>
        <v>0</v>
      </c>
      <c r="Y205" s="38">
        <f>Inputs!$C$33</f>
        <v>2000</v>
      </c>
      <c r="Z205" s="38">
        <f t="shared" si="152"/>
        <v>0</v>
      </c>
      <c r="AA205" s="38">
        <f t="shared" si="153"/>
        <v>0</v>
      </c>
      <c r="AB205" s="38">
        <f>Inputs!$C$19*(1-Inputs!$C$70*$H205)+Inputs!$C$21+Inputs!$B$70*$J205</f>
        <v>495000</v>
      </c>
      <c r="AC205" s="38">
        <f t="shared" si="154"/>
        <v>-495000</v>
      </c>
      <c r="AD205" s="38">
        <f t="shared" si="155"/>
        <v>1</v>
      </c>
      <c r="AE205" s="38">
        <f>MAX(0,MIN(Inputs!$D$36,AJ204,AF205+AG205+AH205+Inputs!$D$6-AI204))</f>
        <v>0</v>
      </c>
      <c r="AF205" s="38">
        <f>Inputs!$D$27*(1+Inputs!$D$28)^($A205/12)*IF(Inputs!$B$70=1,$G205,1)*(1-Inputs!$C$70*$H205*(1-Inputs!$E$54*Inputs!$B$70))*(1+$I205)*IF(Inputs!$D$29=0,1,(MAX(AI204,0)/Inputs!$D$6)^Inputs!$D$29)</f>
        <v>0</v>
      </c>
      <c r="AG205" s="38">
        <f>Inputs!$D$32*AI204/Inputs!$D$6</f>
        <v>0</v>
      </c>
      <c r="AH205" s="38">
        <f>Inputs!$D$33</f>
        <v>1500</v>
      </c>
      <c r="AI205" s="38">
        <f t="shared" si="156"/>
        <v>0</v>
      </c>
      <c r="AJ205" s="38">
        <f t="shared" si="157"/>
        <v>0</v>
      </c>
      <c r="AK205" s="38">
        <f>Inputs!$D$19*(1-Inputs!$C$70*$H205)+Inputs!$D$21+Inputs!$B$70*$J205</f>
        <v>404800</v>
      </c>
      <c r="AL205" s="38">
        <f t="shared" si="158"/>
        <v>-404800</v>
      </c>
      <c r="AM205" s="38">
        <f t="shared" si="159"/>
        <v>1</v>
      </c>
      <c r="AN205" s="38">
        <f>MAX(0,MIN(Inputs!$B$36,AS204,AO205+AP205+AQ205+Inputs!$B$6-AR204))</f>
        <v>0</v>
      </c>
      <c r="AO205" s="38">
        <f>Inputs!$B$27*(1+Inputs!$B$28)^($A205/12)*IF(Inputs!$B$71=1,$G205,1)*(1-Inputs!$C$71*$H205*(1-Inputs!$E$54*Inputs!$B$71))*(1+$I205)*IF(Inputs!$B$29=0,1,(MAX(AR204,0)/Inputs!$B$6)^Inputs!$B$29)</f>
        <v>29346.535699724736</v>
      </c>
      <c r="AP205" s="38">
        <f>Inputs!$B$32*AR204/Inputs!$B$6</f>
        <v>0</v>
      </c>
      <c r="AQ205" s="38">
        <f>Inputs!$B$33</f>
        <v>2500</v>
      </c>
      <c r="AR205" s="38">
        <f t="shared" si="160"/>
        <v>0</v>
      </c>
      <c r="AS205" s="38">
        <f t="shared" si="161"/>
        <v>0</v>
      </c>
      <c r="AT205" s="38">
        <f>Inputs!$B$19*(1-Inputs!$C$71*$H205)+Inputs!$B$21+Inputs!$B$71*$J205</f>
        <v>601000</v>
      </c>
      <c r="AU205" s="38">
        <f t="shared" si="162"/>
        <v>-601000</v>
      </c>
      <c r="AV205" s="38">
        <f t="shared" si="163"/>
        <v>1</v>
      </c>
      <c r="AW205" s="38">
        <f>MAX(0,MIN(Inputs!$C$36,BB204,AX205+AY205+AZ205+Inputs!$C$6-BA204))</f>
        <v>0</v>
      </c>
      <c r="AX205" s="38">
        <f>Inputs!$C$27*(1+Inputs!$C$28)^($A205/12)*IF(Inputs!$B$71=1,$G205,1)*(1-Inputs!$C$71*$H205*(1-Inputs!$E$54*Inputs!$B$71))*(1+$I205)*IF(Inputs!$C$29=0,1,(MAX(BA204,0)/Inputs!$C$6)^Inputs!$C$29)</f>
        <v>0</v>
      </c>
      <c r="AY205" s="38">
        <f>Inputs!$C$32*BA204/Inputs!$C$6</f>
        <v>0</v>
      </c>
      <c r="AZ205" s="38">
        <f>Inputs!$C$33</f>
        <v>2000</v>
      </c>
      <c r="BA205" s="38">
        <f t="shared" si="164"/>
        <v>0</v>
      </c>
      <c r="BB205" s="38">
        <f t="shared" si="165"/>
        <v>0</v>
      </c>
      <c r="BC205" s="38">
        <f>Inputs!$C$19*(1-Inputs!$C$71*$H205)+Inputs!$C$21+Inputs!$B$71*$J205</f>
        <v>501000</v>
      </c>
      <c r="BD205" s="38">
        <f t="shared" si="166"/>
        <v>-501000</v>
      </c>
      <c r="BE205" s="38">
        <f t="shared" si="167"/>
        <v>1</v>
      </c>
      <c r="BF205" s="38">
        <f>MAX(0,MIN(Inputs!$D$36,BK204,BG205+BH205+BI205+Inputs!$D$6-BJ204))</f>
        <v>0</v>
      </c>
      <c r="BG205" s="38">
        <f>Inputs!$D$27*(1+Inputs!$D$28)^($A205/12)*IF(Inputs!$B$71=1,$G205,1)*(1-Inputs!$C$71*$H205*(1-Inputs!$E$54*Inputs!$B$71))*(1+$I205)*IF(Inputs!$D$29=0,1,(MAX(BJ204,0)/Inputs!$D$6)^Inputs!$D$29)</f>
        <v>797.12554589953777</v>
      </c>
      <c r="BH205" s="38">
        <f>Inputs!$D$32*BJ204/Inputs!$D$6</f>
        <v>195.98734998299142</v>
      </c>
      <c r="BI205" s="38">
        <f>Inputs!$D$33</f>
        <v>1500</v>
      </c>
      <c r="BJ205" s="38">
        <f t="shared" si="168"/>
        <v>38570.903291029957</v>
      </c>
      <c r="BK205" s="38">
        <f t="shared" si="169"/>
        <v>0</v>
      </c>
      <c r="BL205" s="38">
        <f>Inputs!$D$19*(1-Inputs!$C$71*$H205)+Inputs!$D$21+Inputs!$B$71*$J205</f>
        <v>410800</v>
      </c>
      <c r="BM205" s="38">
        <f t="shared" si="170"/>
        <v>-372229.09670897003</v>
      </c>
      <c r="BN205" s="38">
        <f t="shared" si="171"/>
        <v>1</v>
      </c>
      <c r="BO205" s="38">
        <f>MAX(0,MIN(Inputs!$B$36,BT204,BP205+BQ205+BR205+Inputs!$B$6-BS204))</f>
        <v>0</v>
      </c>
      <c r="BP205" s="38">
        <f>Inputs!$B$27*(1+Inputs!$B$28)^($A205/12)*IF(Inputs!$B$72=1,$G205,1)*(1-Inputs!$C$72*$H205*(1-Inputs!$E$54*Inputs!$B$72))*(1+$I205)*IF(Inputs!$B$29=0,1,(MAX(BS204,0)/Inputs!$B$6)^Inputs!$B$29)</f>
        <v>31356.384244526475</v>
      </c>
      <c r="BQ205" s="38">
        <f>Inputs!$B$32*BS204/Inputs!$B$6</f>
        <v>0</v>
      </c>
      <c r="BR205" s="38">
        <f>Inputs!$B$33</f>
        <v>2500</v>
      </c>
      <c r="BS205" s="38">
        <f t="shared" si="172"/>
        <v>0</v>
      </c>
      <c r="BT205" s="38">
        <f t="shared" si="173"/>
        <v>0</v>
      </c>
      <c r="BU205" s="38">
        <f>Inputs!$B$19*(1-Inputs!$C$72*$H205)+Inputs!$B$21+Inputs!$B$72*$J205</f>
        <v>577500</v>
      </c>
      <c r="BV205" s="38">
        <f t="shared" si="174"/>
        <v>-577500</v>
      </c>
      <c r="BW205" s="38">
        <f t="shared" si="175"/>
        <v>1</v>
      </c>
      <c r="BX205" s="38">
        <f>MAX(0,MIN(Inputs!$C$36,CC204,BY205+BZ205+CA205+Inputs!$C$6-CB204))</f>
        <v>0</v>
      </c>
      <c r="BY205" s="38">
        <f>Inputs!$C$27*(1+Inputs!$C$28)^($A205/12)*IF(Inputs!$B$72=1,$G205,1)*(1-Inputs!$C$72*$H205*(1-Inputs!$E$54*Inputs!$B$72))*(1+$I205)*IF(Inputs!$C$29=0,1,(MAX(CB204,0)/Inputs!$C$6)^Inputs!$C$29)</f>
        <v>0</v>
      </c>
      <c r="BZ205" s="38">
        <f>Inputs!$C$32*CB204/Inputs!$C$6</f>
        <v>0</v>
      </c>
      <c r="CA205" s="38">
        <f>Inputs!$C$33</f>
        <v>2000</v>
      </c>
      <c r="CB205" s="38">
        <f t="shared" si="176"/>
        <v>0</v>
      </c>
      <c r="CC205" s="38">
        <f t="shared" si="177"/>
        <v>0</v>
      </c>
      <c r="CD205" s="38">
        <f>Inputs!$C$19*(1-Inputs!$C$72*$H205)+Inputs!$C$21+Inputs!$B$72*$J205</f>
        <v>480000</v>
      </c>
      <c r="CE205" s="38">
        <f t="shared" si="178"/>
        <v>-480000</v>
      </c>
      <c r="CF205" s="38">
        <f t="shared" si="179"/>
        <v>1</v>
      </c>
      <c r="CG205" s="38">
        <f>MAX(0,MIN(Inputs!$D$36,CL204,CH205+CI205+CJ205+Inputs!$D$6-CK204))</f>
        <v>0</v>
      </c>
      <c r="CH205" s="38">
        <f>Inputs!$D$27*(1+Inputs!$D$28)^($A205/12)*IF(Inputs!$B$72=1,$G205,1)*(1-Inputs!$C$72*$H205*(1-Inputs!$E$54*Inputs!$B$72))*(1+$I205)*IF(Inputs!$D$29=0,1,(MAX(CK204,0)/Inputs!$D$6)^Inputs!$D$29)</f>
        <v>603.46305631515713</v>
      </c>
      <c r="CI205" s="38">
        <f>Inputs!$D$32*CK204/Inputs!$D$6</f>
        <v>98.386993223327764</v>
      </c>
      <c r="CJ205" s="38">
        <f>Inputs!$D$33</f>
        <v>1500</v>
      </c>
      <c r="CK205" s="38">
        <f t="shared" si="180"/>
        <v>18412.567578206381</v>
      </c>
      <c r="CL205" s="38">
        <f t="shared" si="181"/>
        <v>0</v>
      </c>
      <c r="CM205" s="38">
        <f>Inputs!$D$19*(1-Inputs!$C$72*$H205)+Inputs!$D$21+Inputs!$B$72*$J205</f>
        <v>392150</v>
      </c>
      <c r="CN205" s="38">
        <f t="shared" si="182"/>
        <v>-373737.43242179364</v>
      </c>
      <c r="CO205" s="38">
        <f t="shared" si="183"/>
        <v>1</v>
      </c>
      <c r="CP205" s="38">
        <f>MAX(0,MIN(Inputs!$B$36,CU204,CQ205+CR205+CS205+Inputs!$B$6-CT204))</f>
        <v>0</v>
      </c>
      <c r="CQ205" s="38">
        <f>Inputs!$B$27*(1+Inputs!$B$28)^($A205/12)*IF(Inputs!$B$73=1,$G205,1)*(1-Inputs!$C$73*$H205*(1-Inputs!$E$54*Inputs!$B$73))*(1+$I205)*IF(Inputs!$B$29=0,1,(MAX(CT204,0)/Inputs!$B$6)^Inputs!$B$29)</f>
        <v>27879.208914738498</v>
      </c>
      <c r="CR205" s="38">
        <f>Inputs!$B$32*CT204/Inputs!$B$6</f>
        <v>0</v>
      </c>
      <c r="CS205" s="38">
        <f>Inputs!$B$33</f>
        <v>2500</v>
      </c>
      <c r="CT205" s="38">
        <f t="shared" si="184"/>
        <v>0</v>
      </c>
      <c r="CU205" s="38">
        <f t="shared" si="185"/>
        <v>0</v>
      </c>
      <c r="CV205" s="38">
        <f>Inputs!$B$19*(1-Inputs!$C$73*$H205)+Inputs!$B$21+Inputs!$B$73*$J205</f>
        <v>583500</v>
      </c>
      <c r="CW205" s="38">
        <f t="shared" si="186"/>
        <v>-583500</v>
      </c>
      <c r="CX205" s="38">
        <f t="shared" si="187"/>
        <v>1</v>
      </c>
      <c r="CY205" s="38">
        <f>MAX(0,MIN(Inputs!$C$36,DD204,CZ205+DA205+DB205+Inputs!$C$6-DC204))</f>
        <v>0</v>
      </c>
      <c r="CZ205" s="38">
        <f>Inputs!$C$27*(1+Inputs!$C$28)^($A205/12)*IF(Inputs!$B$73=1,$G205,1)*(1-Inputs!$C$73*$H205*(1-Inputs!$E$54*Inputs!$B$73))*(1+$I205)*IF(Inputs!$C$29=0,1,(MAX(DC204,0)/Inputs!$C$6)^Inputs!$C$29)</f>
        <v>0</v>
      </c>
      <c r="DA205" s="38">
        <f>Inputs!$C$32*DC204/Inputs!$C$6</f>
        <v>0</v>
      </c>
      <c r="DB205" s="38">
        <f>Inputs!$C$33</f>
        <v>2000</v>
      </c>
      <c r="DC205" s="38">
        <f t="shared" si="188"/>
        <v>0</v>
      </c>
      <c r="DD205" s="38">
        <f t="shared" si="189"/>
        <v>0</v>
      </c>
      <c r="DE205" s="38">
        <f>Inputs!$C$19*(1-Inputs!$C$73*$H205)+Inputs!$C$21+Inputs!$B$73*$J205</f>
        <v>486000</v>
      </c>
      <c r="DF205" s="38">
        <f t="shared" si="190"/>
        <v>-486000</v>
      </c>
      <c r="DG205" s="38">
        <f t="shared" si="191"/>
        <v>1</v>
      </c>
      <c r="DH205" s="38">
        <f>MAX(0,MIN(Inputs!$D$36,DM204,DI205+DJ205+DK205+Inputs!$D$6-DL204))</f>
        <v>0</v>
      </c>
      <c r="DI205" s="38">
        <f>Inputs!$D$27*(1+Inputs!$D$28)^($A205/12)*IF(Inputs!$B$73=1,$G205,1)*(1-Inputs!$C$73*$H205*(1-Inputs!$E$54*Inputs!$B$73))*(1+$I205)*IF(Inputs!$D$29=0,1,(MAX(DL204,0)/Inputs!$D$6)^Inputs!$D$29)</f>
        <v>876.34937200501213</v>
      </c>
      <c r="DJ205" s="38">
        <f>Inputs!$D$32*DL204/Inputs!$D$6</f>
        <v>262.47136802971147</v>
      </c>
      <c r="DK205" s="38">
        <f>Inputs!$D$33</f>
        <v>1500</v>
      </c>
      <c r="DL205" s="38">
        <f t="shared" si="192"/>
        <v>52355.180180476251</v>
      </c>
      <c r="DM205" s="38">
        <f t="shared" si="193"/>
        <v>0</v>
      </c>
      <c r="DN205" s="38">
        <f>Inputs!$D$19*(1-Inputs!$C$73*$H205)+Inputs!$D$21+Inputs!$B$73*$J205</f>
        <v>398150</v>
      </c>
      <c r="DO205" s="38">
        <f t="shared" si="194"/>
        <v>-345794.81981952372</v>
      </c>
      <c r="DP205" s="38">
        <f t="shared" si="195"/>
        <v>1</v>
      </c>
    </row>
    <row r="206" spans="1:120" x14ac:dyDescent="0.35">
      <c r="A206" s="29">
        <v>201</v>
      </c>
      <c r="B206" s="34">
        <f>EDATE(Inputs!$B$67,$A206)</f>
        <v>52383</v>
      </c>
      <c r="C206" s="35">
        <f>IF(Inputs!$E$47&lt;=0,Inputs!$E$46,Inputs!$E$44+(Inputs!$E$46-Inputs!$E$44)*MIN($A206/Inputs!$E$47,1))</f>
        <v>0.7</v>
      </c>
      <c r="D206" s="35">
        <f>MIN(Inputs!$E$57,Inputs!$E$55*(1+Inputs!$E$56)^($A206/12))*Inputs!$E$58*(1+Inputs!$E$59)^($A206/12)/Inputs!$E$45</f>
        <v>1.5</v>
      </c>
      <c r="E206" s="35">
        <f>MAX(Inputs!$E$44,MIN(C206,D206))</f>
        <v>0.7</v>
      </c>
      <c r="F206" s="35">
        <f>IF(Inputs!$E$50&lt;=0,Inputs!$E$49,Inputs!$E$48+(Inputs!$E$49-Inputs!$E$48)*MIN($A206/Inputs!$E$50,1))</f>
        <v>0.12</v>
      </c>
      <c r="G206" s="36">
        <f>(Inputs!$E$41*(1-E206*Inputs!$E$51)+Inputs!$E$42*(1-F206*Inputs!$E$51))/(Inputs!$E$41*(1-Inputs!$E$44*Inputs!$E$51)+Inputs!$E$42*(1-Inputs!$E$48*Inputs!$E$51))</f>
        <v>0.8423127463863338</v>
      </c>
      <c r="H206" s="35">
        <f>IF(Inputs!$E$53&lt;=0,Inputs!$E$52,Inputs!$E$52*MIN($A206/Inputs!$E$53,1))</f>
        <v>0.1</v>
      </c>
      <c r="I206" s="35">
        <f>IF(Inputs!$E$64&lt;=0,Inputs!$E$63,Inputs!$E$62+(Inputs!$E$63-Inputs!$E$62)*MIN($A206/Inputs!$E$64,1))</f>
        <v>0.03</v>
      </c>
      <c r="J206" s="37">
        <f>(E206-Inputs!$E$44)*Inputs!$E$45/Inputs!$E$60*Inputs!$E$61</f>
        <v>5999.9999999999991</v>
      </c>
      <c r="K206" s="29">
        <f t="shared" si="147"/>
        <v>0</v>
      </c>
      <c r="L206" s="29"/>
      <c r="M206" s="38">
        <f>MAX(0,MIN(Inputs!$B$36,R205,N206+O206+P206+Inputs!$B$6-Q205))</f>
        <v>0</v>
      </c>
      <c r="N206" s="38">
        <f>Inputs!$B$27*(1+Inputs!$B$28)^($A206/12)*IF(Inputs!$B$70=1,$G206,1)*(1-Inputs!$C$70*$H206*(1-Inputs!$E$54*Inputs!$B$70))*(1+$I206)*IF(Inputs!$B$29=0,1,(MAX(Q205,0)/Inputs!$B$6)^Inputs!$B$29)</f>
        <v>34982.371150384788</v>
      </c>
      <c r="O206" s="38">
        <f>Inputs!$B$32*Q205/Inputs!$B$6</f>
        <v>0</v>
      </c>
      <c r="P206" s="38">
        <f>Inputs!$B$33</f>
        <v>2500</v>
      </c>
      <c r="Q206" s="38">
        <f t="shared" si="148"/>
        <v>0</v>
      </c>
      <c r="R206" s="38">
        <f t="shared" si="149"/>
        <v>0</v>
      </c>
      <c r="S206" s="38">
        <f>Inputs!$B$19*(1-Inputs!$C$70*$H206)+Inputs!$B$21+Inputs!$B$70*$J206</f>
        <v>595000</v>
      </c>
      <c r="T206" s="38">
        <f t="shared" si="150"/>
        <v>-595000</v>
      </c>
      <c r="U206" s="38">
        <f t="shared" si="151"/>
        <v>1</v>
      </c>
      <c r="V206" s="38">
        <f>MAX(0,MIN(Inputs!$C$36,AA205,W206+X206+Y206+Inputs!$C$6-Z205))</f>
        <v>0</v>
      </c>
      <c r="W206" s="38">
        <f>Inputs!$C$27*(1+Inputs!$C$28)^($A206/12)*IF(Inputs!$B$70=1,$G206,1)*(1-Inputs!$C$70*$H206*(1-Inputs!$E$54*Inputs!$B$70))*(1+$I206)*IF(Inputs!$C$29=0,1,(MAX(Z205,0)/Inputs!$C$6)^Inputs!$C$29)</f>
        <v>0</v>
      </c>
      <c r="X206" s="38">
        <f>Inputs!$C$32*Z205/Inputs!$C$6</f>
        <v>0</v>
      </c>
      <c r="Y206" s="38">
        <f>Inputs!$C$33</f>
        <v>2000</v>
      </c>
      <c r="Z206" s="38">
        <f t="shared" si="152"/>
        <v>0</v>
      </c>
      <c r="AA206" s="38">
        <f t="shared" si="153"/>
        <v>0</v>
      </c>
      <c r="AB206" s="38">
        <f>Inputs!$C$19*(1-Inputs!$C$70*$H206)+Inputs!$C$21+Inputs!$B$70*$J206</f>
        <v>495000</v>
      </c>
      <c r="AC206" s="38">
        <f t="shared" si="154"/>
        <v>-495000</v>
      </c>
      <c r="AD206" s="38">
        <f t="shared" si="155"/>
        <v>1</v>
      </c>
      <c r="AE206" s="38">
        <f>MAX(0,MIN(Inputs!$D$36,AJ205,AF206+AG206+AH206+Inputs!$D$6-AI205))</f>
        <v>0</v>
      </c>
      <c r="AF206" s="38">
        <f>Inputs!$D$27*(1+Inputs!$D$28)^($A206/12)*IF(Inputs!$B$70=1,$G206,1)*(1-Inputs!$C$70*$H206*(1-Inputs!$E$54*Inputs!$B$70))*(1+$I206)*IF(Inputs!$D$29=0,1,(MAX(AI205,0)/Inputs!$D$6)^Inputs!$D$29)</f>
        <v>0</v>
      </c>
      <c r="AG206" s="38">
        <f>Inputs!$D$32*AI205/Inputs!$D$6</f>
        <v>0</v>
      </c>
      <c r="AH206" s="38">
        <f>Inputs!$D$33</f>
        <v>1500</v>
      </c>
      <c r="AI206" s="38">
        <f t="shared" si="156"/>
        <v>0</v>
      </c>
      <c r="AJ206" s="38">
        <f t="shared" si="157"/>
        <v>0</v>
      </c>
      <c r="AK206" s="38">
        <f>Inputs!$D$19*(1-Inputs!$C$70*$H206)+Inputs!$D$21+Inputs!$B$70*$J206</f>
        <v>404800</v>
      </c>
      <c r="AL206" s="38">
        <f t="shared" si="158"/>
        <v>-404800</v>
      </c>
      <c r="AM206" s="38">
        <f t="shared" si="159"/>
        <v>1</v>
      </c>
      <c r="AN206" s="38">
        <f>MAX(0,MIN(Inputs!$B$36,AS205,AO206+AP206+AQ206+Inputs!$B$6-AR205))</f>
        <v>0</v>
      </c>
      <c r="AO206" s="38">
        <f>Inputs!$B$27*(1+Inputs!$B$28)^($A206/12)*IF(Inputs!$B$71=1,$G206,1)*(1-Inputs!$C$71*$H206*(1-Inputs!$E$54*Inputs!$B$71))*(1+$I206)*IF(Inputs!$B$29=0,1,(MAX(AR205,0)/Inputs!$B$6)^Inputs!$B$29)</f>
        <v>29466.097118786663</v>
      </c>
      <c r="AP206" s="38">
        <f>Inputs!$B$32*AR205/Inputs!$B$6</f>
        <v>0</v>
      </c>
      <c r="AQ206" s="38">
        <f>Inputs!$B$33</f>
        <v>2500</v>
      </c>
      <c r="AR206" s="38">
        <f t="shared" si="160"/>
        <v>0</v>
      </c>
      <c r="AS206" s="38">
        <f t="shared" si="161"/>
        <v>0</v>
      </c>
      <c r="AT206" s="38">
        <f>Inputs!$B$19*(1-Inputs!$C$71*$H206)+Inputs!$B$21+Inputs!$B$71*$J206</f>
        <v>601000</v>
      </c>
      <c r="AU206" s="38">
        <f t="shared" si="162"/>
        <v>-601000</v>
      </c>
      <c r="AV206" s="38">
        <f t="shared" si="163"/>
        <v>1</v>
      </c>
      <c r="AW206" s="38">
        <f>MAX(0,MIN(Inputs!$C$36,BB205,AX206+AY206+AZ206+Inputs!$C$6-BA205))</f>
        <v>0</v>
      </c>
      <c r="AX206" s="38">
        <f>Inputs!$C$27*(1+Inputs!$C$28)^($A206/12)*IF(Inputs!$B$71=1,$G206,1)*(1-Inputs!$C$71*$H206*(1-Inputs!$E$54*Inputs!$B$71))*(1+$I206)*IF(Inputs!$C$29=0,1,(MAX(BA205,0)/Inputs!$C$6)^Inputs!$C$29)</f>
        <v>0</v>
      </c>
      <c r="AY206" s="38">
        <f>Inputs!$C$32*BA205/Inputs!$C$6</f>
        <v>0</v>
      </c>
      <c r="AZ206" s="38">
        <f>Inputs!$C$33</f>
        <v>2000</v>
      </c>
      <c r="BA206" s="38">
        <f t="shared" si="164"/>
        <v>0</v>
      </c>
      <c r="BB206" s="38">
        <f t="shared" si="165"/>
        <v>0</v>
      </c>
      <c r="BC206" s="38">
        <f>Inputs!$C$19*(1-Inputs!$C$71*$H206)+Inputs!$C$21+Inputs!$B$71*$J206</f>
        <v>501000</v>
      </c>
      <c r="BD206" s="38">
        <f t="shared" si="166"/>
        <v>-501000</v>
      </c>
      <c r="BE206" s="38">
        <f t="shared" si="167"/>
        <v>1</v>
      </c>
      <c r="BF206" s="38">
        <f>MAX(0,MIN(Inputs!$D$36,BK205,BG206+BH206+BI206+Inputs!$D$6-BJ205))</f>
        <v>0</v>
      </c>
      <c r="BG206" s="38">
        <f>Inputs!$D$27*(1+Inputs!$D$28)^($A206/12)*IF(Inputs!$B$71=1,$G206,1)*(1-Inputs!$C$71*$H206*(1-Inputs!$E$54*Inputs!$B$71))*(1+$I206)*IF(Inputs!$D$29=0,1,(MAX(BJ205,0)/Inputs!$D$6)^Inputs!$D$29)</f>
        <v>769.25363093147428</v>
      </c>
      <c r="BH206" s="38">
        <f>Inputs!$D$32*BJ205/Inputs!$D$6</f>
        <v>184.0884020708248</v>
      </c>
      <c r="BI206" s="38">
        <f>Inputs!$D$33</f>
        <v>1500</v>
      </c>
      <c r="BJ206" s="38">
        <f t="shared" si="168"/>
        <v>36117.561258027657</v>
      </c>
      <c r="BK206" s="38">
        <f t="shared" si="169"/>
        <v>0</v>
      </c>
      <c r="BL206" s="38">
        <f>Inputs!$D$19*(1-Inputs!$C$71*$H206)+Inputs!$D$21+Inputs!$B$71*$J206</f>
        <v>410800</v>
      </c>
      <c r="BM206" s="38">
        <f t="shared" si="170"/>
        <v>-374682.43874197232</v>
      </c>
      <c r="BN206" s="38">
        <f t="shared" si="171"/>
        <v>1</v>
      </c>
      <c r="BO206" s="38">
        <f>MAX(0,MIN(Inputs!$B$36,BT205,BP206+BQ206+BR206+Inputs!$B$6-BS205))</f>
        <v>0</v>
      </c>
      <c r="BP206" s="38">
        <f>Inputs!$B$27*(1+Inputs!$B$28)^($A206/12)*IF(Inputs!$B$72=1,$G206,1)*(1-Inputs!$C$72*$H206*(1-Inputs!$E$54*Inputs!$B$72))*(1+$I206)*IF(Inputs!$B$29=0,1,(MAX(BS205,0)/Inputs!$B$6)^Inputs!$B$29)</f>
        <v>31484.134035346313</v>
      </c>
      <c r="BQ206" s="38">
        <f>Inputs!$B$32*BS205/Inputs!$B$6</f>
        <v>0</v>
      </c>
      <c r="BR206" s="38">
        <f>Inputs!$B$33</f>
        <v>2500</v>
      </c>
      <c r="BS206" s="38">
        <f t="shared" si="172"/>
        <v>0</v>
      </c>
      <c r="BT206" s="38">
        <f t="shared" si="173"/>
        <v>0</v>
      </c>
      <c r="BU206" s="38">
        <f>Inputs!$B$19*(1-Inputs!$C$72*$H206)+Inputs!$B$21+Inputs!$B$72*$J206</f>
        <v>577500</v>
      </c>
      <c r="BV206" s="38">
        <f t="shared" si="174"/>
        <v>-577500</v>
      </c>
      <c r="BW206" s="38">
        <f t="shared" si="175"/>
        <v>1</v>
      </c>
      <c r="BX206" s="38">
        <f>MAX(0,MIN(Inputs!$C$36,CC205,BY206+BZ206+CA206+Inputs!$C$6-CB205))</f>
        <v>0</v>
      </c>
      <c r="BY206" s="38">
        <f>Inputs!$C$27*(1+Inputs!$C$28)^($A206/12)*IF(Inputs!$B$72=1,$G206,1)*(1-Inputs!$C$72*$H206*(1-Inputs!$E$54*Inputs!$B$72))*(1+$I206)*IF(Inputs!$C$29=0,1,(MAX(CB205,0)/Inputs!$C$6)^Inputs!$C$29)</f>
        <v>0</v>
      </c>
      <c r="BZ206" s="38">
        <f>Inputs!$C$32*CB205/Inputs!$C$6</f>
        <v>0</v>
      </c>
      <c r="CA206" s="38">
        <f>Inputs!$C$33</f>
        <v>2000</v>
      </c>
      <c r="CB206" s="38">
        <f t="shared" si="176"/>
        <v>0</v>
      </c>
      <c r="CC206" s="38">
        <f t="shared" si="177"/>
        <v>0</v>
      </c>
      <c r="CD206" s="38">
        <f>Inputs!$C$19*(1-Inputs!$C$72*$H206)+Inputs!$C$21+Inputs!$B$72*$J206</f>
        <v>480000</v>
      </c>
      <c r="CE206" s="38">
        <f t="shared" si="178"/>
        <v>-480000</v>
      </c>
      <c r="CF206" s="38">
        <f t="shared" si="179"/>
        <v>1</v>
      </c>
      <c r="CG206" s="38">
        <f>MAX(0,MIN(Inputs!$D$36,CL205,CH206+CI206+CJ206+Inputs!$D$6-CK205))</f>
        <v>0</v>
      </c>
      <c r="CH206" s="38">
        <f>Inputs!$D$27*(1+Inputs!$D$28)^($A206/12)*IF(Inputs!$B$72=1,$G206,1)*(1-Inputs!$C$72*$H206*(1-Inputs!$E$54*Inputs!$B$72))*(1+$I206)*IF(Inputs!$D$29=0,1,(MAX(CK205,0)/Inputs!$D$6)^Inputs!$D$29)</f>
        <v>567.89227829208494</v>
      </c>
      <c r="CI206" s="38">
        <f>Inputs!$D$32*CK205/Inputs!$D$6</f>
        <v>87.878163441439554</v>
      </c>
      <c r="CJ206" s="38">
        <f>Inputs!$D$33</f>
        <v>1500</v>
      </c>
      <c r="CK206" s="38">
        <f t="shared" si="180"/>
        <v>16256.797136472855</v>
      </c>
      <c r="CL206" s="38">
        <f t="shared" si="181"/>
        <v>0</v>
      </c>
      <c r="CM206" s="38">
        <f>Inputs!$D$19*(1-Inputs!$C$72*$H206)+Inputs!$D$21+Inputs!$B$72*$J206</f>
        <v>392150</v>
      </c>
      <c r="CN206" s="38">
        <f t="shared" si="182"/>
        <v>-375893.20286352717</v>
      </c>
      <c r="CO206" s="38">
        <f t="shared" si="183"/>
        <v>1</v>
      </c>
      <c r="CP206" s="38">
        <f>MAX(0,MIN(Inputs!$B$36,CU205,CQ206+CR206+CS206+Inputs!$B$6-CT205))</f>
        <v>0</v>
      </c>
      <c r="CQ206" s="38">
        <f>Inputs!$B$27*(1+Inputs!$B$28)^($A206/12)*IF(Inputs!$B$73=1,$G206,1)*(1-Inputs!$C$73*$H206*(1-Inputs!$E$54*Inputs!$B$73))*(1+$I206)*IF(Inputs!$B$29=0,1,(MAX(CT205,0)/Inputs!$B$6)^Inputs!$B$29)</f>
        <v>27992.792262847328</v>
      </c>
      <c r="CR206" s="38">
        <f>Inputs!$B$32*CT205/Inputs!$B$6</f>
        <v>0</v>
      </c>
      <c r="CS206" s="38">
        <f>Inputs!$B$33</f>
        <v>2500</v>
      </c>
      <c r="CT206" s="38">
        <f t="shared" si="184"/>
        <v>0</v>
      </c>
      <c r="CU206" s="38">
        <f t="shared" si="185"/>
        <v>0</v>
      </c>
      <c r="CV206" s="38">
        <f>Inputs!$B$19*(1-Inputs!$C$73*$H206)+Inputs!$B$21+Inputs!$B$73*$J206</f>
        <v>583500</v>
      </c>
      <c r="CW206" s="38">
        <f t="shared" si="186"/>
        <v>-583500</v>
      </c>
      <c r="CX206" s="38">
        <f t="shared" si="187"/>
        <v>1</v>
      </c>
      <c r="CY206" s="38">
        <f>MAX(0,MIN(Inputs!$C$36,DD205,CZ206+DA206+DB206+Inputs!$C$6-DC205))</f>
        <v>0</v>
      </c>
      <c r="CZ206" s="38">
        <f>Inputs!$C$27*(1+Inputs!$C$28)^($A206/12)*IF(Inputs!$B$73=1,$G206,1)*(1-Inputs!$C$73*$H206*(1-Inputs!$E$54*Inputs!$B$73))*(1+$I206)*IF(Inputs!$C$29=0,1,(MAX(DC205,0)/Inputs!$C$6)^Inputs!$C$29)</f>
        <v>0</v>
      </c>
      <c r="DA206" s="38">
        <f>Inputs!$C$32*DC205/Inputs!$C$6</f>
        <v>0</v>
      </c>
      <c r="DB206" s="38">
        <f>Inputs!$C$33</f>
        <v>2000</v>
      </c>
      <c r="DC206" s="38">
        <f t="shared" si="188"/>
        <v>0</v>
      </c>
      <c r="DD206" s="38">
        <f t="shared" si="189"/>
        <v>0</v>
      </c>
      <c r="DE206" s="38">
        <f>Inputs!$C$19*(1-Inputs!$C$73*$H206)+Inputs!$C$21+Inputs!$B$73*$J206</f>
        <v>486000</v>
      </c>
      <c r="DF206" s="38">
        <f t="shared" si="190"/>
        <v>-486000</v>
      </c>
      <c r="DG206" s="38">
        <f t="shared" si="191"/>
        <v>1</v>
      </c>
      <c r="DH206" s="38">
        <f>MAX(0,MIN(Inputs!$D$36,DM205,DI206+DJ206+DK206+Inputs!$D$6-DL205))</f>
        <v>0</v>
      </c>
      <c r="DI206" s="38">
        <f>Inputs!$D$27*(1+Inputs!$D$28)^($A206/12)*IF(Inputs!$B$73=1,$G206,1)*(1-Inputs!$C$73*$H206*(1-Inputs!$E$54*Inputs!$B$73))*(1+$I206)*IF(Inputs!$D$29=0,1,(MAX(DL205,0)/Inputs!$D$6)^Inputs!$D$29)</f>
        <v>851.41850401048521</v>
      </c>
      <c r="DJ206" s="38">
        <f>Inputs!$D$32*DL205/Inputs!$D$6</f>
        <v>249.87699631590937</v>
      </c>
      <c r="DK206" s="38">
        <f>Inputs!$D$33</f>
        <v>1500</v>
      </c>
      <c r="DL206" s="38">
        <f t="shared" si="192"/>
        <v>49753.884680149858</v>
      </c>
      <c r="DM206" s="38">
        <f t="shared" si="193"/>
        <v>0</v>
      </c>
      <c r="DN206" s="38">
        <f>Inputs!$D$19*(1-Inputs!$C$73*$H206)+Inputs!$D$21+Inputs!$B$73*$J206</f>
        <v>398150</v>
      </c>
      <c r="DO206" s="38">
        <f t="shared" si="194"/>
        <v>-348396.11531985016</v>
      </c>
      <c r="DP206" s="38">
        <f t="shared" si="195"/>
        <v>1</v>
      </c>
    </row>
    <row r="207" spans="1:120" x14ac:dyDescent="0.35">
      <c r="A207" s="29">
        <v>202</v>
      </c>
      <c r="B207" s="34">
        <f>EDATE(Inputs!$B$67,$A207)</f>
        <v>52413</v>
      </c>
      <c r="C207" s="35">
        <f>IF(Inputs!$E$47&lt;=0,Inputs!$E$46,Inputs!$E$44+(Inputs!$E$46-Inputs!$E$44)*MIN($A207/Inputs!$E$47,1))</f>
        <v>0.7</v>
      </c>
      <c r="D207" s="35">
        <f>MIN(Inputs!$E$57,Inputs!$E$55*(1+Inputs!$E$56)^($A207/12))*Inputs!$E$58*(1+Inputs!$E$59)^($A207/12)/Inputs!$E$45</f>
        <v>1.5</v>
      </c>
      <c r="E207" s="35">
        <f>MAX(Inputs!$E$44,MIN(C207,D207))</f>
        <v>0.7</v>
      </c>
      <c r="F207" s="35">
        <f>IF(Inputs!$E$50&lt;=0,Inputs!$E$49,Inputs!$E$48+(Inputs!$E$49-Inputs!$E$48)*MIN($A207/Inputs!$E$50,1))</f>
        <v>0.12</v>
      </c>
      <c r="G207" s="36">
        <f>(Inputs!$E$41*(1-E207*Inputs!$E$51)+Inputs!$E$42*(1-F207*Inputs!$E$51))/(Inputs!$E$41*(1-Inputs!$E$44*Inputs!$E$51)+Inputs!$E$42*(1-Inputs!$E$48*Inputs!$E$51))</f>
        <v>0.8423127463863338</v>
      </c>
      <c r="H207" s="35">
        <f>IF(Inputs!$E$53&lt;=0,Inputs!$E$52,Inputs!$E$52*MIN($A207/Inputs!$E$53,1))</f>
        <v>0.1</v>
      </c>
      <c r="I207" s="35">
        <f>IF(Inputs!$E$64&lt;=0,Inputs!$E$63,Inputs!$E$62+(Inputs!$E$63-Inputs!$E$62)*MIN($A207/Inputs!$E$64,1))</f>
        <v>0.03</v>
      </c>
      <c r="J207" s="37">
        <f>(E207-Inputs!$E$44)*Inputs!$E$45/Inputs!$E$60*Inputs!$E$61</f>
        <v>5999.9999999999991</v>
      </c>
      <c r="K207" s="29">
        <f t="shared" si="147"/>
        <v>0</v>
      </c>
      <c r="L207" s="29"/>
      <c r="M207" s="38">
        <f>MAX(0,MIN(Inputs!$B$36,R206,N207+O207+P207+Inputs!$B$6-Q206))</f>
        <v>0</v>
      </c>
      <c r="N207" s="38">
        <f>Inputs!$B$27*(1+Inputs!$B$28)^($A207/12)*IF(Inputs!$B$70=1,$G207,1)*(1-Inputs!$C$70*$H207*(1-Inputs!$E$54*Inputs!$B$70))*(1+$I207)*IF(Inputs!$B$29=0,1,(MAX(Q206,0)/Inputs!$B$6)^Inputs!$B$29)</f>
        <v>35124.893660696987</v>
      </c>
      <c r="O207" s="38">
        <f>Inputs!$B$32*Q206/Inputs!$B$6</f>
        <v>0</v>
      </c>
      <c r="P207" s="38">
        <f>Inputs!$B$33</f>
        <v>2500</v>
      </c>
      <c r="Q207" s="38">
        <f t="shared" si="148"/>
        <v>0</v>
      </c>
      <c r="R207" s="38">
        <f t="shared" si="149"/>
        <v>0</v>
      </c>
      <c r="S207" s="38">
        <f>Inputs!$B$19*(1-Inputs!$C$70*$H207)+Inputs!$B$21+Inputs!$B$70*$J207</f>
        <v>595000</v>
      </c>
      <c r="T207" s="38">
        <f t="shared" si="150"/>
        <v>-595000</v>
      </c>
      <c r="U207" s="38">
        <f t="shared" si="151"/>
        <v>1</v>
      </c>
      <c r="V207" s="38">
        <f>MAX(0,MIN(Inputs!$C$36,AA206,W207+X207+Y207+Inputs!$C$6-Z206))</f>
        <v>0</v>
      </c>
      <c r="W207" s="38">
        <f>Inputs!$C$27*(1+Inputs!$C$28)^($A207/12)*IF(Inputs!$B$70=1,$G207,1)*(1-Inputs!$C$70*$H207*(1-Inputs!$E$54*Inputs!$B$70))*(1+$I207)*IF(Inputs!$C$29=0,1,(MAX(Z206,0)/Inputs!$C$6)^Inputs!$C$29)</f>
        <v>0</v>
      </c>
      <c r="X207" s="38">
        <f>Inputs!$C$32*Z206/Inputs!$C$6</f>
        <v>0</v>
      </c>
      <c r="Y207" s="38">
        <f>Inputs!$C$33</f>
        <v>2000</v>
      </c>
      <c r="Z207" s="38">
        <f t="shared" si="152"/>
        <v>0</v>
      </c>
      <c r="AA207" s="38">
        <f t="shared" si="153"/>
        <v>0</v>
      </c>
      <c r="AB207" s="38">
        <f>Inputs!$C$19*(1-Inputs!$C$70*$H207)+Inputs!$C$21+Inputs!$B$70*$J207</f>
        <v>495000</v>
      </c>
      <c r="AC207" s="38">
        <f t="shared" si="154"/>
        <v>-495000</v>
      </c>
      <c r="AD207" s="38">
        <f t="shared" si="155"/>
        <v>1</v>
      </c>
      <c r="AE207" s="38">
        <f>MAX(0,MIN(Inputs!$D$36,AJ206,AF207+AG207+AH207+Inputs!$D$6-AI206))</f>
        <v>0</v>
      </c>
      <c r="AF207" s="38">
        <f>Inputs!$D$27*(1+Inputs!$D$28)^($A207/12)*IF(Inputs!$B$70=1,$G207,1)*(1-Inputs!$C$70*$H207*(1-Inputs!$E$54*Inputs!$B$70))*(1+$I207)*IF(Inputs!$D$29=0,1,(MAX(AI206,0)/Inputs!$D$6)^Inputs!$D$29)</f>
        <v>0</v>
      </c>
      <c r="AG207" s="38">
        <f>Inputs!$D$32*AI206/Inputs!$D$6</f>
        <v>0</v>
      </c>
      <c r="AH207" s="38">
        <f>Inputs!$D$33</f>
        <v>1500</v>
      </c>
      <c r="AI207" s="38">
        <f t="shared" si="156"/>
        <v>0</v>
      </c>
      <c r="AJ207" s="38">
        <f t="shared" si="157"/>
        <v>0</v>
      </c>
      <c r="AK207" s="38">
        <f>Inputs!$D$19*(1-Inputs!$C$70*$H207)+Inputs!$D$21+Inputs!$B$70*$J207</f>
        <v>404800</v>
      </c>
      <c r="AL207" s="38">
        <f t="shared" si="158"/>
        <v>-404800</v>
      </c>
      <c r="AM207" s="38">
        <f t="shared" si="159"/>
        <v>1</v>
      </c>
      <c r="AN207" s="38">
        <f>MAX(0,MIN(Inputs!$B$36,AS206,AO207+AP207+AQ207+Inputs!$B$6-AR206))</f>
        <v>0</v>
      </c>
      <c r="AO207" s="38">
        <f>Inputs!$B$27*(1+Inputs!$B$28)^($A207/12)*IF(Inputs!$B$71=1,$G207,1)*(1-Inputs!$C$71*$H207*(1-Inputs!$E$54*Inputs!$B$71))*(1+$I207)*IF(Inputs!$B$29=0,1,(MAX(AR206,0)/Inputs!$B$6)^Inputs!$B$29)</f>
        <v>29586.145645869608</v>
      </c>
      <c r="AP207" s="38">
        <f>Inputs!$B$32*AR206/Inputs!$B$6</f>
        <v>0</v>
      </c>
      <c r="AQ207" s="38">
        <f>Inputs!$B$33</f>
        <v>2500</v>
      </c>
      <c r="AR207" s="38">
        <f t="shared" si="160"/>
        <v>0</v>
      </c>
      <c r="AS207" s="38">
        <f t="shared" si="161"/>
        <v>0</v>
      </c>
      <c r="AT207" s="38">
        <f>Inputs!$B$19*(1-Inputs!$C$71*$H207)+Inputs!$B$21+Inputs!$B$71*$J207</f>
        <v>601000</v>
      </c>
      <c r="AU207" s="38">
        <f t="shared" si="162"/>
        <v>-601000</v>
      </c>
      <c r="AV207" s="38">
        <f t="shared" si="163"/>
        <v>1</v>
      </c>
      <c r="AW207" s="38">
        <f>MAX(0,MIN(Inputs!$C$36,BB206,AX207+AY207+AZ207+Inputs!$C$6-BA206))</f>
        <v>0</v>
      </c>
      <c r="AX207" s="38">
        <f>Inputs!$C$27*(1+Inputs!$C$28)^($A207/12)*IF(Inputs!$B$71=1,$G207,1)*(1-Inputs!$C$71*$H207*(1-Inputs!$E$54*Inputs!$B$71))*(1+$I207)*IF(Inputs!$C$29=0,1,(MAX(BA206,0)/Inputs!$C$6)^Inputs!$C$29)</f>
        <v>0</v>
      </c>
      <c r="AY207" s="38">
        <f>Inputs!$C$32*BA206/Inputs!$C$6</f>
        <v>0</v>
      </c>
      <c r="AZ207" s="38">
        <f>Inputs!$C$33</f>
        <v>2000</v>
      </c>
      <c r="BA207" s="38">
        <f t="shared" si="164"/>
        <v>0</v>
      </c>
      <c r="BB207" s="38">
        <f t="shared" si="165"/>
        <v>0</v>
      </c>
      <c r="BC207" s="38">
        <f>Inputs!$C$19*(1-Inputs!$C$71*$H207)+Inputs!$C$21+Inputs!$B$71*$J207</f>
        <v>501000</v>
      </c>
      <c r="BD207" s="38">
        <f t="shared" si="166"/>
        <v>-501000</v>
      </c>
      <c r="BE207" s="38">
        <f t="shared" si="167"/>
        <v>1</v>
      </c>
      <c r="BF207" s="38">
        <f>MAX(0,MIN(Inputs!$D$36,BK206,BG207+BH207+BI207+Inputs!$D$6-BJ206))</f>
        <v>0</v>
      </c>
      <c r="BG207" s="38">
        <f>Inputs!$D$27*(1+Inputs!$D$28)^($A207/12)*IF(Inputs!$B$71=1,$G207,1)*(1-Inputs!$C$71*$H207*(1-Inputs!$E$54*Inputs!$B$71))*(1+$I207)*IF(Inputs!$D$29=0,1,(MAX(BJ206,0)/Inputs!$D$6)^Inputs!$D$29)</f>
        <v>741.21208698552994</v>
      </c>
      <c r="BH207" s="38">
        <f>Inputs!$D$32*BJ206/Inputs!$D$6</f>
        <v>172.37926964058656</v>
      </c>
      <c r="BI207" s="38">
        <f>Inputs!$D$33</f>
        <v>1500</v>
      </c>
      <c r="BJ207" s="38">
        <f t="shared" si="168"/>
        <v>33703.969901401542</v>
      </c>
      <c r="BK207" s="38">
        <f t="shared" si="169"/>
        <v>0</v>
      </c>
      <c r="BL207" s="38">
        <f>Inputs!$D$19*(1-Inputs!$C$71*$H207)+Inputs!$D$21+Inputs!$B$71*$J207</f>
        <v>410800</v>
      </c>
      <c r="BM207" s="38">
        <f t="shared" si="170"/>
        <v>-377096.03009859845</v>
      </c>
      <c r="BN207" s="38">
        <f t="shared" si="171"/>
        <v>1</v>
      </c>
      <c r="BO207" s="38">
        <f>MAX(0,MIN(Inputs!$B$36,BT206,BP207+BQ207+BR207+Inputs!$B$6-BS206))</f>
        <v>0</v>
      </c>
      <c r="BP207" s="38">
        <f>Inputs!$B$27*(1+Inputs!$B$28)^($A207/12)*IF(Inputs!$B$72=1,$G207,1)*(1-Inputs!$C$72*$H207*(1-Inputs!$E$54*Inputs!$B$72))*(1+$I207)*IF(Inputs!$B$29=0,1,(MAX(BS206,0)/Inputs!$B$6)^Inputs!$B$29)</f>
        <v>31612.404294627293</v>
      </c>
      <c r="BQ207" s="38">
        <f>Inputs!$B$32*BS206/Inputs!$B$6</f>
        <v>0</v>
      </c>
      <c r="BR207" s="38">
        <f>Inputs!$B$33</f>
        <v>2500</v>
      </c>
      <c r="BS207" s="38">
        <f t="shared" si="172"/>
        <v>0</v>
      </c>
      <c r="BT207" s="38">
        <f t="shared" si="173"/>
        <v>0</v>
      </c>
      <c r="BU207" s="38">
        <f>Inputs!$B$19*(1-Inputs!$C$72*$H207)+Inputs!$B$21+Inputs!$B$72*$J207</f>
        <v>577500</v>
      </c>
      <c r="BV207" s="38">
        <f t="shared" si="174"/>
        <v>-577500</v>
      </c>
      <c r="BW207" s="38">
        <f t="shared" si="175"/>
        <v>1</v>
      </c>
      <c r="BX207" s="38">
        <f>MAX(0,MIN(Inputs!$C$36,CC206,BY207+BZ207+CA207+Inputs!$C$6-CB206))</f>
        <v>0</v>
      </c>
      <c r="BY207" s="38">
        <f>Inputs!$C$27*(1+Inputs!$C$28)^($A207/12)*IF(Inputs!$B$72=1,$G207,1)*(1-Inputs!$C$72*$H207*(1-Inputs!$E$54*Inputs!$B$72))*(1+$I207)*IF(Inputs!$C$29=0,1,(MAX(CB206,0)/Inputs!$C$6)^Inputs!$C$29)</f>
        <v>0</v>
      </c>
      <c r="BZ207" s="38">
        <f>Inputs!$C$32*CB206/Inputs!$C$6</f>
        <v>0</v>
      </c>
      <c r="CA207" s="38">
        <f>Inputs!$C$33</f>
        <v>2000</v>
      </c>
      <c r="CB207" s="38">
        <f t="shared" si="176"/>
        <v>0</v>
      </c>
      <c r="CC207" s="38">
        <f t="shared" si="177"/>
        <v>0</v>
      </c>
      <c r="CD207" s="38">
        <f>Inputs!$C$19*(1-Inputs!$C$72*$H207)+Inputs!$C$21+Inputs!$B$72*$J207</f>
        <v>480000</v>
      </c>
      <c r="CE207" s="38">
        <f t="shared" si="178"/>
        <v>-480000</v>
      </c>
      <c r="CF207" s="38">
        <f t="shared" si="179"/>
        <v>1</v>
      </c>
      <c r="CG207" s="38">
        <f>MAX(0,MIN(Inputs!$D$36,CL206,CH207+CI207+CJ207+Inputs!$D$6-CK206))</f>
        <v>0</v>
      </c>
      <c r="CH207" s="38">
        <f>Inputs!$D$27*(1+Inputs!$D$28)^($A207/12)*IF(Inputs!$B$72=1,$G207,1)*(1-Inputs!$C$72*$H207*(1-Inputs!$E$54*Inputs!$B$72))*(1+$I207)*IF(Inputs!$D$29=0,1,(MAX(CK206,0)/Inputs!$D$6)^Inputs!$D$29)</f>
        <v>531.33682169232532</v>
      </c>
      <c r="CI207" s="38">
        <f>Inputs!$D$32*CK206/Inputs!$D$6</f>
        <v>77.589259060438621</v>
      </c>
      <c r="CJ207" s="38">
        <f>Inputs!$D$33</f>
        <v>1500</v>
      </c>
      <c r="CK207" s="38">
        <f t="shared" si="180"/>
        <v>14147.871055720092</v>
      </c>
      <c r="CL207" s="38">
        <f t="shared" si="181"/>
        <v>0</v>
      </c>
      <c r="CM207" s="38">
        <f>Inputs!$D$19*(1-Inputs!$C$72*$H207)+Inputs!$D$21+Inputs!$B$72*$J207</f>
        <v>392150</v>
      </c>
      <c r="CN207" s="38">
        <f t="shared" si="182"/>
        <v>-378002.12894427992</v>
      </c>
      <c r="CO207" s="38">
        <f t="shared" si="183"/>
        <v>1</v>
      </c>
      <c r="CP207" s="38">
        <f>MAX(0,MIN(Inputs!$B$36,CU206,CQ207+CR207+CS207+Inputs!$B$6-CT206))</f>
        <v>0</v>
      </c>
      <c r="CQ207" s="38">
        <f>Inputs!$B$27*(1+Inputs!$B$28)^($A207/12)*IF(Inputs!$B$73=1,$G207,1)*(1-Inputs!$C$73*$H207*(1-Inputs!$E$54*Inputs!$B$73))*(1+$I207)*IF(Inputs!$B$29=0,1,(MAX(CT206,0)/Inputs!$B$6)^Inputs!$B$29)</f>
        <v>28106.838363576127</v>
      </c>
      <c r="CR207" s="38">
        <f>Inputs!$B$32*CT206/Inputs!$B$6</f>
        <v>0</v>
      </c>
      <c r="CS207" s="38">
        <f>Inputs!$B$33</f>
        <v>2500</v>
      </c>
      <c r="CT207" s="38">
        <f t="shared" si="184"/>
        <v>0</v>
      </c>
      <c r="CU207" s="38">
        <f t="shared" si="185"/>
        <v>0</v>
      </c>
      <c r="CV207" s="38">
        <f>Inputs!$B$19*(1-Inputs!$C$73*$H207)+Inputs!$B$21+Inputs!$B$73*$J207</f>
        <v>583500</v>
      </c>
      <c r="CW207" s="38">
        <f t="shared" si="186"/>
        <v>-583500</v>
      </c>
      <c r="CX207" s="38">
        <f t="shared" si="187"/>
        <v>1</v>
      </c>
      <c r="CY207" s="38">
        <f>MAX(0,MIN(Inputs!$C$36,DD206,CZ207+DA207+DB207+Inputs!$C$6-DC206))</f>
        <v>0</v>
      </c>
      <c r="CZ207" s="38">
        <f>Inputs!$C$27*(1+Inputs!$C$28)^($A207/12)*IF(Inputs!$B$73=1,$G207,1)*(1-Inputs!$C$73*$H207*(1-Inputs!$E$54*Inputs!$B$73))*(1+$I207)*IF(Inputs!$C$29=0,1,(MAX(DC206,0)/Inputs!$C$6)^Inputs!$C$29)</f>
        <v>0</v>
      </c>
      <c r="DA207" s="38">
        <f>Inputs!$C$32*DC206/Inputs!$C$6</f>
        <v>0</v>
      </c>
      <c r="DB207" s="38">
        <f>Inputs!$C$33</f>
        <v>2000</v>
      </c>
      <c r="DC207" s="38">
        <f t="shared" si="188"/>
        <v>0</v>
      </c>
      <c r="DD207" s="38">
        <f t="shared" si="189"/>
        <v>0</v>
      </c>
      <c r="DE207" s="38">
        <f>Inputs!$C$19*(1-Inputs!$C$73*$H207)+Inputs!$C$21+Inputs!$B$73*$J207</f>
        <v>486000</v>
      </c>
      <c r="DF207" s="38">
        <f t="shared" si="190"/>
        <v>-486000</v>
      </c>
      <c r="DG207" s="38">
        <f t="shared" si="191"/>
        <v>1</v>
      </c>
      <c r="DH207" s="38">
        <f>MAX(0,MIN(Inputs!$D$36,DM206,DI207+DJ207+DK207+Inputs!$D$6-DL206))</f>
        <v>0</v>
      </c>
      <c r="DI207" s="38">
        <f>Inputs!$D$27*(1+Inputs!$D$28)^($A207/12)*IF(Inputs!$B$73=1,$G207,1)*(1-Inputs!$C$73*$H207*(1-Inputs!$E$54*Inputs!$B$73))*(1+$I207)*IF(Inputs!$D$29=0,1,(MAX(DL206,0)/Inputs!$D$6)^Inputs!$D$29)</f>
        <v>826.45723633605803</v>
      </c>
      <c r="DJ207" s="38">
        <f>Inputs!$D$32*DL206/Inputs!$D$6</f>
        <v>237.46172233707887</v>
      </c>
      <c r="DK207" s="38">
        <f>Inputs!$D$33</f>
        <v>1500</v>
      </c>
      <c r="DL207" s="38">
        <f t="shared" si="192"/>
        <v>47189.965721476721</v>
      </c>
      <c r="DM207" s="38">
        <f t="shared" si="193"/>
        <v>0</v>
      </c>
      <c r="DN207" s="38">
        <f>Inputs!$D$19*(1-Inputs!$C$73*$H207)+Inputs!$D$21+Inputs!$B$73*$J207</f>
        <v>398150</v>
      </c>
      <c r="DO207" s="38">
        <f t="shared" si="194"/>
        <v>-350960.03427852329</v>
      </c>
      <c r="DP207" s="38">
        <f t="shared" si="195"/>
        <v>1</v>
      </c>
    </row>
    <row r="208" spans="1:120" x14ac:dyDescent="0.35">
      <c r="A208" s="29">
        <v>203</v>
      </c>
      <c r="B208" s="34">
        <f>EDATE(Inputs!$B$67,$A208)</f>
        <v>52444</v>
      </c>
      <c r="C208" s="35">
        <f>IF(Inputs!$E$47&lt;=0,Inputs!$E$46,Inputs!$E$44+(Inputs!$E$46-Inputs!$E$44)*MIN($A208/Inputs!$E$47,1))</f>
        <v>0.7</v>
      </c>
      <c r="D208" s="35">
        <f>MIN(Inputs!$E$57,Inputs!$E$55*(1+Inputs!$E$56)^($A208/12))*Inputs!$E$58*(1+Inputs!$E$59)^($A208/12)/Inputs!$E$45</f>
        <v>1.5</v>
      </c>
      <c r="E208" s="35">
        <f>MAX(Inputs!$E$44,MIN(C208,D208))</f>
        <v>0.7</v>
      </c>
      <c r="F208" s="35">
        <f>IF(Inputs!$E$50&lt;=0,Inputs!$E$49,Inputs!$E$48+(Inputs!$E$49-Inputs!$E$48)*MIN($A208/Inputs!$E$50,1))</f>
        <v>0.12</v>
      </c>
      <c r="G208" s="36">
        <f>(Inputs!$E$41*(1-E208*Inputs!$E$51)+Inputs!$E$42*(1-F208*Inputs!$E$51))/(Inputs!$E$41*(1-Inputs!$E$44*Inputs!$E$51)+Inputs!$E$42*(1-Inputs!$E$48*Inputs!$E$51))</f>
        <v>0.8423127463863338</v>
      </c>
      <c r="H208" s="35">
        <f>IF(Inputs!$E$53&lt;=0,Inputs!$E$52,Inputs!$E$52*MIN($A208/Inputs!$E$53,1))</f>
        <v>0.1</v>
      </c>
      <c r="I208" s="35">
        <f>IF(Inputs!$E$64&lt;=0,Inputs!$E$63,Inputs!$E$62+(Inputs!$E$63-Inputs!$E$62)*MIN($A208/Inputs!$E$64,1))</f>
        <v>0.03</v>
      </c>
      <c r="J208" s="37">
        <f>(E208-Inputs!$E$44)*Inputs!$E$45/Inputs!$E$60*Inputs!$E$61</f>
        <v>5999.9999999999991</v>
      </c>
      <c r="K208" s="29">
        <f t="shared" si="147"/>
        <v>0</v>
      </c>
      <c r="L208" s="29"/>
      <c r="M208" s="38">
        <f>MAX(0,MIN(Inputs!$B$36,R207,N208+O208+P208+Inputs!$B$6-Q207))</f>
        <v>0</v>
      </c>
      <c r="N208" s="38">
        <f>Inputs!$B$27*(1+Inputs!$B$28)^($A208/12)*IF(Inputs!$B$70=1,$G208,1)*(1-Inputs!$C$70*$H208*(1-Inputs!$E$54*Inputs!$B$70))*(1+$I208)*IF(Inputs!$B$29=0,1,(MAX(Q207,0)/Inputs!$B$6)^Inputs!$B$29)</f>
        <v>35267.996825358161</v>
      </c>
      <c r="O208" s="38">
        <f>Inputs!$B$32*Q207/Inputs!$B$6</f>
        <v>0</v>
      </c>
      <c r="P208" s="38">
        <f>Inputs!$B$33</f>
        <v>2500</v>
      </c>
      <c r="Q208" s="38">
        <f t="shared" si="148"/>
        <v>0</v>
      </c>
      <c r="R208" s="38">
        <f t="shared" si="149"/>
        <v>0</v>
      </c>
      <c r="S208" s="38">
        <f>Inputs!$B$19*(1-Inputs!$C$70*$H208)+Inputs!$B$21+Inputs!$B$70*$J208</f>
        <v>595000</v>
      </c>
      <c r="T208" s="38">
        <f t="shared" si="150"/>
        <v>-595000</v>
      </c>
      <c r="U208" s="38">
        <f t="shared" si="151"/>
        <v>1</v>
      </c>
      <c r="V208" s="38">
        <f>MAX(0,MIN(Inputs!$C$36,AA207,W208+X208+Y208+Inputs!$C$6-Z207))</f>
        <v>0</v>
      </c>
      <c r="W208" s="38">
        <f>Inputs!$C$27*(1+Inputs!$C$28)^($A208/12)*IF(Inputs!$B$70=1,$G208,1)*(1-Inputs!$C$70*$H208*(1-Inputs!$E$54*Inputs!$B$70))*(1+$I208)*IF(Inputs!$C$29=0,1,(MAX(Z207,0)/Inputs!$C$6)^Inputs!$C$29)</f>
        <v>0</v>
      </c>
      <c r="X208" s="38">
        <f>Inputs!$C$32*Z207/Inputs!$C$6</f>
        <v>0</v>
      </c>
      <c r="Y208" s="38">
        <f>Inputs!$C$33</f>
        <v>2000</v>
      </c>
      <c r="Z208" s="38">
        <f t="shared" si="152"/>
        <v>0</v>
      </c>
      <c r="AA208" s="38">
        <f t="shared" si="153"/>
        <v>0</v>
      </c>
      <c r="AB208" s="38">
        <f>Inputs!$C$19*(1-Inputs!$C$70*$H208)+Inputs!$C$21+Inputs!$B$70*$J208</f>
        <v>495000</v>
      </c>
      <c r="AC208" s="38">
        <f t="shared" si="154"/>
        <v>-495000</v>
      </c>
      <c r="AD208" s="38">
        <f t="shared" si="155"/>
        <v>1</v>
      </c>
      <c r="AE208" s="38">
        <f>MAX(0,MIN(Inputs!$D$36,AJ207,AF208+AG208+AH208+Inputs!$D$6-AI207))</f>
        <v>0</v>
      </c>
      <c r="AF208" s="38">
        <f>Inputs!$D$27*(1+Inputs!$D$28)^($A208/12)*IF(Inputs!$B$70=1,$G208,1)*(1-Inputs!$C$70*$H208*(1-Inputs!$E$54*Inputs!$B$70))*(1+$I208)*IF(Inputs!$D$29=0,1,(MAX(AI207,0)/Inputs!$D$6)^Inputs!$D$29)</f>
        <v>0</v>
      </c>
      <c r="AG208" s="38">
        <f>Inputs!$D$32*AI207/Inputs!$D$6</f>
        <v>0</v>
      </c>
      <c r="AH208" s="38">
        <f>Inputs!$D$33</f>
        <v>1500</v>
      </c>
      <c r="AI208" s="38">
        <f t="shared" si="156"/>
        <v>0</v>
      </c>
      <c r="AJ208" s="38">
        <f t="shared" si="157"/>
        <v>0</v>
      </c>
      <c r="AK208" s="38">
        <f>Inputs!$D$19*(1-Inputs!$C$70*$H208)+Inputs!$D$21+Inputs!$B$70*$J208</f>
        <v>404800</v>
      </c>
      <c r="AL208" s="38">
        <f t="shared" si="158"/>
        <v>-404800</v>
      </c>
      <c r="AM208" s="38">
        <f t="shared" si="159"/>
        <v>1</v>
      </c>
      <c r="AN208" s="38">
        <f>MAX(0,MIN(Inputs!$B$36,AS207,AO208+AP208+AQ208+Inputs!$B$6-AR207))</f>
        <v>0</v>
      </c>
      <c r="AO208" s="38">
        <f>Inputs!$B$27*(1+Inputs!$B$28)^($A208/12)*IF(Inputs!$B$71=1,$G208,1)*(1-Inputs!$C$71*$H208*(1-Inputs!$E$54*Inputs!$B$71))*(1+$I208)*IF(Inputs!$B$29=0,1,(MAX(AR207,0)/Inputs!$B$6)^Inputs!$B$29)</f>
        <v>29706.683265511936</v>
      </c>
      <c r="AP208" s="38">
        <f>Inputs!$B$32*AR207/Inputs!$B$6</f>
        <v>0</v>
      </c>
      <c r="AQ208" s="38">
        <f>Inputs!$B$33</f>
        <v>2500</v>
      </c>
      <c r="AR208" s="38">
        <f t="shared" si="160"/>
        <v>0</v>
      </c>
      <c r="AS208" s="38">
        <f t="shared" si="161"/>
        <v>0</v>
      </c>
      <c r="AT208" s="38">
        <f>Inputs!$B$19*(1-Inputs!$C$71*$H208)+Inputs!$B$21+Inputs!$B$71*$J208</f>
        <v>601000</v>
      </c>
      <c r="AU208" s="38">
        <f t="shared" si="162"/>
        <v>-601000</v>
      </c>
      <c r="AV208" s="38">
        <f t="shared" si="163"/>
        <v>1</v>
      </c>
      <c r="AW208" s="38">
        <f>MAX(0,MIN(Inputs!$C$36,BB207,AX208+AY208+AZ208+Inputs!$C$6-BA207))</f>
        <v>0</v>
      </c>
      <c r="AX208" s="38">
        <f>Inputs!$C$27*(1+Inputs!$C$28)^($A208/12)*IF(Inputs!$B$71=1,$G208,1)*(1-Inputs!$C$71*$H208*(1-Inputs!$E$54*Inputs!$B$71))*(1+$I208)*IF(Inputs!$C$29=0,1,(MAX(BA207,0)/Inputs!$C$6)^Inputs!$C$29)</f>
        <v>0</v>
      </c>
      <c r="AY208" s="38">
        <f>Inputs!$C$32*BA207/Inputs!$C$6</f>
        <v>0</v>
      </c>
      <c r="AZ208" s="38">
        <f>Inputs!$C$33</f>
        <v>2000</v>
      </c>
      <c r="BA208" s="38">
        <f t="shared" si="164"/>
        <v>0</v>
      </c>
      <c r="BB208" s="38">
        <f t="shared" si="165"/>
        <v>0</v>
      </c>
      <c r="BC208" s="38">
        <f>Inputs!$C$19*(1-Inputs!$C$71*$H208)+Inputs!$C$21+Inputs!$B$71*$J208</f>
        <v>501000</v>
      </c>
      <c r="BD208" s="38">
        <f t="shared" si="166"/>
        <v>-501000</v>
      </c>
      <c r="BE208" s="38">
        <f t="shared" si="167"/>
        <v>1</v>
      </c>
      <c r="BF208" s="38">
        <f>MAX(0,MIN(Inputs!$D$36,BK207,BG208+BH208+BI208+Inputs!$D$6-BJ207))</f>
        <v>0</v>
      </c>
      <c r="BG208" s="38">
        <f>Inputs!$D$27*(1+Inputs!$D$28)^($A208/12)*IF(Inputs!$B$71=1,$G208,1)*(1-Inputs!$C$71*$H208*(1-Inputs!$E$54*Inputs!$B$71))*(1+$I208)*IF(Inputs!$D$29=0,1,(MAX(BJ207,0)/Inputs!$D$6)^Inputs!$D$29)</f>
        <v>712.96374598494913</v>
      </c>
      <c r="BH208" s="38">
        <f>Inputs!$D$32*BJ207/Inputs!$D$6</f>
        <v>160.85985634759828</v>
      </c>
      <c r="BI208" s="38">
        <f>Inputs!$D$33</f>
        <v>1500</v>
      </c>
      <c r="BJ208" s="38">
        <f t="shared" si="168"/>
        <v>31330.146299068998</v>
      </c>
      <c r="BK208" s="38">
        <f t="shared" si="169"/>
        <v>0</v>
      </c>
      <c r="BL208" s="38">
        <f>Inputs!$D$19*(1-Inputs!$C$71*$H208)+Inputs!$D$21+Inputs!$B$71*$J208</f>
        <v>410800</v>
      </c>
      <c r="BM208" s="38">
        <f t="shared" si="170"/>
        <v>-379469.85370093101</v>
      </c>
      <c r="BN208" s="38">
        <f t="shared" si="171"/>
        <v>1</v>
      </c>
      <c r="BO208" s="38">
        <f>MAX(0,MIN(Inputs!$B$36,BT207,BP208+BQ208+BR208+Inputs!$B$6-BS207))</f>
        <v>0</v>
      </c>
      <c r="BP208" s="38">
        <f>Inputs!$B$27*(1+Inputs!$B$28)^($A208/12)*IF(Inputs!$B$72=1,$G208,1)*(1-Inputs!$C$72*$H208*(1-Inputs!$E$54*Inputs!$B$72))*(1+$I208)*IF(Inputs!$B$29=0,1,(MAX(BS207,0)/Inputs!$B$6)^Inputs!$B$29)</f>
        <v>31741.197142822344</v>
      </c>
      <c r="BQ208" s="38">
        <f>Inputs!$B$32*BS207/Inputs!$B$6</f>
        <v>0</v>
      </c>
      <c r="BR208" s="38">
        <f>Inputs!$B$33</f>
        <v>2500</v>
      </c>
      <c r="BS208" s="38">
        <f t="shared" si="172"/>
        <v>0</v>
      </c>
      <c r="BT208" s="38">
        <f t="shared" si="173"/>
        <v>0</v>
      </c>
      <c r="BU208" s="38">
        <f>Inputs!$B$19*(1-Inputs!$C$72*$H208)+Inputs!$B$21+Inputs!$B$72*$J208</f>
        <v>577500</v>
      </c>
      <c r="BV208" s="38">
        <f t="shared" si="174"/>
        <v>-577500</v>
      </c>
      <c r="BW208" s="38">
        <f t="shared" si="175"/>
        <v>1</v>
      </c>
      <c r="BX208" s="38">
        <f>MAX(0,MIN(Inputs!$C$36,CC207,BY208+BZ208+CA208+Inputs!$C$6-CB207))</f>
        <v>0</v>
      </c>
      <c r="BY208" s="38">
        <f>Inputs!$C$27*(1+Inputs!$C$28)^($A208/12)*IF(Inputs!$B$72=1,$G208,1)*(1-Inputs!$C$72*$H208*(1-Inputs!$E$54*Inputs!$B$72))*(1+$I208)*IF(Inputs!$C$29=0,1,(MAX(CB207,0)/Inputs!$C$6)^Inputs!$C$29)</f>
        <v>0</v>
      </c>
      <c r="BZ208" s="38">
        <f>Inputs!$C$32*CB207/Inputs!$C$6</f>
        <v>0</v>
      </c>
      <c r="CA208" s="38">
        <f>Inputs!$C$33</f>
        <v>2000</v>
      </c>
      <c r="CB208" s="38">
        <f t="shared" si="176"/>
        <v>0</v>
      </c>
      <c r="CC208" s="38">
        <f t="shared" si="177"/>
        <v>0</v>
      </c>
      <c r="CD208" s="38">
        <f>Inputs!$C$19*(1-Inputs!$C$72*$H208)+Inputs!$C$21+Inputs!$B$72*$J208</f>
        <v>480000</v>
      </c>
      <c r="CE208" s="38">
        <f t="shared" si="178"/>
        <v>-480000</v>
      </c>
      <c r="CF208" s="38">
        <f t="shared" si="179"/>
        <v>1</v>
      </c>
      <c r="CG208" s="38">
        <f>MAX(0,MIN(Inputs!$D$36,CL207,CH208+CI208+CJ208+Inputs!$D$6-CK207))</f>
        <v>0</v>
      </c>
      <c r="CH208" s="38">
        <f>Inputs!$D$27*(1+Inputs!$D$28)^($A208/12)*IF(Inputs!$B$72=1,$G208,1)*(1-Inputs!$C$72*$H208*(1-Inputs!$E$54*Inputs!$B$72))*(1+$I208)*IF(Inputs!$D$29=0,1,(MAX(CK207,0)/Inputs!$D$6)^Inputs!$D$29)</f>
        <v>493.561869646243</v>
      </c>
      <c r="CI208" s="38">
        <f>Inputs!$D$32*CK207/Inputs!$D$6</f>
        <v>67.523930038664076</v>
      </c>
      <c r="CJ208" s="38">
        <f>Inputs!$D$33</f>
        <v>1500</v>
      </c>
      <c r="CK208" s="38">
        <f t="shared" si="180"/>
        <v>12086.785256035186</v>
      </c>
      <c r="CL208" s="38">
        <f t="shared" si="181"/>
        <v>0</v>
      </c>
      <c r="CM208" s="38">
        <f>Inputs!$D$19*(1-Inputs!$C$72*$H208)+Inputs!$D$21+Inputs!$B$72*$J208</f>
        <v>392150</v>
      </c>
      <c r="CN208" s="38">
        <f t="shared" si="182"/>
        <v>-380063.21474396484</v>
      </c>
      <c r="CO208" s="38">
        <f t="shared" si="183"/>
        <v>1</v>
      </c>
      <c r="CP208" s="38">
        <f>MAX(0,MIN(Inputs!$B$36,CU207,CQ208+CR208+CS208+Inputs!$B$6-CT207))</f>
        <v>0</v>
      </c>
      <c r="CQ208" s="38">
        <f>Inputs!$B$27*(1+Inputs!$B$28)^($A208/12)*IF(Inputs!$B$73=1,$G208,1)*(1-Inputs!$C$73*$H208*(1-Inputs!$E$54*Inputs!$B$73))*(1+$I208)*IF(Inputs!$B$29=0,1,(MAX(CT207,0)/Inputs!$B$6)^Inputs!$B$29)</f>
        <v>28221.349102236334</v>
      </c>
      <c r="CR208" s="38">
        <f>Inputs!$B$32*CT207/Inputs!$B$6</f>
        <v>0</v>
      </c>
      <c r="CS208" s="38">
        <f>Inputs!$B$33</f>
        <v>2500</v>
      </c>
      <c r="CT208" s="38">
        <f t="shared" si="184"/>
        <v>0</v>
      </c>
      <c r="CU208" s="38">
        <f t="shared" si="185"/>
        <v>0</v>
      </c>
      <c r="CV208" s="38">
        <f>Inputs!$B$19*(1-Inputs!$C$73*$H208)+Inputs!$B$21+Inputs!$B$73*$J208</f>
        <v>583500</v>
      </c>
      <c r="CW208" s="38">
        <f t="shared" si="186"/>
        <v>-583500</v>
      </c>
      <c r="CX208" s="38">
        <f t="shared" si="187"/>
        <v>1</v>
      </c>
      <c r="CY208" s="38">
        <f>MAX(0,MIN(Inputs!$C$36,DD207,CZ208+DA208+DB208+Inputs!$C$6-DC207))</f>
        <v>0</v>
      </c>
      <c r="CZ208" s="38">
        <f>Inputs!$C$27*(1+Inputs!$C$28)^($A208/12)*IF(Inputs!$B$73=1,$G208,1)*(1-Inputs!$C$73*$H208*(1-Inputs!$E$54*Inputs!$B$73))*(1+$I208)*IF(Inputs!$C$29=0,1,(MAX(DC207,0)/Inputs!$C$6)^Inputs!$C$29)</f>
        <v>0</v>
      </c>
      <c r="DA208" s="38">
        <f>Inputs!$C$32*DC207/Inputs!$C$6</f>
        <v>0</v>
      </c>
      <c r="DB208" s="38">
        <f>Inputs!$C$33</f>
        <v>2000</v>
      </c>
      <c r="DC208" s="38">
        <f t="shared" si="188"/>
        <v>0</v>
      </c>
      <c r="DD208" s="38">
        <f t="shared" si="189"/>
        <v>0</v>
      </c>
      <c r="DE208" s="38">
        <f>Inputs!$C$19*(1-Inputs!$C$73*$H208)+Inputs!$C$21+Inputs!$B$73*$J208</f>
        <v>486000</v>
      </c>
      <c r="DF208" s="38">
        <f t="shared" si="190"/>
        <v>-486000</v>
      </c>
      <c r="DG208" s="38">
        <f t="shared" si="191"/>
        <v>1</v>
      </c>
      <c r="DH208" s="38">
        <f>MAX(0,MIN(Inputs!$D$36,DM207,DI208+DJ208+DK208+Inputs!$D$6-DL207))</f>
        <v>0</v>
      </c>
      <c r="DI208" s="38">
        <f>Inputs!$D$27*(1+Inputs!$D$28)^($A208/12)*IF(Inputs!$B$73=1,$G208,1)*(1-Inputs!$C$73*$H208*(1-Inputs!$E$54*Inputs!$B$73))*(1+$I208)*IF(Inputs!$D$29=0,1,(MAX(DL207,0)/Inputs!$D$6)^Inputs!$D$29)</f>
        <v>801.44800788939551</v>
      </c>
      <c r="DJ208" s="38">
        <f>Inputs!$D$32*DL207/Inputs!$D$6</f>
        <v>225.22483639795709</v>
      </c>
      <c r="DK208" s="38">
        <f>Inputs!$D$33</f>
        <v>1500</v>
      </c>
      <c r="DL208" s="38">
        <f t="shared" si="192"/>
        <v>44663.292877189364</v>
      </c>
      <c r="DM208" s="38">
        <f t="shared" si="193"/>
        <v>0</v>
      </c>
      <c r="DN208" s="38">
        <f>Inputs!$D$19*(1-Inputs!$C$73*$H208)+Inputs!$D$21+Inputs!$B$73*$J208</f>
        <v>398150</v>
      </c>
      <c r="DO208" s="38">
        <f t="shared" si="194"/>
        <v>-353486.70712281065</v>
      </c>
      <c r="DP208" s="38">
        <f t="shared" si="195"/>
        <v>1</v>
      </c>
    </row>
    <row r="209" spans="1:120" x14ac:dyDescent="0.35">
      <c r="A209" s="29">
        <v>204</v>
      </c>
      <c r="B209" s="34">
        <f>EDATE(Inputs!$B$67,$A209)</f>
        <v>52475</v>
      </c>
      <c r="C209" s="35">
        <f>IF(Inputs!$E$47&lt;=0,Inputs!$E$46,Inputs!$E$44+(Inputs!$E$46-Inputs!$E$44)*MIN($A209/Inputs!$E$47,1))</f>
        <v>0.7</v>
      </c>
      <c r="D209" s="35">
        <f>MIN(Inputs!$E$57,Inputs!$E$55*(1+Inputs!$E$56)^($A209/12))*Inputs!$E$58*(1+Inputs!$E$59)^($A209/12)/Inputs!$E$45</f>
        <v>1.5</v>
      </c>
      <c r="E209" s="35">
        <f>MAX(Inputs!$E$44,MIN(C209,D209))</f>
        <v>0.7</v>
      </c>
      <c r="F209" s="35">
        <f>IF(Inputs!$E$50&lt;=0,Inputs!$E$49,Inputs!$E$48+(Inputs!$E$49-Inputs!$E$48)*MIN($A209/Inputs!$E$50,1))</f>
        <v>0.12</v>
      </c>
      <c r="G209" s="36">
        <f>(Inputs!$E$41*(1-E209*Inputs!$E$51)+Inputs!$E$42*(1-F209*Inputs!$E$51))/(Inputs!$E$41*(1-Inputs!$E$44*Inputs!$E$51)+Inputs!$E$42*(1-Inputs!$E$48*Inputs!$E$51))</f>
        <v>0.8423127463863338</v>
      </c>
      <c r="H209" s="35">
        <f>IF(Inputs!$E$53&lt;=0,Inputs!$E$52,Inputs!$E$52*MIN($A209/Inputs!$E$53,1))</f>
        <v>0.1</v>
      </c>
      <c r="I209" s="35">
        <f>IF(Inputs!$E$64&lt;=0,Inputs!$E$63,Inputs!$E$62+(Inputs!$E$63-Inputs!$E$62)*MIN($A209/Inputs!$E$64,1))</f>
        <v>0.03</v>
      </c>
      <c r="J209" s="37">
        <f>(E209-Inputs!$E$44)*Inputs!$E$45/Inputs!$E$60*Inputs!$E$61</f>
        <v>5999.9999999999991</v>
      </c>
      <c r="K209" s="29">
        <f t="shared" si="147"/>
        <v>0</v>
      </c>
      <c r="L209" s="29"/>
      <c r="M209" s="38">
        <f>MAX(0,MIN(Inputs!$B$36,R208,N209+O209+P209+Inputs!$B$6-Q208))</f>
        <v>0</v>
      </c>
      <c r="N209" s="38">
        <f>Inputs!$B$27*(1+Inputs!$B$28)^($A209/12)*IF(Inputs!$B$70=1,$G209,1)*(1-Inputs!$C$70*$H209*(1-Inputs!$E$54*Inputs!$B$70))*(1+$I209)*IF(Inputs!$B$29=0,1,(MAX(Q208,0)/Inputs!$B$6)^Inputs!$B$29)</f>
        <v>35411.683010025969</v>
      </c>
      <c r="O209" s="38">
        <f>Inputs!$B$32*Q208/Inputs!$B$6</f>
        <v>0</v>
      </c>
      <c r="P209" s="38">
        <f>Inputs!$B$33</f>
        <v>2500</v>
      </c>
      <c r="Q209" s="38">
        <f t="shared" si="148"/>
        <v>0</v>
      </c>
      <c r="R209" s="38">
        <f t="shared" si="149"/>
        <v>0</v>
      </c>
      <c r="S209" s="38">
        <f>Inputs!$B$19*(1-Inputs!$C$70*$H209)+Inputs!$B$21+Inputs!$B$70*$J209</f>
        <v>595000</v>
      </c>
      <c r="T209" s="38">
        <f t="shared" si="150"/>
        <v>-595000</v>
      </c>
      <c r="U209" s="38">
        <f t="shared" si="151"/>
        <v>1</v>
      </c>
      <c r="V209" s="38">
        <f>MAX(0,MIN(Inputs!$C$36,AA208,W209+X209+Y209+Inputs!$C$6-Z208))</f>
        <v>0</v>
      </c>
      <c r="W209" s="38">
        <f>Inputs!$C$27*(1+Inputs!$C$28)^($A209/12)*IF(Inputs!$B$70=1,$G209,1)*(1-Inputs!$C$70*$H209*(1-Inputs!$E$54*Inputs!$B$70))*(1+$I209)*IF(Inputs!$C$29=0,1,(MAX(Z208,0)/Inputs!$C$6)^Inputs!$C$29)</f>
        <v>0</v>
      </c>
      <c r="X209" s="38">
        <f>Inputs!$C$32*Z208/Inputs!$C$6</f>
        <v>0</v>
      </c>
      <c r="Y209" s="38">
        <f>Inputs!$C$33</f>
        <v>2000</v>
      </c>
      <c r="Z209" s="38">
        <f t="shared" si="152"/>
        <v>0</v>
      </c>
      <c r="AA209" s="38">
        <f t="shared" si="153"/>
        <v>0</v>
      </c>
      <c r="AB209" s="38">
        <f>Inputs!$C$19*(1-Inputs!$C$70*$H209)+Inputs!$C$21+Inputs!$B$70*$J209</f>
        <v>495000</v>
      </c>
      <c r="AC209" s="38">
        <f t="shared" si="154"/>
        <v>-495000</v>
      </c>
      <c r="AD209" s="38">
        <f t="shared" si="155"/>
        <v>1</v>
      </c>
      <c r="AE209" s="38">
        <f>MAX(0,MIN(Inputs!$D$36,AJ208,AF209+AG209+AH209+Inputs!$D$6-AI208))</f>
        <v>0</v>
      </c>
      <c r="AF209" s="38">
        <f>Inputs!$D$27*(1+Inputs!$D$28)^($A209/12)*IF(Inputs!$B$70=1,$G209,1)*(1-Inputs!$C$70*$H209*(1-Inputs!$E$54*Inputs!$B$70))*(1+$I209)*IF(Inputs!$D$29=0,1,(MAX(AI208,0)/Inputs!$D$6)^Inputs!$D$29)</f>
        <v>0</v>
      </c>
      <c r="AG209" s="38">
        <f>Inputs!$D$32*AI208/Inputs!$D$6</f>
        <v>0</v>
      </c>
      <c r="AH209" s="38">
        <f>Inputs!$D$33</f>
        <v>1500</v>
      </c>
      <c r="AI209" s="38">
        <f t="shared" si="156"/>
        <v>0</v>
      </c>
      <c r="AJ209" s="38">
        <f t="shared" si="157"/>
        <v>0</v>
      </c>
      <c r="AK209" s="38">
        <f>Inputs!$D$19*(1-Inputs!$C$70*$H209)+Inputs!$D$21+Inputs!$B$70*$J209</f>
        <v>404800</v>
      </c>
      <c r="AL209" s="38">
        <f t="shared" si="158"/>
        <v>-404800</v>
      </c>
      <c r="AM209" s="38">
        <f t="shared" si="159"/>
        <v>1</v>
      </c>
      <c r="AN209" s="38">
        <f>MAX(0,MIN(Inputs!$B$36,AS208,AO209+AP209+AQ209+Inputs!$B$6-AR208))</f>
        <v>0</v>
      </c>
      <c r="AO209" s="38">
        <f>Inputs!$B$27*(1+Inputs!$B$28)^($A209/12)*IF(Inputs!$B$71=1,$G209,1)*(1-Inputs!$C$71*$H209*(1-Inputs!$E$54*Inputs!$B$71))*(1+$I209)*IF(Inputs!$B$29=0,1,(MAX(AR208,0)/Inputs!$B$6)^Inputs!$B$29)</f>
        <v>29827.711970337248</v>
      </c>
      <c r="AP209" s="38">
        <f>Inputs!$B$32*AR208/Inputs!$B$6</f>
        <v>0</v>
      </c>
      <c r="AQ209" s="38">
        <f>Inputs!$B$33</f>
        <v>2500</v>
      </c>
      <c r="AR209" s="38">
        <f t="shared" si="160"/>
        <v>0</v>
      </c>
      <c r="AS209" s="38">
        <f t="shared" si="161"/>
        <v>0</v>
      </c>
      <c r="AT209" s="38">
        <f>Inputs!$B$19*(1-Inputs!$C$71*$H209)+Inputs!$B$21+Inputs!$B$71*$J209</f>
        <v>601000</v>
      </c>
      <c r="AU209" s="38">
        <f t="shared" si="162"/>
        <v>-601000</v>
      </c>
      <c r="AV209" s="38">
        <f t="shared" si="163"/>
        <v>1</v>
      </c>
      <c r="AW209" s="38">
        <f>MAX(0,MIN(Inputs!$C$36,BB208,AX209+AY209+AZ209+Inputs!$C$6-BA208))</f>
        <v>0</v>
      </c>
      <c r="AX209" s="38">
        <f>Inputs!$C$27*(1+Inputs!$C$28)^($A209/12)*IF(Inputs!$B$71=1,$G209,1)*(1-Inputs!$C$71*$H209*(1-Inputs!$E$54*Inputs!$B$71))*(1+$I209)*IF(Inputs!$C$29=0,1,(MAX(BA208,0)/Inputs!$C$6)^Inputs!$C$29)</f>
        <v>0</v>
      </c>
      <c r="AY209" s="38">
        <f>Inputs!$C$32*BA208/Inputs!$C$6</f>
        <v>0</v>
      </c>
      <c r="AZ209" s="38">
        <f>Inputs!$C$33</f>
        <v>2000</v>
      </c>
      <c r="BA209" s="38">
        <f t="shared" si="164"/>
        <v>0</v>
      </c>
      <c r="BB209" s="38">
        <f t="shared" si="165"/>
        <v>0</v>
      </c>
      <c r="BC209" s="38">
        <f>Inputs!$C$19*(1-Inputs!$C$71*$H209)+Inputs!$C$21+Inputs!$B$71*$J209</f>
        <v>501000</v>
      </c>
      <c r="BD209" s="38">
        <f t="shared" si="166"/>
        <v>-501000</v>
      </c>
      <c r="BE209" s="38">
        <f t="shared" si="167"/>
        <v>1</v>
      </c>
      <c r="BF209" s="38">
        <f>MAX(0,MIN(Inputs!$D$36,BK208,BG209+BH209+BI209+Inputs!$D$6-BJ208))</f>
        <v>0</v>
      </c>
      <c r="BG209" s="38">
        <f>Inputs!$D$27*(1+Inputs!$D$28)^($A209/12)*IF(Inputs!$B$71=1,$G209,1)*(1-Inputs!$C$71*$H209*(1-Inputs!$E$54*Inputs!$B$71))*(1+$I209)*IF(Inputs!$D$29=0,1,(MAX(BJ208,0)/Inputs!$D$6)^Inputs!$D$29)</f>
        <v>684.46581521808662</v>
      </c>
      <c r="BH209" s="38">
        <f>Inputs!$D$32*BJ208/Inputs!$D$6</f>
        <v>149.53024370010203</v>
      </c>
      <c r="BI209" s="38">
        <f>Inputs!$D$33</f>
        <v>1500</v>
      </c>
      <c r="BJ209" s="38">
        <f t="shared" si="168"/>
        <v>28996.150240150811</v>
      </c>
      <c r="BK209" s="38">
        <f t="shared" si="169"/>
        <v>0</v>
      </c>
      <c r="BL209" s="38">
        <f>Inputs!$D$19*(1-Inputs!$C$71*$H209)+Inputs!$D$21+Inputs!$B$71*$J209</f>
        <v>410800</v>
      </c>
      <c r="BM209" s="38">
        <f t="shared" si="170"/>
        <v>-381803.8497598492</v>
      </c>
      <c r="BN209" s="38">
        <f t="shared" si="171"/>
        <v>1</v>
      </c>
      <c r="BO209" s="38">
        <f>MAX(0,MIN(Inputs!$B$36,BT208,BP209+BQ209+BR209+Inputs!$B$6-BS208))</f>
        <v>0</v>
      </c>
      <c r="BP209" s="38">
        <f>Inputs!$B$27*(1+Inputs!$B$28)^($A209/12)*IF(Inputs!$B$72=1,$G209,1)*(1-Inputs!$C$72*$H209*(1-Inputs!$E$54*Inputs!$B$72))*(1+$I209)*IF(Inputs!$B$29=0,1,(MAX(BS208,0)/Inputs!$B$6)^Inputs!$B$29)</f>
        <v>31870.51470902337</v>
      </c>
      <c r="BQ209" s="38">
        <f>Inputs!$B$32*BS208/Inputs!$B$6</f>
        <v>0</v>
      </c>
      <c r="BR209" s="38">
        <f>Inputs!$B$33</f>
        <v>2500</v>
      </c>
      <c r="BS209" s="38">
        <f t="shared" si="172"/>
        <v>0</v>
      </c>
      <c r="BT209" s="38">
        <f t="shared" si="173"/>
        <v>0</v>
      </c>
      <c r="BU209" s="38">
        <f>Inputs!$B$19*(1-Inputs!$C$72*$H209)+Inputs!$B$21+Inputs!$B$72*$J209</f>
        <v>577500</v>
      </c>
      <c r="BV209" s="38">
        <f t="shared" si="174"/>
        <v>-577500</v>
      </c>
      <c r="BW209" s="38">
        <f t="shared" si="175"/>
        <v>1</v>
      </c>
      <c r="BX209" s="38">
        <f>MAX(0,MIN(Inputs!$C$36,CC208,BY209+BZ209+CA209+Inputs!$C$6-CB208))</f>
        <v>0</v>
      </c>
      <c r="BY209" s="38">
        <f>Inputs!$C$27*(1+Inputs!$C$28)^($A209/12)*IF(Inputs!$B$72=1,$G209,1)*(1-Inputs!$C$72*$H209*(1-Inputs!$E$54*Inputs!$B$72))*(1+$I209)*IF(Inputs!$C$29=0,1,(MAX(CB208,0)/Inputs!$C$6)^Inputs!$C$29)</f>
        <v>0</v>
      </c>
      <c r="BZ209" s="38">
        <f>Inputs!$C$32*CB208/Inputs!$C$6</f>
        <v>0</v>
      </c>
      <c r="CA209" s="38">
        <f>Inputs!$C$33</f>
        <v>2000</v>
      </c>
      <c r="CB209" s="38">
        <f t="shared" si="176"/>
        <v>0</v>
      </c>
      <c r="CC209" s="38">
        <f t="shared" si="177"/>
        <v>0</v>
      </c>
      <c r="CD209" s="38">
        <f>Inputs!$C$19*(1-Inputs!$C$72*$H209)+Inputs!$C$21+Inputs!$B$72*$J209</f>
        <v>480000</v>
      </c>
      <c r="CE209" s="38">
        <f t="shared" si="178"/>
        <v>-480000</v>
      </c>
      <c r="CF209" s="38">
        <f t="shared" si="179"/>
        <v>1</v>
      </c>
      <c r="CG209" s="38">
        <f>MAX(0,MIN(Inputs!$D$36,CL208,CH209+CI209+CJ209+Inputs!$D$6-CK208))</f>
        <v>0</v>
      </c>
      <c r="CH209" s="38">
        <f>Inputs!$D$27*(1+Inputs!$D$28)^($A209/12)*IF(Inputs!$B$72=1,$G209,1)*(1-Inputs!$C$72*$H209*(1-Inputs!$E$54*Inputs!$B$72))*(1+$I209)*IF(Inputs!$D$29=0,1,(MAX(CK208,0)/Inputs!$D$6)^Inputs!$D$29)</f>
        <v>454.25016219331991</v>
      </c>
      <c r="CI209" s="38">
        <f>Inputs!$D$32*CK208/Inputs!$D$6</f>
        <v>57.686929631077021</v>
      </c>
      <c r="CJ209" s="38">
        <f>Inputs!$D$33</f>
        <v>1500</v>
      </c>
      <c r="CK209" s="38">
        <f t="shared" si="180"/>
        <v>10074.848164210787</v>
      </c>
      <c r="CL209" s="38">
        <f t="shared" si="181"/>
        <v>0</v>
      </c>
      <c r="CM209" s="38">
        <f>Inputs!$D$19*(1-Inputs!$C$72*$H209)+Inputs!$D$21+Inputs!$B$72*$J209</f>
        <v>392150</v>
      </c>
      <c r="CN209" s="38">
        <f t="shared" si="182"/>
        <v>-382075.15183578921</v>
      </c>
      <c r="CO209" s="38">
        <f t="shared" si="183"/>
        <v>1</v>
      </c>
      <c r="CP209" s="38">
        <f>MAX(0,MIN(Inputs!$B$36,CU208,CQ209+CR209+CS209+Inputs!$B$6-CT208))</f>
        <v>0</v>
      </c>
      <c r="CQ209" s="38">
        <f>Inputs!$B$27*(1+Inputs!$B$28)^($A209/12)*IF(Inputs!$B$73=1,$G209,1)*(1-Inputs!$C$73*$H209*(1-Inputs!$E$54*Inputs!$B$73))*(1+$I209)*IF(Inputs!$B$29=0,1,(MAX(CT208,0)/Inputs!$B$6)^Inputs!$B$29)</f>
        <v>28336.326371820385</v>
      </c>
      <c r="CR209" s="38">
        <f>Inputs!$B$32*CT208/Inputs!$B$6</f>
        <v>0</v>
      </c>
      <c r="CS209" s="38">
        <f>Inputs!$B$33</f>
        <v>2500</v>
      </c>
      <c r="CT209" s="38">
        <f t="shared" si="184"/>
        <v>0</v>
      </c>
      <c r="CU209" s="38">
        <f t="shared" si="185"/>
        <v>0</v>
      </c>
      <c r="CV209" s="38">
        <f>Inputs!$B$19*(1-Inputs!$C$73*$H209)+Inputs!$B$21+Inputs!$B$73*$J209</f>
        <v>583500</v>
      </c>
      <c r="CW209" s="38">
        <f t="shared" si="186"/>
        <v>-583500</v>
      </c>
      <c r="CX209" s="38">
        <f t="shared" si="187"/>
        <v>1</v>
      </c>
      <c r="CY209" s="38">
        <f>MAX(0,MIN(Inputs!$C$36,DD208,CZ209+DA209+DB209+Inputs!$C$6-DC208))</f>
        <v>0</v>
      </c>
      <c r="CZ209" s="38">
        <f>Inputs!$C$27*(1+Inputs!$C$28)^($A209/12)*IF(Inputs!$B$73=1,$G209,1)*(1-Inputs!$C$73*$H209*(1-Inputs!$E$54*Inputs!$B$73))*(1+$I209)*IF(Inputs!$C$29=0,1,(MAX(DC208,0)/Inputs!$C$6)^Inputs!$C$29)</f>
        <v>0</v>
      </c>
      <c r="DA209" s="38">
        <f>Inputs!$C$32*DC208/Inputs!$C$6</f>
        <v>0</v>
      </c>
      <c r="DB209" s="38">
        <f>Inputs!$C$33</f>
        <v>2000</v>
      </c>
      <c r="DC209" s="38">
        <f t="shared" si="188"/>
        <v>0</v>
      </c>
      <c r="DD209" s="38">
        <f t="shared" si="189"/>
        <v>0</v>
      </c>
      <c r="DE209" s="38">
        <f>Inputs!$C$19*(1-Inputs!$C$73*$H209)+Inputs!$C$21+Inputs!$B$73*$J209</f>
        <v>486000</v>
      </c>
      <c r="DF209" s="38">
        <f t="shared" si="190"/>
        <v>-486000</v>
      </c>
      <c r="DG209" s="38">
        <f t="shared" si="191"/>
        <v>1</v>
      </c>
      <c r="DH209" s="38">
        <f>MAX(0,MIN(Inputs!$D$36,DM208,DI209+DJ209+DK209+Inputs!$D$6-DL208))</f>
        <v>0</v>
      </c>
      <c r="DI209" s="38">
        <f>Inputs!$D$27*(1+Inputs!$D$28)^($A209/12)*IF(Inputs!$B$73=1,$G209,1)*(1-Inputs!$C$73*$H209*(1-Inputs!$E$54*Inputs!$B$73))*(1+$I209)*IF(Inputs!$D$29=0,1,(MAX(DL208,0)/Inputs!$D$6)^Inputs!$D$29)</f>
        <v>776.37139576516313</v>
      </c>
      <c r="DJ209" s="38">
        <f>Inputs!$D$32*DL208/Inputs!$D$6</f>
        <v>213.1657160047674</v>
      </c>
      <c r="DK209" s="38">
        <f>Inputs!$D$33</f>
        <v>1500</v>
      </c>
      <c r="DL209" s="38">
        <f t="shared" si="192"/>
        <v>42173.755765419432</v>
      </c>
      <c r="DM209" s="38">
        <f t="shared" si="193"/>
        <v>0</v>
      </c>
      <c r="DN209" s="38">
        <f>Inputs!$D$19*(1-Inputs!$C$73*$H209)+Inputs!$D$21+Inputs!$B$73*$J209</f>
        <v>398150</v>
      </c>
      <c r="DO209" s="38">
        <f t="shared" si="194"/>
        <v>-355976.24423458055</v>
      </c>
      <c r="DP209" s="38">
        <f t="shared" si="195"/>
        <v>1</v>
      </c>
    </row>
    <row r="210" spans="1:120" x14ac:dyDescent="0.35">
      <c r="A210" s="29">
        <v>205</v>
      </c>
      <c r="B210" s="34">
        <f>EDATE(Inputs!$B$67,$A210)</f>
        <v>52505</v>
      </c>
      <c r="C210" s="35">
        <f>IF(Inputs!$E$47&lt;=0,Inputs!$E$46,Inputs!$E$44+(Inputs!$E$46-Inputs!$E$44)*MIN($A210/Inputs!$E$47,1))</f>
        <v>0.7</v>
      </c>
      <c r="D210" s="35">
        <f>MIN(Inputs!$E$57,Inputs!$E$55*(1+Inputs!$E$56)^($A210/12))*Inputs!$E$58*(1+Inputs!$E$59)^($A210/12)/Inputs!$E$45</f>
        <v>1.5</v>
      </c>
      <c r="E210" s="35">
        <f>MAX(Inputs!$E$44,MIN(C210,D210))</f>
        <v>0.7</v>
      </c>
      <c r="F210" s="35">
        <f>IF(Inputs!$E$50&lt;=0,Inputs!$E$49,Inputs!$E$48+(Inputs!$E$49-Inputs!$E$48)*MIN($A210/Inputs!$E$50,1))</f>
        <v>0.12</v>
      </c>
      <c r="G210" s="36">
        <f>(Inputs!$E$41*(1-E210*Inputs!$E$51)+Inputs!$E$42*(1-F210*Inputs!$E$51))/(Inputs!$E$41*(1-Inputs!$E$44*Inputs!$E$51)+Inputs!$E$42*(1-Inputs!$E$48*Inputs!$E$51))</f>
        <v>0.8423127463863338</v>
      </c>
      <c r="H210" s="35">
        <f>IF(Inputs!$E$53&lt;=0,Inputs!$E$52,Inputs!$E$52*MIN($A210/Inputs!$E$53,1))</f>
        <v>0.1</v>
      </c>
      <c r="I210" s="35">
        <f>IF(Inputs!$E$64&lt;=0,Inputs!$E$63,Inputs!$E$62+(Inputs!$E$63-Inputs!$E$62)*MIN($A210/Inputs!$E$64,1))</f>
        <v>0.03</v>
      </c>
      <c r="J210" s="37">
        <f>(E210-Inputs!$E$44)*Inputs!$E$45/Inputs!$E$60*Inputs!$E$61</f>
        <v>5999.9999999999991</v>
      </c>
      <c r="K210" s="29">
        <f t="shared" si="147"/>
        <v>0</v>
      </c>
      <c r="L210" s="29"/>
      <c r="M210" s="38">
        <f>MAX(0,MIN(Inputs!$B$36,R209,N210+O210+P210+Inputs!$B$6-Q209))</f>
        <v>0</v>
      </c>
      <c r="N210" s="38">
        <f>Inputs!$B$27*(1+Inputs!$B$28)^($A210/12)*IF(Inputs!$B$70=1,$G210,1)*(1-Inputs!$C$70*$H210*(1-Inputs!$E$54*Inputs!$B$70))*(1+$I210)*IF(Inputs!$B$29=0,1,(MAX(Q209,0)/Inputs!$B$6)^Inputs!$B$29)</f>
        <v>35555.95458999613</v>
      </c>
      <c r="O210" s="38">
        <f>Inputs!$B$32*Q209/Inputs!$B$6</f>
        <v>0</v>
      </c>
      <c r="P210" s="38">
        <f>Inputs!$B$33</f>
        <v>2500</v>
      </c>
      <c r="Q210" s="38">
        <f t="shared" si="148"/>
        <v>0</v>
      </c>
      <c r="R210" s="38">
        <f t="shared" si="149"/>
        <v>0</v>
      </c>
      <c r="S210" s="38">
        <f>Inputs!$B$19*(1-Inputs!$C$70*$H210)+Inputs!$B$21+Inputs!$B$70*$J210</f>
        <v>595000</v>
      </c>
      <c r="T210" s="38">
        <f t="shared" si="150"/>
        <v>-595000</v>
      </c>
      <c r="U210" s="38">
        <f t="shared" si="151"/>
        <v>1</v>
      </c>
      <c r="V210" s="38">
        <f>MAX(0,MIN(Inputs!$C$36,AA209,W210+X210+Y210+Inputs!$C$6-Z209))</f>
        <v>0</v>
      </c>
      <c r="W210" s="38">
        <f>Inputs!$C$27*(1+Inputs!$C$28)^($A210/12)*IF(Inputs!$B$70=1,$G210,1)*(1-Inputs!$C$70*$H210*(1-Inputs!$E$54*Inputs!$B$70))*(1+$I210)*IF(Inputs!$C$29=0,1,(MAX(Z209,0)/Inputs!$C$6)^Inputs!$C$29)</f>
        <v>0</v>
      </c>
      <c r="X210" s="38">
        <f>Inputs!$C$32*Z209/Inputs!$C$6</f>
        <v>0</v>
      </c>
      <c r="Y210" s="38">
        <f>Inputs!$C$33</f>
        <v>2000</v>
      </c>
      <c r="Z210" s="38">
        <f t="shared" si="152"/>
        <v>0</v>
      </c>
      <c r="AA210" s="38">
        <f t="shared" si="153"/>
        <v>0</v>
      </c>
      <c r="AB210" s="38">
        <f>Inputs!$C$19*(1-Inputs!$C$70*$H210)+Inputs!$C$21+Inputs!$B$70*$J210</f>
        <v>495000</v>
      </c>
      <c r="AC210" s="38">
        <f t="shared" si="154"/>
        <v>-495000</v>
      </c>
      <c r="AD210" s="38">
        <f t="shared" si="155"/>
        <v>1</v>
      </c>
      <c r="AE210" s="38">
        <f>MAX(0,MIN(Inputs!$D$36,AJ209,AF210+AG210+AH210+Inputs!$D$6-AI209))</f>
        <v>0</v>
      </c>
      <c r="AF210" s="38">
        <f>Inputs!$D$27*(1+Inputs!$D$28)^($A210/12)*IF(Inputs!$B$70=1,$G210,1)*(1-Inputs!$C$70*$H210*(1-Inputs!$E$54*Inputs!$B$70))*(1+$I210)*IF(Inputs!$D$29=0,1,(MAX(AI209,0)/Inputs!$D$6)^Inputs!$D$29)</f>
        <v>0</v>
      </c>
      <c r="AG210" s="38">
        <f>Inputs!$D$32*AI209/Inputs!$D$6</f>
        <v>0</v>
      </c>
      <c r="AH210" s="38">
        <f>Inputs!$D$33</f>
        <v>1500</v>
      </c>
      <c r="AI210" s="38">
        <f t="shared" si="156"/>
        <v>0</v>
      </c>
      <c r="AJ210" s="38">
        <f t="shared" si="157"/>
        <v>0</v>
      </c>
      <c r="AK210" s="38">
        <f>Inputs!$D$19*(1-Inputs!$C$70*$H210)+Inputs!$D$21+Inputs!$B$70*$J210</f>
        <v>404800</v>
      </c>
      <c r="AL210" s="38">
        <f t="shared" si="158"/>
        <v>-404800</v>
      </c>
      <c r="AM210" s="38">
        <f t="shared" si="159"/>
        <v>1</v>
      </c>
      <c r="AN210" s="38">
        <f>MAX(0,MIN(Inputs!$B$36,AS209,AO210+AP210+AQ210+Inputs!$B$6-AR209))</f>
        <v>0</v>
      </c>
      <c r="AO210" s="38">
        <f>Inputs!$B$27*(1+Inputs!$B$28)^($A210/12)*IF(Inputs!$B$71=1,$G210,1)*(1-Inputs!$C$71*$H210*(1-Inputs!$E$54*Inputs!$B$71))*(1+$I210)*IF(Inputs!$B$29=0,1,(MAX(AR209,0)/Inputs!$B$6)^Inputs!$B$29)</f>
        <v>29949.233761087413</v>
      </c>
      <c r="AP210" s="38">
        <f>Inputs!$B$32*AR209/Inputs!$B$6</f>
        <v>0</v>
      </c>
      <c r="AQ210" s="38">
        <f>Inputs!$B$33</f>
        <v>2500</v>
      </c>
      <c r="AR210" s="38">
        <f t="shared" si="160"/>
        <v>0</v>
      </c>
      <c r="AS210" s="38">
        <f t="shared" si="161"/>
        <v>0</v>
      </c>
      <c r="AT210" s="38">
        <f>Inputs!$B$19*(1-Inputs!$C$71*$H210)+Inputs!$B$21+Inputs!$B$71*$J210</f>
        <v>601000</v>
      </c>
      <c r="AU210" s="38">
        <f t="shared" si="162"/>
        <v>-601000</v>
      </c>
      <c r="AV210" s="38">
        <f t="shared" si="163"/>
        <v>1</v>
      </c>
      <c r="AW210" s="38">
        <f>MAX(0,MIN(Inputs!$C$36,BB209,AX210+AY210+AZ210+Inputs!$C$6-BA209))</f>
        <v>0</v>
      </c>
      <c r="AX210" s="38">
        <f>Inputs!$C$27*(1+Inputs!$C$28)^($A210/12)*IF(Inputs!$B$71=1,$G210,1)*(1-Inputs!$C$71*$H210*(1-Inputs!$E$54*Inputs!$B$71))*(1+$I210)*IF(Inputs!$C$29=0,1,(MAX(BA209,0)/Inputs!$C$6)^Inputs!$C$29)</f>
        <v>0</v>
      </c>
      <c r="AY210" s="38">
        <f>Inputs!$C$32*BA209/Inputs!$C$6</f>
        <v>0</v>
      </c>
      <c r="AZ210" s="38">
        <f>Inputs!$C$33</f>
        <v>2000</v>
      </c>
      <c r="BA210" s="38">
        <f t="shared" si="164"/>
        <v>0</v>
      </c>
      <c r="BB210" s="38">
        <f t="shared" si="165"/>
        <v>0</v>
      </c>
      <c r="BC210" s="38">
        <f>Inputs!$C$19*(1-Inputs!$C$71*$H210)+Inputs!$C$21+Inputs!$B$71*$J210</f>
        <v>501000</v>
      </c>
      <c r="BD210" s="38">
        <f t="shared" si="166"/>
        <v>-501000</v>
      </c>
      <c r="BE210" s="38">
        <f t="shared" si="167"/>
        <v>1</v>
      </c>
      <c r="BF210" s="38">
        <f>MAX(0,MIN(Inputs!$D$36,BK209,BG210+BH210+BI210+Inputs!$D$6-BJ209))</f>
        <v>0</v>
      </c>
      <c r="BG210" s="38">
        <f>Inputs!$D$27*(1+Inputs!$D$28)^($A210/12)*IF(Inputs!$B$71=1,$G210,1)*(1-Inputs!$C$71*$H210*(1-Inputs!$E$54*Inputs!$B$71))*(1+$I210)*IF(Inputs!$D$29=0,1,(MAX(BJ209,0)/Inputs!$D$6)^Inputs!$D$29)</f>
        <v>655.66855462856086</v>
      </c>
      <c r="BH210" s="38">
        <f>Inputs!$D$32*BJ209/Inputs!$D$6</f>
        <v>138.39071705526524</v>
      </c>
      <c r="BI210" s="38">
        <f>Inputs!$D$33</f>
        <v>1500</v>
      </c>
      <c r="BJ210" s="38">
        <f t="shared" si="168"/>
        <v>26702.090968466982</v>
      </c>
      <c r="BK210" s="38">
        <f t="shared" si="169"/>
        <v>0</v>
      </c>
      <c r="BL210" s="38">
        <f>Inputs!$D$19*(1-Inputs!$C$71*$H210)+Inputs!$D$21+Inputs!$B$71*$J210</f>
        <v>410800</v>
      </c>
      <c r="BM210" s="38">
        <f t="shared" si="170"/>
        <v>-384097.909031533</v>
      </c>
      <c r="BN210" s="38">
        <f t="shared" si="171"/>
        <v>1</v>
      </c>
      <c r="BO210" s="38">
        <f>MAX(0,MIN(Inputs!$B$36,BT209,BP210+BQ210+BR210+Inputs!$B$6-BS209))</f>
        <v>0</v>
      </c>
      <c r="BP210" s="38">
        <f>Inputs!$B$27*(1+Inputs!$B$28)^($A210/12)*IF(Inputs!$B$72=1,$G210,1)*(1-Inputs!$C$72*$H210*(1-Inputs!$E$54*Inputs!$B$72))*(1+$I210)*IF(Inputs!$B$29=0,1,(MAX(BS209,0)/Inputs!$B$6)^Inputs!$B$29)</f>
        <v>32000.35913099652</v>
      </c>
      <c r="BQ210" s="38">
        <f>Inputs!$B$32*BS209/Inputs!$B$6</f>
        <v>0</v>
      </c>
      <c r="BR210" s="38">
        <f>Inputs!$B$33</f>
        <v>2500</v>
      </c>
      <c r="BS210" s="38">
        <f t="shared" si="172"/>
        <v>0</v>
      </c>
      <c r="BT210" s="38">
        <f t="shared" si="173"/>
        <v>0</v>
      </c>
      <c r="BU210" s="38">
        <f>Inputs!$B$19*(1-Inputs!$C$72*$H210)+Inputs!$B$21+Inputs!$B$72*$J210</f>
        <v>577500</v>
      </c>
      <c r="BV210" s="38">
        <f t="shared" si="174"/>
        <v>-577500</v>
      </c>
      <c r="BW210" s="38">
        <f t="shared" si="175"/>
        <v>1</v>
      </c>
      <c r="BX210" s="38">
        <f>MAX(0,MIN(Inputs!$C$36,CC209,BY210+BZ210+CA210+Inputs!$C$6-CB209))</f>
        <v>0</v>
      </c>
      <c r="BY210" s="38">
        <f>Inputs!$C$27*(1+Inputs!$C$28)^($A210/12)*IF(Inputs!$B$72=1,$G210,1)*(1-Inputs!$C$72*$H210*(1-Inputs!$E$54*Inputs!$B$72))*(1+$I210)*IF(Inputs!$C$29=0,1,(MAX(CB209,0)/Inputs!$C$6)^Inputs!$C$29)</f>
        <v>0</v>
      </c>
      <c r="BZ210" s="38">
        <f>Inputs!$C$32*CB209/Inputs!$C$6</f>
        <v>0</v>
      </c>
      <c r="CA210" s="38">
        <f>Inputs!$C$33</f>
        <v>2000</v>
      </c>
      <c r="CB210" s="38">
        <f t="shared" si="176"/>
        <v>0</v>
      </c>
      <c r="CC210" s="38">
        <f t="shared" si="177"/>
        <v>0</v>
      </c>
      <c r="CD210" s="38">
        <f>Inputs!$C$19*(1-Inputs!$C$72*$H210)+Inputs!$C$21+Inputs!$B$72*$J210</f>
        <v>480000</v>
      </c>
      <c r="CE210" s="38">
        <f t="shared" si="178"/>
        <v>-480000</v>
      </c>
      <c r="CF210" s="38">
        <f t="shared" si="179"/>
        <v>1</v>
      </c>
      <c r="CG210" s="38">
        <f>MAX(0,MIN(Inputs!$D$36,CL209,CH210+CI210+CJ210+Inputs!$D$6-CK209))</f>
        <v>0</v>
      </c>
      <c r="CH210" s="38">
        <f>Inputs!$D$27*(1+Inputs!$D$28)^($A210/12)*IF(Inputs!$B$72=1,$G210,1)*(1-Inputs!$C$72*$H210*(1-Inputs!$E$54*Inputs!$B$72))*(1+$I210)*IF(Inputs!$D$29=0,1,(MAX(CK209,0)/Inputs!$D$6)^Inputs!$D$29)</f>
        <v>412.95485523217951</v>
      </c>
      <c r="CI210" s="38">
        <f>Inputs!$D$32*CK209/Inputs!$D$6</f>
        <v>48.084502601915126</v>
      </c>
      <c r="CJ210" s="38">
        <f>Inputs!$D$33</f>
        <v>1500</v>
      </c>
      <c r="CK210" s="38">
        <f t="shared" si="180"/>
        <v>8113.8088063766918</v>
      </c>
      <c r="CL210" s="38">
        <f t="shared" si="181"/>
        <v>0</v>
      </c>
      <c r="CM210" s="38">
        <f>Inputs!$D$19*(1-Inputs!$C$72*$H210)+Inputs!$D$21+Inputs!$B$72*$J210</f>
        <v>392150</v>
      </c>
      <c r="CN210" s="38">
        <f t="shared" si="182"/>
        <v>-384036.19119362329</v>
      </c>
      <c r="CO210" s="38">
        <f t="shared" si="183"/>
        <v>1</v>
      </c>
      <c r="CP210" s="38">
        <f>MAX(0,MIN(Inputs!$B$36,CU209,CQ210+CR210+CS210+Inputs!$B$6-CT209))</f>
        <v>0</v>
      </c>
      <c r="CQ210" s="38">
        <f>Inputs!$B$27*(1+Inputs!$B$28)^($A210/12)*IF(Inputs!$B$73=1,$G210,1)*(1-Inputs!$C$73*$H210*(1-Inputs!$E$54*Inputs!$B$73))*(1+$I210)*IF(Inputs!$B$29=0,1,(MAX(CT209,0)/Inputs!$B$6)^Inputs!$B$29)</f>
        <v>28451.772073033044</v>
      </c>
      <c r="CR210" s="38">
        <f>Inputs!$B$32*CT209/Inputs!$B$6</f>
        <v>0</v>
      </c>
      <c r="CS210" s="38">
        <f>Inputs!$B$33</f>
        <v>2500</v>
      </c>
      <c r="CT210" s="38">
        <f t="shared" si="184"/>
        <v>0</v>
      </c>
      <c r="CU210" s="38">
        <f t="shared" si="185"/>
        <v>0</v>
      </c>
      <c r="CV210" s="38">
        <f>Inputs!$B$19*(1-Inputs!$C$73*$H210)+Inputs!$B$21+Inputs!$B$73*$J210</f>
        <v>583500</v>
      </c>
      <c r="CW210" s="38">
        <f t="shared" si="186"/>
        <v>-583500</v>
      </c>
      <c r="CX210" s="38">
        <f t="shared" si="187"/>
        <v>1</v>
      </c>
      <c r="CY210" s="38">
        <f>MAX(0,MIN(Inputs!$C$36,DD209,CZ210+DA210+DB210+Inputs!$C$6-DC209))</f>
        <v>0</v>
      </c>
      <c r="CZ210" s="38">
        <f>Inputs!$C$27*(1+Inputs!$C$28)^($A210/12)*IF(Inputs!$B$73=1,$G210,1)*(1-Inputs!$C$73*$H210*(1-Inputs!$E$54*Inputs!$B$73))*(1+$I210)*IF(Inputs!$C$29=0,1,(MAX(DC209,0)/Inputs!$C$6)^Inputs!$C$29)</f>
        <v>0</v>
      </c>
      <c r="DA210" s="38">
        <f>Inputs!$C$32*DC209/Inputs!$C$6</f>
        <v>0</v>
      </c>
      <c r="DB210" s="38">
        <f>Inputs!$C$33</f>
        <v>2000</v>
      </c>
      <c r="DC210" s="38">
        <f t="shared" si="188"/>
        <v>0</v>
      </c>
      <c r="DD210" s="38">
        <f t="shared" si="189"/>
        <v>0</v>
      </c>
      <c r="DE210" s="38">
        <f>Inputs!$C$19*(1-Inputs!$C$73*$H210)+Inputs!$C$21+Inputs!$B$73*$J210</f>
        <v>486000</v>
      </c>
      <c r="DF210" s="38">
        <f t="shared" si="190"/>
        <v>-486000</v>
      </c>
      <c r="DG210" s="38">
        <f t="shared" si="191"/>
        <v>1</v>
      </c>
      <c r="DH210" s="38">
        <f>MAX(0,MIN(Inputs!$D$36,DM209,DI210+DJ210+DK210+Inputs!$D$6-DL209))</f>
        <v>0</v>
      </c>
      <c r="DI210" s="38">
        <f>Inputs!$D$27*(1+Inputs!$D$28)^($A210/12)*IF(Inputs!$B$73=1,$G210,1)*(1-Inputs!$C$73*$H210*(1-Inputs!$E$54*Inputs!$B$73))*(1+$I210)*IF(Inputs!$D$29=0,1,(MAX(DL209,0)/Inputs!$D$6)^Inputs!$D$29)</f>
        <v>751.20579524154891</v>
      </c>
      <c r="DJ210" s="38">
        <f>Inputs!$D$32*DL209/Inputs!$D$6</f>
        <v>201.28383433495637</v>
      </c>
      <c r="DK210" s="38">
        <f>Inputs!$D$33</f>
        <v>1500</v>
      </c>
      <c r="DL210" s="38">
        <f t="shared" si="192"/>
        <v>39721.266135842925</v>
      </c>
      <c r="DM210" s="38">
        <f t="shared" si="193"/>
        <v>0</v>
      </c>
      <c r="DN210" s="38">
        <f>Inputs!$D$19*(1-Inputs!$C$73*$H210)+Inputs!$D$21+Inputs!$B$73*$J210</f>
        <v>398150</v>
      </c>
      <c r="DO210" s="38">
        <f t="shared" si="194"/>
        <v>-358428.73386415705</v>
      </c>
      <c r="DP210" s="38">
        <f t="shared" si="195"/>
        <v>1</v>
      </c>
    </row>
    <row r="211" spans="1:120" x14ac:dyDescent="0.35">
      <c r="A211" s="29">
        <v>206</v>
      </c>
      <c r="B211" s="34">
        <f>EDATE(Inputs!$B$67,$A211)</f>
        <v>52536</v>
      </c>
      <c r="C211" s="35">
        <f>IF(Inputs!$E$47&lt;=0,Inputs!$E$46,Inputs!$E$44+(Inputs!$E$46-Inputs!$E$44)*MIN($A211/Inputs!$E$47,1))</f>
        <v>0.7</v>
      </c>
      <c r="D211" s="35">
        <f>MIN(Inputs!$E$57,Inputs!$E$55*(1+Inputs!$E$56)^($A211/12))*Inputs!$E$58*(1+Inputs!$E$59)^($A211/12)/Inputs!$E$45</f>
        <v>1.5</v>
      </c>
      <c r="E211" s="35">
        <f>MAX(Inputs!$E$44,MIN(C211,D211))</f>
        <v>0.7</v>
      </c>
      <c r="F211" s="35">
        <f>IF(Inputs!$E$50&lt;=0,Inputs!$E$49,Inputs!$E$48+(Inputs!$E$49-Inputs!$E$48)*MIN($A211/Inputs!$E$50,1))</f>
        <v>0.12</v>
      </c>
      <c r="G211" s="36">
        <f>(Inputs!$E$41*(1-E211*Inputs!$E$51)+Inputs!$E$42*(1-F211*Inputs!$E$51))/(Inputs!$E$41*(1-Inputs!$E$44*Inputs!$E$51)+Inputs!$E$42*(1-Inputs!$E$48*Inputs!$E$51))</f>
        <v>0.8423127463863338</v>
      </c>
      <c r="H211" s="35">
        <f>IF(Inputs!$E$53&lt;=0,Inputs!$E$52,Inputs!$E$52*MIN($A211/Inputs!$E$53,1))</f>
        <v>0.1</v>
      </c>
      <c r="I211" s="35">
        <f>IF(Inputs!$E$64&lt;=0,Inputs!$E$63,Inputs!$E$62+(Inputs!$E$63-Inputs!$E$62)*MIN($A211/Inputs!$E$64,1))</f>
        <v>0.03</v>
      </c>
      <c r="J211" s="37">
        <f>(E211-Inputs!$E$44)*Inputs!$E$45/Inputs!$E$60*Inputs!$E$61</f>
        <v>5999.9999999999991</v>
      </c>
      <c r="K211" s="29">
        <f t="shared" si="147"/>
        <v>0</v>
      </c>
      <c r="L211" s="29"/>
      <c r="M211" s="38">
        <f>MAX(0,MIN(Inputs!$B$36,R210,N211+O211+P211+Inputs!$B$6-Q210))</f>
        <v>0</v>
      </c>
      <c r="N211" s="38">
        <f>Inputs!$B$27*(1+Inputs!$B$28)^($A211/12)*IF(Inputs!$B$70=1,$G211,1)*(1-Inputs!$C$70*$H211*(1-Inputs!$E$54*Inputs!$B$70))*(1+$I211)*IF(Inputs!$B$29=0,1,(MAX(Q210,0)/Inputs!$B$6)^Inputs!$B$29)</f>
        <v>35700.813950241565</v>
      </c>
      <c r="O211" s="38">
        <f>Inputs!$B$32*Q210/Inputs!$B$6</f>
        <v>0</v>
      </c>
      <c r="P211" s="38">
        <f>Inputs!$B$33</f>
        <v>2500</v>
      </c>
      <c r="Q211" s="38">
        <f t="shared" si="148"/>
        <v>0</v>
      </c>
      <c r="R211" s="38">
        <f t="shared" si="149"/>
        <v>0</v>
      </c>
      <c r="S211" s="38">
        <f>Inputs!$B$19*(1-Inputs!$C$70*$H211)+Inputs!$B$21+Inputs!$B$70*$J211</f>
        <v>595000</v>
      </c>
      <c r="T211" s="38">
        <f t="shared" si="150"/>
        <v>-595000</v>
      </c>
      <c r="U211" s="38">
        <f t="shared" si="151"/>
        <v>1</v>
      </c>
      <c r="V211" s="38">
        <f>MAX(0,MIN(Inputs!$C$36,AA210,W211+X211+Y211+Inputs!$C$6-Z210))</f>
        <v>0</v>
      </c>
      <c r="W211" s="38">
        <f>Inputs!$C$27*(1+Inputs!$C$28)^($A211/12)*IF(Inputs!$B$70=1,$G211,1)*(1-Inputs!$C$70*$H211*(1-Inputs!$E$54*Inputs!$B$70))*(1+$I211)*IF(Inputs!$C$29=0,1,(MAX(Z210,0)/Inputs!$C$6)^Inputs!$C$29)</f>
        <v>0</v>
      </c>
      <c r="X211" s="38">
        <f>Inputs!$C$32*Z210/Inputs!$C$6</f>
        <v>0</v>
      </c>
      <c r="Y211" s="38">
        <f>Inputs!$C$33</f>
        <v>2000</v>
      </c>
      <c r="Z211" s="38">
        <f t="shared" si="152"/>
        <v>0</v>
      </c>
      <c r="AA211" s="38">
        <f t="shared" si="153"/>
        <v>0</v>
      </c>
      <c r="AB211" s="38">
        <f>Inputs!$C$19*(1-Inputs!$C$70*$H211)+Inputs!$C$21+Inputs!$B$70*$J211</f>
        <v>495000</v>
      </c>
      <c r="AC211" s="38">
        <f t="shared" si="154"/>
        <v>-495000</v>
      </c>
      <c r="AD211" s="38">
        <f t="shared" si="155"/>
        <v>1</v>
      </c>
      <c r="AE211" s="38">
        <f>MAX(0,MIN(Inputs!$D$36,AJ210,AF211+AG211+AH211+Inputs!$D$6-AI210))</f>
        <v>0</v>
      </c>
      <c r="AF211" s="38">
        <f>Inputs!$D$27*(1+Inputs!$D$28)^($A211/12)*IF(Inputs!$B$70=1,$G211,1)*(1-Inputs!$C$70*$H211*(1-Inputs!$E$54*Inputs!$B$70))*(1+$I211)*IF(Inputs!$D$29=0,1,(MAX(AI210,0)/Inputs!$D$6)^Inputs!$D$29)</f>
        <v>0</v>
      </c>
      <c r="AG211" s="38">
        <f>Inputs!$D$32*AI210/Inputs!$D$6</f>
        <v>0</v>
      </c>
      <c r="AH211" s="38">
        <f>Inputs!$D$33</f>
        <v>1500</v>
      </c>
      <c r="AI211" s="38">
        <f t="shared" si="156"/>
        <v>0</v>
      </c>
      <c r="AJ211" s="38">
        <f t="shared" si="157"/>
        <v>0</v>
      </c>
      <c r="AK211" s="38">
        <f>Inputs!$D$19*(1-Inputs!$C$70*$H211)+Inputs!$D$21+Inputs!$B$70*$J211</f>
        <v>404800</v>
      </c>
      <c r="AL211" s="38">
        <f t="shared" si="158"/>
        <v>-404800</v>
      </c>
      <c r="AM211" s="38">
        <f t="shared" si="159"/>
        <v>1</v>
      </c>
      <c r="AN211" s="38">
        <f>MAX(0,MIN(Inputs!$B$36,AS210,AO211+AP211+AQ211+Inputs!$B$6-AR210))</f>
        <v>0</v>
      </c>
      <c r="AO211" s="38">
        <f>Inputs!$B$27*(1+Inputs!$B$28)^($A211/12)*IF(Inputs!$B$71=1,$G211,1)*(1-Inputs!$C$71*$H211*(1-Inputs!$E$54*Inputs!$B$71))*(1+$I211)*IF(Inputs!$B$29=0,1,(MAX(AR210,0)/Inputs!$B$6)^Inputs!$B$29)</f>
        <v>30071.25064665551</v>
      </c>
      <c r="AP211" s="38">
        <f>Inputs!$B$32*AR210/Inputs!$B$6</f>
        <v>0</v>
      </c>
      <c r="AQ211" s="38">
        <f>Inputs!$B$33</f>
        <v>2500</v>
      </c>
      <c r="AR211" s="38">
        <f t="shared" si="160"/>
        <v>0</v>
      </c>
      <c r="AS211" s="38">
        <f t="shared" si="161"/>
        <v>0</v>
      </c>
      <c r="AT211" s="38">
        <f>Inputs!$B$19*(1-Inputs!$C$71*$H211)+Inputs!$B$21+Inputs!$B$71*$J211</f>
        <v>601000</v>
      </c>
      <c r="AU211" s="38">
        <f t="shared" si="162"/>
        <v>-601000</v>
      </c>
      <c r="AV211" s="38">
        <f t="shared" si="163"/>
        <v>1</v>
      </c>
      <c r="AW211" s="38">
        <f>MAX(0,MIN(Inputs!$C$36,BB210,AX211+AY211+AZ211+Inputs!$C$6-BA210))</f>
        <v>0</v>
      </c>
      <c r="AX211" s="38">
        <f>Inputs!$C$27*(1+Inputs!$C$28)^($A211/12)*IF(Inputs!$B$71=1,$G211,1)*(1-Inputs!$C$71*$H211*(1-Inputs!$E$54*Inputs!$B$71))*(1+$I211)*IF(Inputs!$C$29=0,1,(MAX(BA210,0)/Inputs!$C$6)^Inputs!$C$29)</f>
        <v>0</v>
      </c>
      <c r="AY211" s="38">
        <f>Inputs!$C$32*BA210/Inputs!$C$6</f>
        <v>0</v>
      </c>
      <c r="AZ211" s="38">
        <f>Inputs!$C$33</f>
        <v>2000</v>
      </c>
      <c r="BA211" s="38">
        <f t="shared" si="164"/>
        <v>0</v>
      </c>
      <c r="BB211" s="38">
        <f t="shared" si="165"/>
        <v>0</v>
      </c>
      <c r="BC211" s="38">
        <f>Inputs!$C$19*(1-Inputs!$C$71*$H211)+Inputs!$C$21+Inputs!$B$71*$J211</f>
        <v>501000</v>
      </c>
      <c r="BD211" s="38">
        <f t="shared" si="166"/>
        <v>-501000</v>
      </c>
      <c r="BE211" s="38">
        <f t="shared" si="167"/>
        <v>1</v>
      </c>
      <c r="BF211" s="38">
        <f>MAX(0,MIN(Inputs!$D$36,BK210,BG211+BH211+BI211+Inputs!$D$6-BJ210))</f>
        <v>0</v>
      </c>
      <c r="BG211" s="38">
        <f>Inputs!$D$27*(1+Inputs!$D$28)^($A211/12)*IF(Inputs!$B$71=1,$G211,1)*(1-Inputs!$C$71*$H211*(1-Inputs!$E$54*Inputs!$B$71))*(1+$I211)*IF(Inputs!$D$29=0,1,(MAX(BJ210,0)/Inputs!$D$6)^Inputs!$D$29)</f>
        <v>626.51353010335959</v>
      </c>
      <c r="BH211" s="38">
        <f>Inputs!$D$32*BJ210/Inputs!$D$6</f>
        <v>127.44179780404697</v>
      </c>
      <c r="BI211" s="38">
        <f>Inputs!$D$33</f>
        <v>1500</v>
      </c>
      <c r="BJ211" s="38">
        <f t="shared" si="168"/>
        <v>24448.135640559576</v>
      </c>
      <c r="BK211" s="38">
        <f t="shared" si="169"/>
        <v>0</v>
      </c>
      <c r="BL211" s="38">
        <f>Inputs!$D$19*(1-Inputs!$C$71*$H211)+Inputs!$D$21+Inputs!$B$71*$J211</f>
        <v>410800</v>
      </c>
      <c r="BM211" s="38">
        <f t="shared" si="170"/>
        <v>-386351.8643594404</v>
      </c>
      <c r="BN211" s="38">
        <f t="shared" si="171"/>
        <v>1</v>
      </c>
      <c r="BO211" s="38">
        <f>MAX(0,MIN(Inputs!$B$36,BT210,BP211+BQ211+BR211+Inputs!$B$6-BS210))</f>
        <v>0</v>
      </c>
      <c r="BP211" s="38">
        <f>Inputs!$B$27*(1+Inputs!$B$28)^($A211/12)*IF(Inputs!$B$72=1,$G211,1)*(1-Inputs!$C$72*$H211*(1-Inputs!$E$54*Inputs!$B$72))*(1+$I211)*IF(Inputs!$B$29=0,1,(MAX(BS210,0)/Inputs!$B$6)^Inputs!$B$29)</f>
        <v>32130.732555217412</v>
      </c>
      <c r="BQ211" s="38">
        <f>Inputs!$B$32*BS210/Inputs!$B$6</f>
        <v>0</v>
      </c>
      <c r="BR211" s="38">
        <f>Inputs!$B$33</f>
        <v>2500</v>
      </c>
      <c r="BS211" s="38">
        <f t="shared" si="172"/>
        <v>0</v>
      </c>
      <c r="BT211" s="38">
        <f t="shared" si="173"/>
        <v>0</v>
      </c>
      <c r="BU211" s="38">
        <f>Inputs!$B$19*(1-Inputs!$C$72*$H211)+Inputs!$B$21+Inputs!$B$72*$J211</f>
        <v>577500</v>
      </c>
      <c r="BV211" s="38">
        <f t="shared" si="174"/>
        <v>-577500</v>
      </c>
      <c r="BW211" s="38">
        <f t="shared" si="175"/>
        <v>1</v>
      </c>
      <c r="BX211" s="38">
        <f>MAX(0,MIN(Inputs!$C$36,CC210,BY211+BZ211+CA211+Inputs!$C$6-CB210))</f>
        <v>0</v>
      </c>
      <c r="BY211" s="38">
        <f>Inputs!$C$27*(1+Inputs!$C$28)^($A211/12)*IF(Inputs!$B$72=1,$G211,1)*(1-Inputs!$C$72*$H211*(1-Inputs!$E$54*Inputs!$B$72))*(1+$I211)*IF(Inputs!$C$29=0,1,(MAX(CB210,0)/Inputs!$C$6)^Inputs!$C$29)</f>
        <v>0</v>
      </c>
      <c r="BZ211" s="38">
        <f>Inputs!$C$32*CB210/Inputs!$C$6</f>
        <v>0</v>
      </c>
      <c r="CA211" s="38">
        <f>Inputs!$C$33</f>
        <v>2000</v>
      </c>
      <c r="CB211" s="38">
        <f t="shared" si="176"/>
        <v>0</v>
      </c>
      <c r="CC211" s="38">
        <f t="shared" si="177"/>
        <v>0</v>
      </c>
      <c r="CD211" s="38">
        <f>Inputs!$C$19*(1-Inputs!$C$72*$H211)+Inputs!$C$21+Inputs!$B$72*$J211</f>
        <v>480000</v>
      </c>
      <c r="CE211" s="38">
        <f t="shared" si="178"/>
        <v>-480000</v>
      </c>
      <c r="CF211" s="38">
        <f t="shared" si="179"/>
        <v>1</v>
      </c>
      <c r="CG211" s="38">
        <f>MAX(0,MIN(Inputs!$D$36,CL210,CH211+CI211+CJ211+Inputs!$D$6-CK210))</f>
        <v>0</v>
      </c>
      <c r="CH211" s="38">
        <f>Inputs!$D$27*(1+Inputs!$D$28)^($A211/12)*IF(Inputs!$B$72=1,$G211,1)*(1-Inputs!$C$72*$H211*(1-Inputs!$E$54*Inputs!$B$72))*(1+$I211)*IF(Inputs!$D$29=0,1,(MAX(CK210,0)/Inputs!$D$6)^Inputs!$D$29)</f>
        <v>369.01102379546643</v>
      </c>
      <c r="CI211" s="38">
        <f>Inputs!$D$32*CK210/Inputs!$D$6</f>
        <v>38.724996575888753</v>
      </c>
      <c r="CJ211" s="38">
        <f>Inputs!$D$33</f>
        <v>1500</v>
      </c>
      <c r="CK211" s="38">
        <f t="shared" si="180"/>
        <v>6206.0727860053366</v>
      </c>
      <c r="CL211" s="38">
        <f t="shared" si="181"/>
        <v>0</v>
      </c>
      <c r="CM211" s="38">
        <f>Inputs!$D$19*(1-Inputs!$C$72*$H211)+Inputs!$D$21+Inputs!$B$72*$J211</f>
        <v>392150</v>
      </c>
      <c r="CN211" s="38">
        <f t="shared" si="182"/>
        <v>-385943.92721399467</v>
      </c>
      <c r="CO211" s="38">
        <f t="shared" si="183"/>
        <v>1</v>
      </c>
      <c r="CP211" s="38">
        <f>MAX(0,MIN(Inputs!$B$36,CU210,CQ211+CR211+CS211+Inputs!$B$6-CT210))</f>
        <v>0</v>
      </c>
      <c r="CQ211" s="38">
        <f>Inputs!$B$27*(1+Inputs!$B$28)^($A211/12)*IF(Inputs!$B$73=1,$G211,1)*(1-Inputs!$C$73*$H211*(1-Inputs!$E$54*Inputs!$B$73))*(1+$I211)*IF(Inputs!$B$29=0,1,(MAX(CT210,0)/Inputs!$B$6)^Inputs!$B$29)</f>
        <v>28567.688114322733</v>
      </c>
      <c r="CR211" s="38">
        <f>Inputs!$B$32*CT210/Inputs!$B$6</f>
        <v>0</v>
      </c>
      <c r="CS211" s="38">
        <f>Inputs!$B$33</f>
        <v>2500</v>
      </c>
      <c r="CT211" s="38">
        <f t="shared" si="184"/>
        <v>0</v>
      </c>
      <c r="CU211" s="38">
        <f t="shared" si="185"/>
        <v>0</v>
      </c>
      <c r="CV211" s="38">
        <f>Inputs!$B$19*(1-Inputs!$C$73*$H211)+Inputs!$B$21+Inputs!$B$73*$J211</f>
        <v>583500</v>
      </c>
      <c r="CW211" s="38">
        <f t="shared" si="186"/>
        <v>-583500</v>
      </c>
      <c r="CX211" s="38">
        <f t="shared" si="187"/>
        <v>1</v>
      </c>
      <c r="CY211" s="38">
        <f>MAX(0,MIN(Inputs!$C$36,DD210,CZ211+DA211+DB211+Inputs!$C$6-DC210))</f>
        <v>0</v>
      </c>
      <c r="CZ211" s="38">
        <f>Inputs!$C$27*(1+Inputs!$C$28)^($A211/12)*IF(Inputs!$B$73=1,$G211,1)*(1-Inputs!$C$73*$H211*(1-Inputs!$E$54*Inputs!$B$73))*(1+$I211)*IF(Inputs!$C$29=0,1,(MAX(DC210,0)/Inputs!$C$6)^Inputs!$C$29)</f>
        <v>0</v>
      </c>
      <c r="DA211" s="38">
        <f>Inputs!$C$32*DC210/Inputs!$C$6</f>
        <v>0</v>
      </c>
      <c r="DB211" s="38">
        <f>Inputs!$C$33</f>
        <v>2000</v>
      </c>
      <c r="DC211" s="38">
        <f t="shared" si="188"/>
        <v>0</v>
      </c>
      <c r="DD211" s="38">
        <f t="shared" si="189"/>
        <v>0</v>
      </c>
      <c r="DE211" s="38">
        <f>Inputs!$C$19*(1-Inputs!$C$73*$H211)+Inputs!$C$21+Inputs!$B$73*$J211</f>
        <v>486000</v>
      </c>
      <c r="DF211" s="38">
        <f t="shared" si="190"/>
        <v>-486000</v>
      </c>
      <c r="DG211" s="38">
        <f t="shared" si="191"/>
        <v>1</v>
      </c>
      <c r="DH211" s="38">
        <f>MAX(0,MIN(Inputs!$D$36,DM210,DI211+DJ211+DK211+Inputs!$D$6-DL210))</f>
        <v>0</v>
      </c>
      <c r="DI211" s="38">
        <f>Inputs!$D$27*(1+Inputs!$D$28)^($A211/12)*IF(Inputs!$B$73=1,$G211,1)*(1-Inputs!$C$73*$H211*(1-Inputs!$E$54*Inputs!$B$73))*(1+$I211)*IF(Inputs!$D$29=0,1,(MAX(DL210,0)/Inputs!$D$6)^Inputs!$D$29)</f>
        <v>725.92702683177879</v>
      </c>
      <c r="DJ211" s="38">
        <f>Inputs!$D$32*DL210/Inputs!$D$6</f>
        <v>189.5787701937958</v>
      </c>
      <c r="DK211" s="38">
        <f>Inputs!$D$33</f>
        <v>1500</v>
      </c>
      <c r="DL211" s="38">
        <f t="shared" si="192"/>
        <v>37305.760338817352</v>
      </c>
      <c r="DM211" s="38">
        <f t="shared" si="193"/>
        <v>0</v>
      </c>
      <c r="DN211" s="38">
        <f>Inputs!$D$19*(1-Inputs!$C$73*$H211)+Inputs!$D$21+Inputs!$B$73*$J211</f>
        <v>398150</v>
      </c>
      <c r="DO211" s="38">
        <f t="shared" si="194"/>
        <v>-360844.23966118263</v>
      </c>
      <c r="DP211" s="38">
        <f t="shared" si="195"/>
        <v>1</v>
      </c>
    </row>
    <row r="212" spans="1:120" x14ac:dyDescent="0.35">
      <c r="A212" s="29">
        <v>207</v>
      </c>
      <c r="B212" s="34">
        <f>EDATE(Inputs!$B$67,$A212)</f>
        <v>52566</v>
      </c>
      <c r="C212" s="35">
        <f>IF(Inputs!$E$47&lt;=0,Inputs!$E$46,Inputs!$E$44+(Inputs!$E$46-Inputs!$E$44)*MIN($A212/Inputs!$E$47,1))</f>
        <v>0.7</v>
      </c>
      <c r="D212" s="35">
        <f>MIN(Inputs!$E$57,Inputs!$E$55*(1+Inputs!$E$56)^($A212/12))*Inputs!$E$58*(1+Inputs!$E$59)^($A212/12)/Inputs!$E$45</f>
        <v>1.5</v>
      </c>
      <c r="E212" s="35">
        <f>MAX(Inputs!$E$44,MIN(C212,D212))</f>
        <v>0.7</v>
      </c>
      <c r="F212" s="35">
        <f>IF(Inputs!$E$50&lt;=0,Inputs!$E$49,Inputs!$E$48+(Inputs!$E$49-Inputs!$E$48)*MIN($A212/Inputs!$E$50,1))</f>
        <v>0.12</v>
      </c>
      <c r="G212" s="36">
        <f>(Inputs!$E$41*(1-E212*Inputs!$E$51)+Inputs!$E$42*(1-F212*Inputs!$E$51))/(Inputs!$E$41*(1-Inputs!$E$44*Inputs!$E$51)+Inputs!$E$42*(1-Inputs!$E$48*Inputs!$E$51))</f>
        <v>0.8423127463863338</v>
      </c>
      <c r="H212" s="35">
        <f>IF(Inputs!$E$53&lt;=0,Inputs!$E$52,Inputs!$E$52*MIN($A212/Inputs!$E$53,1))</f>
        <v>0.1</v>
      </c>
      <c r="I212" s="35">
        <f>IF(Inputs!$E$64&lt;=0,Inputs!$E$63,Inputs!$E$62+(Inputs!$E$63-Inputs!$E$62)*MIN($A212/Inputs!$E$64,1))</f>
        <v>0.03</v>
      </c>
      <c r="J212" s="37">
        <f>(E212-Inputs!$E$44)*Inputs!$E$45/Inputs!$E$60*Inputs!$E$61</f>
        <v>5999.9999999999991</v>
      </c>
      <c r="K212" s="29">
        <f t="shared" si="147"/>
        <v>0</v>
      </c>
      <c r="L212" s="29"/>
      <c r="M212" s="38">
        <f>MAX(0,MIN(Inputs!$B$36,R211,N212+O212+P212+Inputs!$B$6-Q211))</f>
        <v>0</v>
      </c>
      <c r="N212" s="38">
        <f>Inputs!$B$27*(1+Inputs!$B$28)^($A212/12)*IF(Inputs!$B$70=1,$G212,1)*(1-Inputs!$C$70*$H212*(1-Inputs!$E$54*Inputs!$B$70))*(1+$I212)*IF(Inputs!$B$29=0,1,(MAX(Q211,0)/Inputs!$B$6)^Inputs!$B$29)</f>
        <v>35846.26348545184</v>
      </c>
      <c r="O212" s="38">
        <f>Inputs!$B$32*Q211/Inputs!$B$6</f>
        <v>0</v>
      </c>
      <c r="P212" s="38">
        <f>Inputs!$B$33</f>
        <v>2500</v>
      </c>
      <c r="Q212" s="38">
        <f t="shared" si="148"/>
        <v>0</v>
      </c>
      <c r="R212" s="38">
        <f t="shared" si="149"/>
        <v>0</v>
      </c>
      <c r="S212" s="38">
        <f>Inputs!$B$19*(1-Inputs!$C$70*$H212)+Inputs!$B$21+Inputs!$B$70*$J212</f>
        <v>595000</v>
      </c>
      <c r="T212" s="38">
        <f t="shared" si="150"/>
        <v>-595000</v>
      </c>
      <c r="U212" s="38">
        <f t="shared" si="151"/>
        <v>1</v>
      </c>
      <c r="V212" s="38">
        <f>MAX(0,MIN(Inputs!$C$36,AA211,W212+X212+Y212+Inputs!$C$6-Z211))</f>
        <v>0</v>
      </c>
      <c r="W212" s="38">
        <f>Inputs!$C$27*(1+Inputs!$C$28)^($A212/12)*IF(Inputs!$B$70=1,$G212,1)*(1-Inputs!$C$70*$H212*(1-Inputs!$E$54*Inputs!$B$70))*(1+$I212)*IF(Inputs!$C$29=0,1,(MAX(Z211,0)/Inputs!$C$6)^Inputs!$C$29)</f>
        <v>0</v>
      </c>
      <c r="X212" s="38">
        <f>Inputs!$C$32*Z211/Inputs!$C$6</f>
        <v>0</v>
      </c>
      <c r="Y212" s="38">
        <f>Inputs!$C$33</f>
        <v>2000</v>
      </c>
      <c r="Z212" s="38">
        <f t="shared" si="152"/>
        <v>0</v>
      </c>
      <c r="AA212" s="38">
        <f t="shared" si="153"/>
        <v>0</v>
      </c>
      <c r="AB212" s="38">
        <f>Inputs!$C$19*(1-Inputs!$C$70*$H212)+Inputs!$C$21+Inputs!$B$70*$J212</f>
        <v>495000</v>
      </c>
      <c r="AC212" s="38">
        <f t="shared" si="154"/>
        <v>-495000</v>
      </c>
      <c r="AD212" s="38">
        <f t="shared" si="155"/>
        <v>1</v>
      </c>
      <c r="AE212" s="38">
        <f>MAX(0,MIN(Inputs!$D$36,AJ211,AF212+AG212+AH212+Inputs!$D$6-AI211))</f>
        <v>0</v>
      </c>
      <c r="AF212" s="38">
        <f>Inputs!$D$27*(1+Inputs!$D$28)^($A212/12)*IF(Inputs!$B$70=1,$G212,1)*(1-Inputs!$C$70*$H212*(1-Inputs!$E$54*Inputs!$B$70))*(1+$I212)*IF(Inputs!$D$29=0,1,(MAX(AI211,0)/Inputs!$D$6)^Inputs!$D$29)</f>
        <v>0</v>
      </c>
      <c r="AG212" s="38">
        <f>Inputs!$D$32*AI211/Inputs!$D$6</f>
        <v>0</v>
      </c>
      <c r="AH212" s="38">
        <f>Inputs!$D$33</f>
        <v>1500</v>
      </c>
      <c r="AI212" s="38">
        <f t="shared" si="156"/>
        <v>0</v>
      </c>
      <c r="AJ212" s="38">
        <f t="shared" si="157"/>
        <v>0</v>
      </c>
      <c r="AK212" s="38">
        <f>Inputs!$D$19*(1-Inputs!$C$70*$H212)+Inputs!$D$21+Inputs!$B$70*$J212</f>
        <v>404800</v>
      </c>
      <c r="AL212" s="38">
        <f t="shared" si="158"/>
        <v>-404800</v>
      </c>
      <c r="AM212" s="38">
        <f t="shared" si="159"/>
        <v>1</v>
      </c>
      <c r="AN212" s="38">
        <f>MAX(0,MIN(Inputs!$B$36,AS211,AO212+AP212+AQ212+Inputs!$B$6-AR211))</f>
        <v>0</v>
      </c>
      <c r="AO212" s="38">
        <f>Inputs!$B$27*(1+Inputs!$B$28)^($A212/12)*IF(Inputs!$B$71=1,$G212,1)*(1-Inputs!$C$71*$H212*(1-Inputs!$E$54*Inputs!$B$71))*(1+$I212)*IF(Inputs!$B$29=0,1,(MAX(AR211,0)/Inputs!$B$6)^Inputs!$B$29)</f>
        <v>30193.764644119095</v>
      </c>
      <c r="AP212" s="38">
        <f>Inputs!$B$32*AR211/Inputs!$B$6</f>
        <v>0</v>
      </c>
      <c r="AQ212" s="38">
        <f>Inputs!$B$33</f>
        <v>2500</v>
      </c>
      <c r="AR212" s="38">
        <f t="shared" si="160"/>
        <v>0</v>
      </c>
      <c r="AS212" s="38">
        <f t="shared" si="161"/>
        <v>0</v>
      </c>
      <c r="AT212" s="38">
        <f>Inputs!$B$19*(1-Inputs!$C$71*$H212)+Inputs!$B$21+Inputs!$B$71*$J212</f>
        <v>601000</v>
      </c>
      <c r="AU212" s="38">
        <f t="shared" si="162"/>
        <v>-601000</v>
      </c>
      <c r="AV212" s="38">
        <f t="shared" si="163"/>
        <v>1</v>
      </c>
      <c r="AW212" s="38">
        <f>MAX(0,MIN(Inputs!$C$36,BB211,AX212+AY212+AZ212+Inputs!$C$6-BA211))</f>
        <v>0</v>
      </c>
      <c r="AX212" s="38">
        <f>Inputs!$C$27*(1+Inputs!$C$28)^($A212/12)*IF(Inputs!$B$71=1,$G212,1)*(1-Inputs!$C$71*$H212*(1-Inputs!$E$54*Inputs!$B$71))*(1+$I212)*IF(Inputs!$C$29=0,1,(MAX(BA211,0)/Inputs!$C$6)^Inputs!$C$29)</f>
        <v>0</v>
      </c>
      <c r="AY212" s="38">
        <f>Inputs!$C$32*BA211/Inputs!$C$6</f>
        <v>0</v>
      </c>
      <c r="AZ212" s="38">
        <f>Inputs!$C$33</f>
        <v>2000</v>
      </c>
      <c r="BA212" s="38">
        <f t="shared" si="164"/>
        <v>0</v>
      </c>
      <c r="BB212" s="38">
        <f t="shared" si="165"/>
        <v>0</v>
      </c>
      <c r="BC212" s="38">
        <f>Inputs!$C$19*(1-Inputs!$C$71*$H212)+Inputs!$C$21+Inputs!$B$71*$J212</f>
        <v>501000</v>
      </c>
      <c r="BD212" s="38">
        <f t="shared" si="166"/>
        <v>-501000</v>
      </c>
      <c r="BE212" s="38">
        <f t="shared" si="167"/>
        <v>1</v>
      </c>
      <c r="BF212" s="38">
        <f>MAX(0,MIN(Inputs!$D$36,BK211,BG212+BH212+BI212+Inputs!$D$6-BJ211))</f>
        <v>0</v>
      </c>
      <c r="BG212" s="38">
        <f>Inputs!$D$27*(1+Inputs!$D$28)^($A212/12)*IF(Inputs!$B$71=1,$G212,1)*(1-Inputs!$C$71*$H212*(1-Inputs!$E$54*Inputs!$B$71))*(1+$I212)*IF(Inputs!$D$29=0,1,(MAX(BJ211,0)/Inputs!$D$6)^Inputs!$D$29)</f>
        <v>596.93126448745386</v>
      </c>
      <c r="BH212" s="38">
        <f>Inputs!$D$32*BJ211/Inputs!$D$6</f>
        <v>116.68428373903434</v>
      </c>
      <c r="BI212" s="38">
        <f>Inputs!$D$33</f>
        <v>1500</v>
      </c>
      <c r="BJ212" s="38">
        <f t="shared" si="168"/>
        <v>22234.520092333085</v>
      </c>
      <c r="BK212" s="38">
        <f t="shared" si="169"/>
        <v>0</v>
      </c>
      <c r="BL212" s="38">
        <f>Inputs!$D$19*(1-Inputs!$C$71*$H212)+Inputs!$D$21+Inputs!$B$71*$J212</f>
        <v>410800</v>
      </c>
      <c r="BM212" s="38">
        <f t="shared" si="170"/>
        <v>-388565.47990766692</v>
      </c>
      <c r="BN212" s="38">
        <f t="shared" si="171"/>
        <v>1</v>
      </c>
      <c r="BO212" s="38">
        <f>MAX(0,MIN(Inputs!$B$36,BT211,BP212+BQ212+BR212+Inputs!$B$6-BS211))</f>
        <v>0</v>
      </c>
      <c r="BP212" s="38">
        <f>Inputs!$B$27*(1+Inputs!$B$28)^($A212/12)*IF(Inputs!$B$72=1,$G212,1)*(1-Inputs!$C$72*$H212*(1-Inputs!$E$54*Inputs!$B$72))*(1+$I212)*IF(Inputs!$B$29=0,1,(MAX(BS211,0)/Inputs!$B$6)^Inputs!$B$29)</f>
        <v>32261.637136906655</v>
      </c>
      <c r="BQ212" s="38">
        <f>Inputs!$B$32*BS211/Inputs!$B$6</f>
        <v>0</v>
      </c>
      <c r="BR212" s="38">
        <f>Inputs!$B$33</f>
        <v>2500</v>
      </c>
      <c r="BS212" s="38">
        <f t="shared" si="172"/>
        <v>0</v>
      </c>
      <c r="BT212" s="38">
        <f t="shared" si="173"/>
        <v>0</v>
      </c>
      <c r="BU212" s="38">
        <f>Inputs!$B$19*(1-Inputs!$C$72*$H212)+Inputs!$B$21+Inputs!$B$72*$J212</f>
        <v>577500</v>
      </c>
      <c r="BV212" s="38">
        <f t="shared" si="174"/>
        <v>-577500</v>
      </c>
      <c r="BW212" s="38">
        <f t="shared" si="175"/>
        <v>1</v>
      </c>
      <c r="BX212" s="38">
        <f>MAX(0,MIN(Inputs!$C$36,CC211,BY212+BZ212+CA212+Inputs!$C$6-CB211))</f>
        <v>0</v>
      </c>
      <c r="BY212" s="38">
        <f>Inputs!$C$27*(1+Inputs!$C$28)^($A212/12)*IF(Inputs!$B$72=1,$G212,1)*(1-Inputs!$C$72*$H212*(1-Inputs!$E$54*Inputs!$B$72))*(1+$I212)*IF(Inputs!$C$29=0,1,(MAX(CB211,0)/Inputs!$C$6)^Inputs!$C$29)</f>
        <v>0</v>
      </c>
      <c r="BZ212" s="38">
        <f>Inputs!$C$32*CB211/Inputs!$C$6</f>
        <v>0</v>
      </c>
      <c r="CA212" s="38">
        <f>Inputs!$C$33</f>
        <v>2000</v>
      </c>
      <c r="CB212" s="38">
        <f t="shared" si="176"/>
        <v>0</v>
      </c>
      <c r="CC212" s="38">
        <f t="shared" si="177"/>
        <v>0</v>
      </c>
      <c r="CD212" s="38">
        <f>Inputs!$C$19*(1-Inputs!$C$72*$H212)+Inputs!$C$21+Inputs!$B$72*$J212</f>
        <v>480000</v>
      </c>
      <c r="CE212" s="38">
        <f t="shared" si="178"/>
        <v>-480000</v>
      </c>
      <c r="CF212" s="38">
        <f t="shared" si="179"/>
        <v>1</v>
      </c>
      <c r="CG212" s="38">
        <f>MAX(0,MIN(Inputs!$D$36,CL211,CH212+CI212+CJ212+Inputs!$D$6-CK211))</f>
        <v>0</v>
      </c>
      <c r="CH212" s="38">
        <f>Inputs!$D$27*(1+Inputs!$D$28)^($A212/12)*IF(Inputs!$B$72=1,$G212,1)*(1-Inputs!$C$72*$H212*(1-Inputs!$E$54*Inputs!$B$72))*(1+$I212)*IF(Inputs!$D$29=0,1,(MAX(CK211,0)/Inputs!$D$6)^Inputs!$D$29)</f>
        <v>321.35053085909578</v>
      </c>
      <c r="CI212" s="38">
        <f>Inputs!$D$32*CK211/Inputs!$D$6</f>
        <v>29.619892842298196</v>
      </c>
      <c r="CJ212" s="38">
        <f>Inputs!$D$33</f>
        <v>1500</v>
      </c>
      <c r="CK212" s="38">
        <f t="shared" si="180"/>
        <v>4355.1023623039428</v>
      </c>
      <c r="CL212" s="38">
        <f t="shared" si="181"/>
        <v>0</v>
      </c>
      <c r="CM212" s="38">
        <f>Inputs!$D$19*(1-Inputs!$C$72*$H212)+Inputs!$D$21+Inputs!$B$72*$J212</f>
        <v>392150</v>
      </c>
      <c r="CN212" s="38">
        <f t="shared" si="182"/>
        <v>-387794.89763769606</v>
      </c>
      <c r="CO212" s="38">
        <f t="shared" si="183"/>
        <v>1</v>
      </c>
      <c r="CP212" s="38">
        <f>MAX(0,MIN(Inputs!$B$36,CU211,CQ212+CR212+CS212+Inputs!$B$6-CT211))</f>
        <v>0</v>
      </c>
      <c r="CQ212" s="38">
        <f>Inputs!$B$27*(1+Inputs!$B$28)^($A212/12)*IF(Inputs!$B$73=1,$G212,1)*(1-Inputs!$C$73*$H212*(1-Inputs!$E$54*Inputs!$B$73))*(1+$I212)*IF(Inputs!$B$29=0,1,(MAX(CT211,0)/Inputs!$B$6)^Inputs!$B$29)</f>
        <v>28684.076411913138</v>
      </c>
      <c r="CR212" s="38">
        <f>Inputs!$B$32*CT211/Inputs!$B$6</f>
        <v>0</v>
      </c>
      <c r="CS212" s="38">
        <f>Inputs!$B$33</f>
        <v>2500</v>
      </c>
      <c r="CT212" s="38">
        <f t="shared" si="184"/>
        <v>0</v>
      </c>
      <c r="CU212" s="38">
        <f t="shared" si="185"/>
        <v>0</v>
      </c>
      <c r="CV212" s="38">
        <f>Inputs!$B$19*(1-Inputs!$C$73*$H212)+Inputs!$B$21+Inputs!$B$73*$J212</f>
        <v>583500</v>
      </c>
      <c r="CW212" s="38">
        <f t="shared" si="186"/>
        <v>-583500</v>
      </c>
      <c r="CX212" s="38">
        <f t="shared" si="187"/>
        <v>1</v>
      </c>
      <c r="CY212" s="38">
        <f>MAX(0,MIN(Inputs!$C$36,DD211,CZ212+DA212+DB212+Inputs!$C$6-DC211))</f>
        <v>0</v>
      </c>
      <c r="CZ212" s="38">
        <f>Inputs!$C$27*(1+Inputs!$C$28)^($A212/12)*IF(Inputs!$B$73=1,$G212,1)*(1-Inputs!$C$73*$H212*(1-Inputs!$E$54*Inputs!$B$73))*(1+$I212)*IF(Inputs!$C$29=0,1,(MAX(DC211,0)/Inputs!$C$6)^Inputs!$C$29)</f>
        <v>0</v>
      </c>
      <c r="DA212" s="38">
        <f>Inputs!$C$32*DC211/Inputs!$C$6</f>
        <v>0</v>
      </c>
      <c r="DB212" s="38">
        <f>Inputs!$C$33</f>
        <v>2000</v>
      </c>
      <c r="DC212" s="38">
        <f t="shared" si="188"/>
        <v>0</v>
      </c>
      <c r="DD212" s="38">
        <f t="shared" si="189"/>
        <v>0</v>
      </c>
      <c r="DE212" s="38">
        <f>Inputs!$C$19*(1-Inputs!$C$73*$H212)+Inputs!$C$21+Inputs!$B$73*$J212</f>
        <v>486000</v>
      </c>
      <c r="DF212" s="38">
        <f t="shared" si="190"/>
        <v>-486000</v>
      </c>
      <c r="DG212" s="38">
        <f t="shared" si="191"/>
        <v>1</v>
      </c>
      <c r="DH212" s="38">
        <f>MAX(0,MIN(Inputs!$D$36,DM211,DI212+DJ212+DK212+Inputs!$D$6-DL211))</f>
        <v>0</v>
      </c>
      <c r="DI212" s="38">
        <f>Inputs!$D$27*(1+Inputs!$D$28)^($A212/12)*IF(Inputs!$B$73=1,$G212,1)*(1-Inputs!$C$73*$H212*(1-Inputs!$E$54*Inputs!$B$73))*(1+$I212)*IF(Inputs!$D$29=0,1,(MAX(DL211,0)/Inputs!$D$6)^Inputs!$D$29)</f>
        <v>700.50784907074672</v>
      </c>
      <c r="DJ212" s="38">
        <f>Inputs!$D$32*DL211/Inputs!$D$6</f>
        <v>178.050219798901</v>
      </c>
      <c r="DK212" s="38">
        <f>Inputs!$D$33</f>
        <v>1500</v>
      </c>
      <c r="DL212" s="38">
        <f t="shared" si="192"/>
        <v>34927.202269947702</v>
      </c>
      <c r="DM212" s="38">
        <f t="shared" si="193"/>
        <v>0</v>
      </c>
      <c r="DN212" s="38">
        <f>Inputs!$D$19*(1-Inputs!$C$73*$H212)+Inputs!$D$21+Inputs!$B$73*$J212</f>
        <v>398150</v>
      </c>
      <c r="DO212" s="38">
        <f t="shared" si="194"/>
        <v>-363222.79773005232</v>
      </c>
      <c r="DP212" s="38">
        <f t="shared" si="195"/>
        <v>1</v>
      </c>
    </row>
    <row r="213" spans="1:120" x14ac:dyDescent="0.35">
      <c r="A213" s="29">
        <v>208</v>
      </c>
      <c r="B213" s="34">
        <f>EDATE(Inputs!$B$67,$A213)</f>
        <v>52597</v>
      </c>
      <c r="C213" s="35">
        <f>IF(Inputs!$E$47&lt;=0,Inputs!$E$46,Inputs!$E$44+(Inputs!$E$46-Inputs!$E$44)*MIN($A213/Inputs!$E$47,1))</f>
        <v>0.7</v>
      </c>
      <c r="D213" s="35">
        <f>MIN(Inputs!$E$57,Inputs!$E$55*(1+Inputs!$E$56)^($A213/12))*Inputs!$E$58*(1+Inputs!$E$59)^($A213/12)/Inputs!$E$45</f>
        <v>1.5</v>
      </c>
      <c r="E213" s="35">
        <f>MAX(Inputs!$E$44,MIN(C213,D213))</f>
        <v>0.7</v>
      </c>
      <c r="F213" s="35">
        <f>IF(Inputs!$E$50&lt;=0,Inputs!$E$49,Inputs!$E$48+(Inputs!$E$49-Inputs!$E$48)*MIN($A213/Inputs!$E$50,1))</f>
        <v>0.12</v>
      </c>
      <c r="G213" s="36">
        <f>(Inputs!$E$41*(1-E213*Inputs!$E$51)+Inputs!$E$42*(1-F213*Inputs!$E$51))/(Inputs!$E$41*(1-Inputs!$E$44*Inputs!$E$51)+Inputs!$E$42*(1-Inputs!$E$48*Inputs!$E$51))</f>
        <v>0.8423127463863338</v>
      </c>
      <c r="H213" s="35">
        <f>IF(Inputs!$E$53&lt;=0,Inputs!$E$52,Inputs!$E$52*MIN($A213/Inputs!$E$53,1))</f>
        <v>0.1</v>
      </c>
      <c r="I213" s="35">
        <f>IF(Inputs!$E$64&lt;=0,Inputs!$E$63,Inputs!$E$62+(Inputs!$E$63-Inputs!$E$62)*MIN($A213/Inputs!$E$64,1))</f>
        <v>0.03</v>
      </c>
      <c r="J213" s="37">
        <f>(E213-Inputs!$E$44)*Inputs!$E$45/Inputs!$E$60*Inputs!$E$61</f>
        <v>5999.9999999999991</v>
      </c>
      <c r="K213" s="29">
        <f t="shared" si="147"/>
        <v>0</v>
      </c>
      <c r="L213" s="29"/>
      <c r="M213" s="38">
        <f>MAX(0,MIN(Inputs!$B$36,R212,N213+O213+P213+Inputs!$B$6-Q212))</f>
        <v>0</v>
      </c>
      <c r="N213" s="38">
        <f>Inputs!$B$27*(1+Inputs!$B$28)^($A213/12)*IF(Inputs!$B$70=1,$G213,1)*(1-Inputs!$C$70*$H213*(1-Inputs!$E$54*Inputs!$B$70))*(1+$I213)*IF(Inputs!$B$29=0,1,(MAX(Q212,0)/Inputs!$B$6)^Inputs!$B$29)</f>
        <v>35992.305600072847</v>
      </c>
      <c r="O213" s="38">
        <f>Inputs!$B$32*Q212/Inputs!$B$6</f>
        <v>0</v>
      </c>
      <c r="P213" s="38">
        <f>Inputs!$B$33</f>
        <v>2500</v>
      </c>
      <c r="Q213" s="38">
        <f t="shared" si="148"/>
        <v>0</v>
      </c>
      <c r="R213" s="38">
        <f t="shared" si="149"/>
        <v>0</v>
      </c>
      <c r="S213" s="38">
        <f>Inputs!$B$19*(1-Inputs!$C$70*$H213)+Inputs!$B$21+Inputs!$B$70*$J213</f>
        <v>595000</v>
      </c>
      <c r="T213" s="38">
        <f t="shared" si="150"/>
        <v>-595000</v>
      </c>
      <c r="U213" s="38">
        <f t="shared" si="151"/>
        <v>1</v>
      </c>
      <c r="V213" s="38">
        <f>MAX(0,MIN(Inputs!$C$36,AA212,W213+X213+Y213+Inputs!$C$6-Z212))</f>
        <v>0</v>
      </c>
      <c r="W213" s="38">
        <f>Inputs!$C$27*(1+Inputs!$C$28)^($A213/12)*IF(Inputs!$B$70=1,$G213,1)*(1-Inputs!$C$70*$H213*(1-Inputs!$E$54*Inputs!$B$70))*(1+$I213)*IF(Inputs!$C$29=0,1,(MAX(Z212,0)/Inputs!$C$6)^Inputs!$C$29)</f>
        <v>0</v>
      </c>
      <c r="X213" s="38">
        <f>Inputs!$C$32*Z212/Inputs!$C$6</f>
        <v>0</v>
      </c>
      <c r="Y213" s="38">
        <f>Inputs!$C$33</f>
        <v>2000</v>
      </c>
      <c r="Z213" s="38">
        <f t="shared" si="152"/>
        <v>0</v>
      </c>
      <c r="AA213" s="38">
        <f t="shared" si="153"/>
        <v>0</v>
      </c>
      <c r="AB213" s="38">
        <f>Inputs!$C$19*(1-Inputs!$C$70*$H213)+Inputs!$C$21+Inputs!$B$70*$J213</f>
        <v>495000</v>
      </c>
      <c r="AC213" s="38">
        <f t="shared" si="154"/>
        <v>-495000</v>
      </c>
      <c r="AD213" s="38">
        <f t="shared" si="155"/>
        <v>1</v>
      </c>
      <c r="AE213" s="38">
        <f>MAX(0,MIN(Inputs!$D$36,AJ212,AF213+AG213+AH213+Inputs!$D$6-AI212))</f>
        <v>0</v>
      </c>
      <c r="AF213" s="38">
        <f>Inputs!$D$27*(1+Inputs!$D$28)^($A213/12)*IF(Inputs!$B$70=1,$G213,1)*(1-Inputs!$C$70*$H213*(1-Inputs!$E$54*Inputs!$B$70))*(1+$I213)*IF(Inputs!$D$29=0,1,(MAX(AI212,0)/Inputs!$D$6)^Inputs!$D$29)</f>
        <v>0</v>
      </c>
      <c r="AG213" s="38">
        <f>Inputs!$D$32*AI212/Inputs!$D$6</f>
        <v>0</v>
      </c>
      <c r="AH213" s="38">
        <f>Inputs!$D$33</f>
        <v>1500</v>
      </c>
      <c r="AI213" s="38">
        <f t="shared" si="156"/>
        <v>0</v>
      </c>
      <c r="AJ213" s="38">
        <f t="shared" si="157"/>
        <v>0</v>
      </c>
      <c r="AK213" s="38">
        <f>Inputs!$D$19*(1-Inputs!$C$70*$H213)+Inputs!$D$21+Inputs!$B$70*$J213</f>
        <v>404800</v>
      </c>
      <c r="AL213" s="38">
        <f t="shared" si="158"/>
        <v>-404800</v>
      </c>
      <c r="AM213" s="38">
        <f t="shared" si="159"/>
        <v>1</v>
      </c>
      <c r="AN213" s="38">
        <f>MAX(0,MIN(Inputs!$B$36,AS212,AO213+AP213+AQ213+Inputs!$B$6-AR212))</f>
        <v>0</v>
      </c>
      <c r="AO213" s="38">
        <f>Inputs!$B$27*(1+Inputs!$B$28)^($A213/12)*IF(Inputs!$B$71=1,$G213,1)*(1-Inputs!$C$71*$H213*(1-Inputs!$E$54*Inputs!$B$71))*(1+$I213)*IF(Inputs!$B$29=0,1,(MAX(AR212,0)/Inputs!$B$6)^Inputs!$B$29)</f>
        <v>30316.777778773579</v>
      </c>
      <c r="AP213" s="38">
        <f>Inputs!$B$32*AR212/Inputs!$B$6</f>
        <v>0</v>
      </c>
      <c r="AQ213" s="38">
        <f>Inputs!$B$33</f>
        <v>2500</v>
      </c>
      <c r="AR213" s="38">
        <f t="shared" si="160"/>
        <v>0</v>
      </c>
      <c r="AS213" s="38">
        <f t="shared" si="161"/>
        <v>0</v>
      </c>
      <c r="AT213" s="38">
        <f>Inputs!$B$19*(1-Inputs!$C$71*$H213)+Inputs!$B$21+Inputs!$B$71*$J213</f>
        <v>601000</v>
      </c>
      <c r="AU213" s="38">
        <f t="shared" si="162"/>
        <v>-601000</v>
      </c>
      <c r="AV213" s="38">
        <f t="shared" si="163"/>
        <v>1</v>
      </c>
      <c r="AW213" s="38">
        <f>MAX(0,MIN(Inputs!$C$36,BB212,AX213+AY213+AZ213+Inputs!$C$6-BA212))</f>
        <v>0</v>
      </c>
      <c r="AX213" s="38">
        <f>Inputs!$C$27*(1+Inputs!$C$28)^($A213/12)*IF(Inputs!$B$71=1,$G213,1)*(1-Inputs!$C$71*$H213*(1-Inputs!$E$54*Inputs!$B$71))*(1+$I213)*IF(Inputs!$C$29=0,1,(MAX(BA212,0)/Inputs!$C$6)^Inputs!$C$29)</f>
        <v>0</v>
      </c>
      <c r="AY213" s="38">
        <f>Inputs!$C$32*BA212/Inputs!$C$6</f>
        <v>0</v>
      </c>
      <c r="AZ213" s="38">
        <f>Inputs!$C$33</f>
        <v>2000</v>
      </c>
      <c r="BA213" s="38">
        <f t="shared" si="164"/>
        <v>0</v>
      </c>
      <c r="BB213" s="38">
        <f t="shared" si="165"/>
        <v>0</v>
      </c>
      <c r="BC213" s="38">
        <f>Inputs!$C$19*(1-Inputs!$C$71*$H213)+Inputs!$C$21+Inputs!$B$71*$J213</f>
        <v>501000</v>
      </c>
      <c r="BD213" s="38">
        <f t="shared" si="166"/>
        <v>-501000</v>
      </c>
      <c r="BE213" s="38">
        <f t="shared" si="167"/>
        <v>1</v>
      </c>
      <c r="BF213" s="38">
        <f>MAX(0,MIN(Inputs!$D$36,BK212,BG213+BH213+BI213+Inputs!$D$6-BJ212))</f>
        <v>0</v>
      </c>
      <c r="BG213" s="38">
        <f>Inputs!$D$27*(1+Inputs!$D$28)^($A213/12)*IF(Inputs!$B$71=1,$G213,1)*(1-Inputs!$C$71*$H213*(1-Inputs!$E$54*Inputs!$B$71))*(1+$I213)*IF(Inputs!$D$29=0,1,(MAX(BJ212,0)/Inputs!$D$6)^Inputs!$D$29)</f>
        <v>566.83801229247115</v>
      </c>
      <c r="BH213" s="38">
        <f>Inputs!$D$32*BJ212/Inputs!$D$6</f>
        <v>106.11930044068062</v>
      </c>
      <c r="BI213" s="38">
        <f>Inputs!$D$33</f>
        <v>1500</v>
      </c>
      <c r="BJ213" s="38">
        <f t="shared" si="168"/>
        <v>20061.562779599932</v>
      </c>
      <c r="BK213" s="38">
        <f t="shared" si="169"/>
        <v>0</v>
      </c>
      <c r="BL213" s="38">
        <f>Inputs!$D$19*(1-Inputs!$C$71*$H213)+Inputs!$D$21+Inputs!$B$71*$J213</f>
        <v>410800</v>
      </c>
      <c r="BM213" s="38">
        <f t="shared" si="170"/>
        <v>-390738.43722040008</v>
      </c>
      <c r="BN213" s="38">
        <f t="shared" si="171"/>
        <v>1</v>
      </c>
      <c r="BO213" s="38">
        <f>MAX(0,MIN(Inputs!$B$36,BT212,BP213+BQ213+BR213+Inputs!$B$6-BS212))</f>
        <v>0</v>
      </c>
      <c r="BP213" s="38">
        <f>Inputs!$B$27*(1+Inputs!$B$28)^($A213/12)*IF(Inputs!$B$72=1,$G213,1)*(1-Inputs!$C$72*$H213*(1-Inputs!$E$54*Inputs!$B$72))*(1+$I213)*IF(Inputs!$B$29=0,1,(MAX(BS212,0)/Inputs!$B$6)^Inputs!$B$29)</f>
        <v>32393.075040065563</v>
      </c>
      <c r="BQ213" s="38">
        <f>Inputs!$B$32*BS212/Inputs!$B$6</f>
        <v>0</v>
      </c>
      <c r="BR213" s="38">
        <f>Inputs!$B$33</f>
        <v>2500</v>
      </c>
      <c r="BS213" s="38">
        <f t="shared" si="172"/>
        <v>0</v>
      </c>
      <c r="BT213" s="38">
        <f t="shared" si="173"/>
        <v>0</v>
      </c>
      <c r="BU213" s="38">
        <f>Inputs!$B$19*(1-Inputs!$C$72*$H213)+Inputs!$B$21+Inputs!$B$72*$J213</f>
        <v>577500</v>
      </c>
      <c r="BV213" s="38">
        <f t="shared" si="174"/>
        <v>-577500</v>
      </c>
      <c r="BW213" s="38">
        <f t="shared" si="175"/>
        <v>1</v>
      </c>
      <c r="BX213" s="38">
        <f>MAX(0,MIN(Inputs!$C$36,CC212,BY213+BZ213+CA213+Inputs!$C$6-CB212))</f>
        <v>0</v>
      </c>
      <c r="BY213" s="38">
        <f>Inputs!$C$27*(1+Inputs!$C$28)^($A213/12)*IF(Inputs!$B$72=1,$G213,1)*(1-Inputs!$C$72*$H213*(1-Inputs!$E$54*Inputs!$B$72))*(1+$I213)*IF(Inputs!$C$29=0,1,(MAX(CB212,0)/Inputs!$C$6)^Inputs!$C$29)</f>
        <v>0</v>
      </c>
      <c r="BZ213" s="38">
        <f>Inputs!$C$32*CB212/Inputs!$C$6</f>
        <v>0</v>
      </c>
      <c r="CA213" s="38">
        <f>Inputs!$C$33</f>
        <v>2000</v>
      </c>
      <c r="CB213" s="38">
        <f t="shared" si="176"/>
        <v>0</v>
      </c>
      <c r="CC213" s="38">
        <f t="shared" si="177"/>
        <v>0</v>
      </c>
      <c r="CD213" s="38">
        <f>Inputs!$C$19*(1-Inputs!$C$72*$H213)+Inputs!$C$21+Inputs!$B$72*$J213</f>
        <v>480000</v>
      </c>
      <c r="CE213" s="38">
        <f t="shared" si="178"/>
        <v>-480000</v>
      </c>
      <c r="CF213" s="38">
        <f t="shared" si="179"/>
        <v>1</v>
      </c>
      <c r="CG213" s="38">
        <f>MAX(0,MIN(Inputs!$D$36,CL212,CH213+CI213+CJ213+Inputs!$D$6-CK212))</f>
        <v>0</v>
      </c>
      <c r="CH213" s="38">
        <f>Inputs!$D$27*(1+Inputs!$D$28)^($A213/12)*IF(Inputs!$B$72=1,$G213,1)*(1-Inputs!$C$72*$H213*(1-Inputs!$E$54*Inputs!$B$72))*(1+$I213)*IF(Inputs!$D$29=0,1,(MAX(CK212,0)/Inputs!$D$6)^Inputs!$D$29)</f>
        <v>268.04851566486138</v>
      </c>
      <c r="CI213" s="38">
        <f>Inputs!$D$32*CK212/Inputs!$D$6</f>
        <v>20.785715820087002</v>
      </c>
      <c r="CJ213" s="38">
        <f>Inputs!$D$33</f>
        <v>1500</v>
      </c>
      <c r="CK213" s="38">
        <f t="shared" si="180"/>
        <v>2566.2681308189945</v>
      </c>
      <c r="CL213" s="38">
        <f t="shared" si="181"/>
        <v>0</v>
      </c>
      <c r="CM213" s="38">
        <f>Inputs!$D$19*(1-Inputs!$C$72*$H213)+Inputs!$D$21+Inputs!$B$72*$J213</f>
        <v>392150</v>
      </c>
      <c r="CN213" s="38">
        <f t="shared" si="182"/>
        <v>-389583.73186918098</v>
      </c>
      <c r="CO213" s="38">
        <f t="shared" si="183"/>
        <v>1</v>
      </c>
      <c r="CP213" s="38">
        <f>MAX(0,MIN(Inputs!$B$36,CU212,CQ213+CR213+CS213+Inputs!$B$6-CT212))</f>
        <v>0</v>
      </c>
      <c r="CQ213" s="38">
        <f>Inputs!$B$27*(1+Inputs!$B$28)^($A213/12)*IF(Inputs!$B$73=1,$G213,1)*(1-Inputs!$C$73*$H213*(1-Inputs!$E$54*Inputs!$B$73))*(1+$I213)*IF(Inputs!$B$29=0,1,(MAX(CT212,0)/Inputs!$B$6)^Inputs!$B$29)</f>
        <v>28800.938889834899</v>
      </c>
      <c r="CR213" s="38">
        <f>Inputs!$B$32*CT212/Inputs!$B$6</f>
        <v>0</v>
      </c>
      <c r="CS213" s="38">
        <f>Inputs!$B$33</f>
        <v>2500</v>
      </c>
      <c r="CT213" s="38">
        <f t="shared" si="184"/>
        <v>0</v>
      </c>
      <c r="CU213" s="38">
        <f t="shared" si="185"/>
        <v>0</v>
      </c>
      <c r="CV213" s="38">
        <f>Inputs!$B$19*(1-Inputs!$C$73*$H213)+Inputs!$B$21+Inputs!$B$73*$J213</f>
        <v>583500</v>
      </c>
      <c r="CW213" s="38">
        <f t="shared" si="186"/>
        <v>-583500</v>
      </c>
      <c r="CX213" s="38">
        <f t="shared" si="187"/>
        <v>1</v>
      </c>
      <c r="CY213" s="38">
        <f>MAX(0,MIN(Inputs!$C$36,DD212,CZ213+DA213+DB213+Inputs!$C$6-DC212))</f>
        <v>0</v>
      </c>
      <c r="CZ213" s="38">
        <f>Inputs!$C$27*(1+Inputs!$C$28)^($A213/12)*IF(Inputs!$B$73=1,$G213,1)*(1-Inputs!$C$73*$H213*(1-Inputs!$E$54*Inputs!$B$73))*(1+$I213)*IF(Inputs!$C$29=0,1,(MAX(DC212,0)/Inputs!$C$6)^Inputs!$C$29)</f>
        <v>0</v>
      </c>
      <c r="DA213" s="38">
        <f>Inputs!$C$32*DC212/Inputs!$C$6</f>
        <v>0</v>
      </c>
      <c r="DB213" s="38">
        <f>Inputs!$C$33</f>
        <v>2000</v>
      </c>
      <c r="DC213" s="38">
        <f t="shared" si="188"/>
        <v>0</v>
      </c>
      <c r="DD213" s="38">
        <f t="shared" si="189"/>
        <v>0</v>
      </c>
      <c r="DE213" s="38">
        <f>Inputs!$C$19*(1-Inputs!$C$73*$H213)+Inputs!$C$21+Inputs!$B$73*$J213</f>
        <v>486000</v>
      </c>
      <c r="DF213" s="38">
        <f t="shared" si="190"/>
        <v>-486000</v>
      </c>
      <c r="DG213" s="38">
        <f t="shared" si="191"/>
        <v>1</v>
      </c>
      <c r="DH213" s="38">
        <f>MAX(0,MIN(Inputs!$D$36,DM212,DI213+DJ213+DK213+Inputs!$D$6-DL212))</f>
        <v>0</v>
      </c>
      <c r="DI213" s="38">
        <f>Inputs!$D$27*(1+Inputs!$D$28)^($A213/12)*IF(Inputs!$B$73=1,$G213,1)*(1-Inputs!$C$73*$H213*(1-Inputs!$E$54*Inputs!$B$73))*(1+$I213)*IF(Inputs!$D$29=0,1,(MAX(DL212,0)/Inputs!$D$6)^Inputs!$D$29)</f>
        <v>674.91734795880063</v>
      </c>
      <c r="DJ213" s="38">
        <f>Inputs!$D$32*DL212/Inputs!$D$6</f>
        <v>166.69801083384129</v>
      </c>
      <c r="DK213" s="38">
        <f>Inputs!$D$33</f>
        <v>1500</v>
      </c>
      <c r="DL213" s="38">
        <f t="shared" si="192"/>
        <v>32585.586911155064</v>
      </c>
      <c r="DM213" s="38">
        <f t="shared" si="193"/>
        <v>0</v>
      </c>
      <c r="DN213" s="38">
        <f>Inputs!$D$19*(1-Inputs!$C$73*$H213)+Inputs!$D$21+Inputs!$B$73*$J213</f>
        <v>398150</v>
      </c>
      <c r="DO213" s="38">
        <f t="shared" si="194"/>
        <v>-365564.41308884491</v>
      </c>
      <c r="DP213" s="38">
        <f t="shared" si="195"/>
        <v>1</v>
      </c>
    </row>
    <row r="214" spans="1:120" x14ac:dyDescent="0.35">
      <c r="A214" s="29">
        <v>209</v>
      </c>
      <c r="B214" s="34">
        <f>EDATE(Inputs!$B$67,$A214)</f>
        <v>52628</v>
      </c>
      <c r="C214" s="35">
        <f>IF(Inputs!$E$47&lt;=0,Inputs!$E$46,Inputs!$E$44+(Inputs!$E$46-Inputs!$E$44)*MIN($A214/Inputs!$E$47,1))</f>
        <v>0.7</v>
      </c>
      <c r="D214" s="35">
        <f>MIN(Inputs!$E$57,Inputs!$E$55*(1+Inputs!$E$56)^($A214/12))*Inputs!$E$58*(1+Inputs!$E$59)^($A214/12)/Inputs!$E$45</f>
        <v>1.5</v>
      </c>
      <c r="E214" s="35">
        <f>MAX(Inputs!$E$44,MIN(C214,D214))</f>
        <v>0.7</v>
      </c>
      <c r="F214" s="35">
        <f>IF(Inputs!$E$50&lt;=0,Inputs!$E$49,Inputs!$E$48+(Inputs!$E$49-Inputs!$E$48)*MIN($A214/Inputs!$E$50,1))</f>
        <v>0.12</v>
      </c>
      <c r="G214" s="36">
        <f>(Inputs!$E$41*(1-E214*Inputs!$E$51)+Inputs!$E$42*(1-F214*Inputs!$E$51))/(Inputs!$E$41*(1-Inputs!$E$44*Inputs!$E$51)+Inputs!$E$42*(1-Inputs!$E$48*Inputs!$E$51))</f>
        <v>0.8423127463863338</v>
      </c>
      <c r="H214" s="35">
        <f>IF(Inputs!$E$53&lt;=0,Inputs!$E$52,Inputs!$E$52*MIN($A214/Inputs!$E$53,1))</f>
        <v>0.1</v>
      </c>
      <c r="I214" s="35">
        <f>IF(Inputs!$E$64&lt;=0,Inputs!$E$63,Inputs!$E$62+(Inputs!$E$63-Inputs!$E$62)*MIN($A214/Inputs!$E$64,1))</f>
        <v>0.03</v>
      </c>
      <c r="J214" s="37">
        <f>(E214-Inputs!$E$44)*Inputs!$E$45/Inputs!$E$60*Inputs!$E$61</f>
        <v>5999.9999999999991</v>
      </c>
      <c r="K214" s="29">
        <f t="shared" si="147"/>
        <v>0</v>
      </c>
      <c r="L214" s="29"/>
      <c r="M214" s="38">
        <f>MAX(0,MIN(Inputs!$B$36,R213,N214+O214+P214+Inputs!$B$6-Q213))</f>
        <v>0</v>
      </c>
      <c r="N214" s="38">
        <f>Inputs!$B$27*(1+Inputs!$B$28)^($A214/12)*IF(Inputs!$B$70=1,$G214,1)*(1-Inputs!$C$70*$H214*(1-Inputs!$E$54*Inputs!$B$70))*(1+$I214)*IF(Inputs!$B$29=0,1,(MAX(Q213,0)/Inputs!$B$6)^Inputs!$B$29)</f>
        <v>36138.942708346447</v>
      </c>
      <c r="O214" s="38">
        <f>Inputs!$B$32*Q213/Inputs!$B$6</f>
        <v>0</v>
      </c>
      <c r="P214" s="38">
        <f>Inputs!$B$33</f>
        <v>2500</v>
      </c>
      <c r="Q214" s="38">
        <f t="shared" si="148"/>
        <v>0</v>
      </c>
      <c r="R214" s="38">
        <f t="shared" si="149"/>
        <v>0</v>
      </c>
      <c r="S214" s="38">
        <f>Inputs!$B$19*(1-Inputs!$C$70*$H214)+Inputs!$B$21+Inputs!$B$70*$J214</f>
        <v>595000</v>
      </c>
      <c r="T214" s="38">
        <f t="shared" si="150"/>
        <v>-595000</v>
      </c>
      <c r="U214" s="38">
        <f t="shared" si="151"/>
        <v>1</v>
      </c>
      <c r="V214" s="38">
        <f>MAX(0,MIN(Inputs!$C$36,AA213,W214+X214+Y214+Inputs!$C$6-Z213))</f>
        <v>0</v>
      </c>
      <c r="W214" s="38">
        <f>Inputs!$C$27*(1+Inputs!$C$28)^($A214/12)*IF(Inputs!$B$70=1,$G214,1)*(1-Inputs!$C$70*$H214*(1-Inputs!$E$54*Inputs!$B$70))*(1+$I214)*IF(Inputs!$C$29=0,1,(MAX(Z213,0)/Inputs!$C$6)^Inputs!$C$29)</f>
        <v>0</v>
      </c>
      <c r="X214" s="38">
        <f>Inputs!$C$32*Z213/Inputs!$C$6</f>
        <v>0</v>
      </c>
      <c r="Y214" s="38">
        <f>Inputs!$C$33</f>
        <v>2000</v>
      </c>
      <c r="Z214" s="38">
        <f t="shared" si="152"/>
        <v>0</v>
      </c>
      <c r="AA214" s="38">
        <f t="shared" si="153"/>
        <v>0</v>
      </c>
      <c r="AB214" s="38">
        <f>Inputs!$C$19*(1-Inputs!$C$70*$H214)+Inputs!$C$21+Inputs!$B$70*$J214</f>
        <v>495000</v>
      </c>
      <c r="AC214" s="38">
        <f t="shared" si="154"/>
        <v>-495000</v>
      </c>
      <c r="AD214" s="38">
        <f t="shared" si="155"/>
        <v>1</v>
      </c>
      <c r="AE214" s="38">
        <f>MAX(0,MIN(Inputs!$D$36,AJ213,AF214+AG214+AH214+Inputs!$D$6-AI213))</f>
        <v>0</v>
      </c>
      <c r="AF214" s="38">
        <f>Inputs!$D$27*(1+Inputs!$D$28)^($A214/12)*IF(Inputs!$B$70=1,$G214,1)*(1-Inputs!$C$70*$H214*(1-Inputs!$E$54*Inputs!$B$70))*(1+$I214)*IF(Inputs!$D$29=0,1,(MAX(AI213,0)/Inputs!$D$6)^Inputs!$D$29)</f>
        <v>0</v>
      </c>
      <c r="AG214" s="38">
        <f>Inputs!$D$32*AI213/Inputs!$D$6</f>
        <v>0</v>
      </c>
      <c r="AH214" s="38">
        <f>Inputs!$D$33</f>
        <v>1500</v>
      </c>
      <c r="AI214" s="38">
        <f t="shared" si="156"/>
        <v>0</v>
      </c>
      <c r="AJ214" s="38">
        <f t="shared" si="157"/>
        <v>0</v>
      </c>
      <c r="AK214" s="38">
        <f>Inputs!$D$19*(1-Inputs!$C$70*$H214)+Inputs!$D$21+Inputs!$B$70*$J214</f>
        <v>404800</v>
      </c>
      <c r="AL214" s="38">
        <f t="shared" si="158"/>
        <v>-404800</v>
      </c>
      <c r="AM214" s="38">
        <f t="shared" si="159"/>
        <v>1</v>
      </c>
      <c r="AN214" s="38">
        <f>MAX(0,MIN(Inputs!$B$36,AS213,AO214+AP214+AQ214+Inputs!$B$6-AR213))</f>
        <v>0</v>
      </c>
      <c r="AO214" s="38">
        <f>Inputs!$B$27*(1+Inputs!$B$28)^($A214/12)*IF(Inputs!$B$71=1,$G214,1)*(1-Inputs!$C$71*$H214*(1-Inputs!$E$54*Inputs!$B$71))*(1+$I214)*IF(Inputs!$B$29=0,1,(MAX(AR213,0)/Inputs!$B$6)^Inputs!$B$29)</f>
        <v>30440.292084165667</v>
      </c>
      <c r="AP214" s="38">
        <f>Inputs!$B$32*AR213/Inputs!$B$6</f>
        <v>0</v>
      </c>
      <c r="AQ214" s="38">
        <f>Inputs!$B$33</f>
        <v>2500</v>
      </c>
      <c r="AR214" s="38">
        <f t="shared" si="160"/>
        <v>0</v>
      </c>
      <c r="AS214" s="38">
        <f t="shared" si="161"/>
        <v>0</v>
      </c>
      <c r="AT214" s="38">
        <f>Inputs!$B$19*(1-Inputs!$C$71*$H214)+Inputs!$B$21+Inputs!$B$71*$J214</f>
        <v>601000</v>
      </c>
      <c r="AU214" s="38">
        <f t="shared" si="162"/>
        <v>-601000</v>
      </c>
      <c r="AV214" s="38">
        <f t="shared" si="163"/>
        <v>1</v>
      </c>
      <c r="AW214" s="38">
        <f>MAX(0,MIN(Inputs!$C$36,BB213,AX214+AY214+AZ214+Inputs!$C$6-BA213))</f>
        <v>0</v>
      </c>
      <c r="AX214" s="38">
        <f>Inputs!$C$27*(1+Inputs!$C$28)^($A214/12)*IF(Inputs!$B$71=1,$G214,1)*(1-Inputs!$C$71*$H214*(1-Inputs!$E$54*Inputs!$B$71))*(1+$I214)*IF(Inputs!$C$29=0,1,(MAX(BA213,0)/Inputs!$C$6)^Inputs!$C$29)</f>
        <v>0</v>
      </c>
      <c r="AY214" s="38">
        <f>Inputs!$C$32*BA213/Inputs!$C$6</f>
        <v>0</v>
      </c>
      <c r="AZ214" s="38">
        <f>Inputs!$C$33</f>
        <v>2000</v>
      </c>
      <c r="BA214" s="38">
        <f t="shared" si="164"/>
        <v>0</v>
      </c>
      <c r="BB214" s="38">
        <f t="shared" si="165"/>
        <v>0</v>
      </c>
      <c r="BC214" s="38">
        <f>Inputs!$C$19*(1-Inputs!$C$71*$H214)+Inputs!$C$21+Inputs!$B$71*$J214</f>
        <v>501000</v>
      </c>
      <c r="BD214" s="38">
        <f t="shared" si="166"/>
        <v>-501000</v>
      </c>
      <c r="BE214" s="38">
        <f t="shared" si="167"/>
        <v>1</v>
      </c>
      <c r="BF214" s="38">
        <f>MAX(0,MIN(Inputs!$D$36,BK213,BG214+BH214+BI214+Inputs!$D$6-BJ213))</f>
        <v>0</v>
      </c>
      <c r="BG214" s="38">
        <f>Inputs!$D$27*(1+Inputs!$D$28)^($A214/12)*IF(Inputs!$B$71=1,$G214,1)*(1-Inputs!$C$71*$H214*(1-Inputs!$E$54*Inputs!$B$71))*(1+$I214)*IF(Inputs!$D$29=0,1,(MAX(BJ213,0)/Inputs!$D$6)^Inputs!$D$29)</f>
        <v>536.13122364433127</v>
      </c>
      <c r="BH214" s="38">
        <f>Inputs!$D$32*BJ213/Inputs!$D$6</f>
        <v>95.748367811726951</v>
      </c>
      <c r="BI214" s="38">
        <f>Inputs!$D$33</f>
        <v>1500</v>
      </c>
      <c r="BJ214" s="38">
        <f t="shared" si="168"/>
        <v>17929.683188143874</v>
      </c>
      <c r="BK214" s="38">
        <f t="shared" si="169"/>
        <v>0</v>
      </c>
      <c r="BL214" s="38">
        <f>Inputs!$D$19*(1-Inputs!$C$71*$H214)+Inputs!$D$21+Inputs!$B$71*$J214</f>
        <v>410800</v>
      </c>
      <c r="BM214" s="38">
        <f t="shared" si="170"/>
        <v>-392870.31681185612</v>
      </c>
      <c r="BN214" s="38">
        <f t="shared" si="171"/>
        <v>1</v>
      </c>
      <c r="BO214" s="38">
        <f>MAX(0,MIN(Inputs!$B$36,BT213,BP214+BQ214+BR214+Inputs!$B$6-BS213))</f>
        <v>0</v>
      </c>
      <c r="BP214" s="38">
        <f>Inputs!$B$27*(1+Inputs!$B$28)^($A214/12)*IF(Inputs!$B$72=1,$G214,1)*(1-Inputs!$C$72*$H214*(1-Inputs!$E$54*Inputs!$B$72))*(1+$I214)*IF(Inputs!$B$29=0,1,(MAX(BS213,0)/Inputs!$B$6)^Inputs!$B$29)</f>
        <v>32525.048437511803</v>
      </c>
      <c r="BQ214" s="38">
        <f>Inputs!$B$32*BS213/Inputs!$B$6</f>
        <v>0</v>
      </c>
      <c r="BR214" s="38">
        <f>Inputs!$B$33</f>
        <v>2500</v>
      </c>
      <c r="BS214" s="38">
        <f t="shared" si="172"/>
        <v>0</v>
      </c>
      <c r="BT214" s="38">
        <f t="shared" si="173"/>
        <v>0</v>
      </c>
      <c r="BU214" s="38">
        <f>Inputs!$B$19*(1-Inputs!$C$72*$H214)+Inputs!$B$21+Inputs!$B$72*$J214</f>
        <v>577500</v>
      </c>
      <c r="BV214" s="38">
        <f t="shared" si="174"/>
        <v>-577500</v>
      </c>
      <c r="BW214" s="38">
        <f t="shared" si="175"/>
        <v>1</v>
      </c>
      <c r="BX214" s="38">
        <f>MAX(0,MIN(Inputs!$C$36,CC213,BY214+BZ214+CA214+Inputs!$C$6-CB213))</f>
        <v>0</v>
      </c>
      <c r="BY214" s="38">
        <f>Inputs!$C$27*(1+Inputs!$C$28)^($A214/12)*IF(Inputs!$B$72=1,$G214,1)*(1-Inputs!$C$72*$H214*(1-Inputs!$E$54*Inputs!$B$72))*(1+$I214)*IF(Inputs!$C$29=0,1,(MAX(CB213,0)/Inputs!$C$6)^Inputs!$C$29)</f>
        <v>0</v>
      </c>
      <c r="BZ214" s="38">
        <f>Inputs!$C$32*CB213/Inputs!$C$6</f>
        <v>0</v>
      </c>
      <c r="CA214" s="38">
        <f>Inputs!$C$33</f>
        <v>2000</v>
      </c>
      <c r="CB214" s="38">
        <f t="shared" si="176"/>
        <v>0</v>
      </c>
      <c r="CC214" s="38">
        <f t="shared" si="177"/>
        <v>0</v>
      </c>
      <c r="CD214" s="38">
        <f>Inputs!$C$19*(1-Inputs!$C$72*$H214)+Inputs!$C$21+Inputs!$B$72*$J214</f>
        <v>480000</v>
      </c>
      <c r="CE214" s="38">
        <f t="shared" si="178"/>
        <v>-480000</v>
      </c>
      <c r="CF214" s="38">
        <f t="shared" si="179"/>
        <v>1</v>
      </c>
      <c r="CG214" s="38">
        <f>MAX(0,MIN(Inputs!$D$36,CL213,CH214+CI214+CJ214+Inputs!$D$6-CK213))</f>
        <v>0</v>
      </c>
      <c r="CH214" s="38">
        <f>Inputs!$D$27*(1+Inputs!$D$28)^($A214/12)*IF(Inputs!$B$72=1,$G214,1)*(1-Inputs!$C$72*$H214*(1-Inputs!$E$54*Inputs!$B$72))*(1+$I214)*IF(Inputs!$D$29=0,1,(MAX(CK213,0)/Inputs!$D$6)^Inputs!$D$29)</f>
        <v>204.88439053602337</v>
      </c>
      <c r="CI214" s="38">
        <f>Inputs!$D$32*CK213/Inputs!$D$6</f>
        <v>12.248097897090656</v>
      </c>
      <c r="CJ214" s="38">
        <f>Inputs!$D$33</f>
        <v>1500</v>
      </c>
      <c r="CK214" s="38">
        <f t="shared" si="180"/>
        <v>849.1356423858806</v>
      </c>
      <c r="CL214" s="38">
        <f t="shared" si="181"/>
        <v>0</v>
      </c>
      <c r="CM214" s="38">
        <f>Inputs!$D$19*(1-Inputs!$C$72*$H214)+Inputs!$D$21+Inputs!$B$72*$J214</f>
        <v>392150</v>
      </c>
      <c r="CN214" s="38">
        <f t="shared" si="182"/>
        <v>-391300.86435761413</v>
      </c>
      <c r="CO214" s="38">
        <f t="shared" si="183"/>
        <v>1</v>
      </c>
      <c r="CP214" s="38">
        <f>MAX(0,MIN(Inputs!$B$36,CU213,CQ214+CR214+CS214+Inputs!$B$6-CT213))</f>
        <v>0</v>
      </c>
      <c r="CQ214" s="38">
        <f>Inputs!$B$27*(1+Inputs!$B$28)^($A214/12)*IF(Inputs!$B$73=1,$G214,1)*(1-Inputs!$C$73*$H214*(1-Inputs!$E$54*Inputs!$B$73))*(1+$I214)*IF(Inputs!$B$29=0,1,(MAX(CT213,0)/Inputs!$B$6)^Inputs!$B$29)</f>
        <v>28918.277479957385</v>
      </c>
      <c r="CR214" s="38">
        <f>Inputs!$B$32*CT213/Inputs!$B$6</f>
        <v>0</v>
      </c>
      <c r="CS214" s="38">
        <f>Inputs!$B$33</f>
        <v>2500</v>
      </c>
      <c r="CT214" s="38">
        <f t="shared" si="184"/>
        <v>0</v>
      </c>
      <c r="CU214" s="38">
        <f t="shared" si="185"/>
        <v>0</v>
      </c>
      <c r="CV214" s="38">
        <f>Inputs!$B$19*(1-Inputs!$C$73*$H214)+Inputs!$B$21+Inputs!$B$73*$J214</f>
        <v>583500</v>
      </c>
      <c r="CW214" s="38">
        <f t="shared" si="186"/>
        <v>-583500</v>
      </c>
      <c r="CX214" s="38">
        <f t="shared" si="187"/>
        <v>1</v>
      </c>
      <c r="CY214" s="38">
        <f>MAX(0,MIN(Inputs!$C$36,DD213,CZ214+DA214+DB214+Inputs!$C$6-DC213))</f>
        <v>0</v>
      </c>
      <c r="CZ214" s="38">
        <f>Inputs!$C$27*(1+Inputs!$C$28)^($A214/12)*IF(Inputs!$B$73=1,$G214,1)*(1-Inputs!$C$73*$H214*(1-Inputs!$E$54*Inputs!$B$73))*(1+$I214)*IF(Inputs!$C$29=0,1,(MAX(DC213,0)/Inputs!$C$6)^Inputs!$C$29)</f>
        <v>0</v>
      </c>
      <c r="DA214" s="38">
        <f>Inputs!$C$32*DC213/Inputs!$C$6</f>
        <v>0</v>
      </c>
      <c r="DB214" s="38">
        <f>Inputs!$C$33</f>
        <v>2000</v>
      </c>
      <c r="DC214" s="38">
        <f t="shared" si="188"/>
        <v>0</v>
      </c>
      <c r="DD214" s="38">
        <f t="shared" si="189"/>
        <v>0</v>
      </c>
      <c r="DE214" s="38">
        <f>Inputs!$C$19*(1-Inputs!$C$73*$H214)+Inputs!$C$21+Inputs!$B$73*$J214</f>
        <v>486000</v>
      </c>
      <c r="DF214" s="38">
        <f t="shared" si="190"/>
        <v>-486000</v>
      </c>
      <c r="DG214" s="38">
        <f t="shared" si="191"/>
        <v>1</v>
      </c>
      <c r="DH214" s="38">
        <f>MAX(0,MIN(Inputs!$D$36,DM213,DI214+DJ214+DK214+Inputs!$D$6-DL213))</f>
        <v>0</v>
      </c>
      <c r="DI214" s="38">
        <f>Inputs!$D$27*(1+Inputs!$D$28)^($A214/12)*IF(Inputs!$B$73=1,$G214,1)*(1-Inputs!$C$73*$H214*(1-Inputs!$E$54*Inputs!$B$73))*(1+$I214)*IF(Inputs!$D$29=0,1,(MAX(DL213,0)/Inputs!$D$6)^Inputs!$D$29)</f>
        <v>649.12016278076464</v>
      </c>
      <c r="DJ214" s="38">
        <f>Inputs!$D$32*DL213/Inputs!$D$6</f>
        <v>155.52211934869462</v>
      </c>
      <c r="DK214" s="38">
        <f>Inputs!$D$33</f>
        <v>1500</v>
      </c>
      <c r="DL214" s="38">
        <f t="shared" si="192"/>
        <v>30280.944629025606</v>
      </c>
      <c r="DM214" s="38">
        <f t="shared" si="193"/>
        <v>0</v>
      </c>
      <c r="DN214" s="38">
        <f>Inputs!$D$19*(1-Inputs!$C$73*$H214)+Inputs!$D$21+Inputs!$B$73*$J214</f>
        <v>398150</v>
      </c>
      <c r="DO214" s="38">
        <f t="shared" si="194"/>
        <v>-367869.05537097441</v>
      </c>
      <c r="DP214" s="38">
        <f t="shared" si="195"/>
        <v>1</v>
      </c>
    </row>
    <row r="215" spans="1:120" x14ac:dyDescent="0.35">
      <c r="A215" s="29">
        <v>210</v>
      </c>
      <c r="B215" s="34">
        <f>EDATE(Inputs!$B$67,$A215)</f>
        <v>52657</v>
      </c>
      <c r="C215" s="35">
        <f>IF(Inputs!$E$47&lt;=0,Inputs!$E$46,Inputs!$E$44+(Inputs!$E$46-Inputs!$E$44)*MIN($A215/Inputs!$E$47,1))</f>
        <v>0.7</v>
      </c>
      <c r="D215" s="35">
        <f>MIN(Inputs!$E$57,Inputs!$E$55*(1+Inputs!$E$56)^($A215/12))*Inputs!$E$58*(1+Inputs!$E$59)^($A215/12)/Inputs!$E$45</f>
        <v>1.5</v>
      </c>
      <c r="E215" s="35">
        <f>MAX(Inputs!$E$44,MIN(C215,D215))</f>
        <v>0.7</v>
      </c>
      <c r="F215" s="35">
        <f>IF(Inputs!$E$50&lt;=0,Inputs!$E$49,Inputs!$E$48+(Inputs!$E$49-Inputs!$E$48)*MIN($A215/Inputs!$E$50,1))</f>
        <v>0.12</v>
      </c>
      <c r="G215" s="36">
        <f>(Inputs!$E$41*(1-E215*Inputs!$E$51)+Inputs!$E$42*(1-F215*Inputs!$E$51))/(Inputs!$E$41*(1-Inputs!$E$44*Inputs!$E$51)+Inputs!$E$42*(1-Inputs!$E$48*Inputs!$E$51))</f>
        <v>0.8423127463863338</v>
      </c>
      <c r="H215" s="35">
        <f>IF(Inputs!$E$53&lt;=0,Inputs!$E$52,Inputs!$E$52*MIN($A215/Inputs!$E$53,1))</f>
        <v>0.1</v>
      </c>
      <c r="I215" s="35">
        <f>IF(Inputs!$E$64&lt;=0,Inputs!$E$63,Inputs!$E$62+(Inputs!$E$63-Inputs!$E$62)*MIN($A215/Inputs!$E$64,1))</f>
        <v>0.03</v>
      </c>
      <c r="J215" s="37">
        <f>(E215-Inputs!$E$44)*Inputs!$E$45/Inputs!$E$60*Inputs!$E$61</f>
        <v>5999.9999999999991</v>
      </c>
      <c r="K215" s="29">
        <f t="shared" si="147"/>
        <v>0</v>
      </c>
      <c r="L215" s="29"/>
      <c r="M215" s="38">
        <f>MAX(0,MIN(Inputs!$B$36,R214,N215+O215+P215+Inputs!$B$6-Q214))</f>
        <v>0</v>
      </c>
      <c r="N215" s="38">
        <f>Inputs!$B$27*(1+Inputs!$B$28)^($A215/12)*IF(Inputs!$B$70=1,$G215,1)*(1-Inputs!$C$70*$H215*(1-Inputs!$E$54*Inputs!$B$70))*(1+$I215)*IF(Inputs!$B$29=0,1,(MAX(Q214,0)/Inputs!$B$6)^Inputs!$B$29)</f>
        <v>36286.177234350413</v>
      </c>
      <c r="O215" s="38">
        <f>Inputs!$B$32*Q214/Inputs!$B$6</f>
        <v>0</v>
      </c>
      <c r="P215" s="38">
        <f>Inputs!$B$33</f>
        <v>2500</v>
      </c>
      <c r="Q215" s="38">
        <f t="shared" si="148"/>
        <v>0</v>
      </c>
      <c r="R215" s="38">
        <f t="shared" si="149"/>
        <v>0</v>
      </c>
      <c r="S215" s="38">
        <f>Inputs!$B$19*(1-Inputs!$C$70*$H215)+Inputs!$B$21+Inputs!$B$70*$J215</f>
        <v>595000</v>
      </c>
      <c r="T215" s="38">
        <f t="shared" si="150"/>
        <v>-595000</v>
      </c>
      <c r="U215" s="38">
        <f t="shared" si="151"/>
        <v>1</v>
      </c>
      <c r="V215" s="38">
        <f>MAX(0,MIN(Inputs!$C$36,AA214,W215+X215+Y215+Inputs!$C$6-Z214))</f>
        <v>0</v>
      </c>
      <c r="W215" s="38">
        <f>Inputs!$C$27*(1+Inputs!$C$28)^($A215/12)*IF(Inputs!$B$70=1,$G215,1)*(1-Inputs!$C$70*$H215*(1-Inputs!$E$54*Inputs!$B$70))*(1+$I215)*IF(Inputs!$C$29=0,1,(MAX(Z214,0)/Inputs!$C$6)^Inputs!$C$29)</f>
        <v>0</v>
      </c>
      <c r="X215" s="38">
        <f>Inputs!$C$32*Z214/Inputs!$C$6</f>
        <v>0</v>
      </c>
      <c r="Y215" s="38">
        <f>Inputs!$C$33</f>
        <v>2000</v>
      </c>
      <c r="Z215" s="38">
        <f t="shared" si="152"/>
        <v>0</v>
      </c>
      <c r="AA215" s="38">
        <f t="shared" si="153"/>
        <v>0</v>
      </c>
      <c r="AB215" s="38">
        <f>Inputs!$C$19*(1-Inputs!$C$70*$H215)+Inputs!$C$21+Inputs!$B$70*$J215</f>
        <v>495000</v>
      </c>
      <c r="AC215" s="38">
        <f t="shared" si="154"/>
        <v>-495000</v>
      </c>
      <c r="AD215" s="38">
        <f t="shared" si="155"/>
        <v>1</v>
      </c>
      <c r="AE215" s="38">
        <f>MAX(0,MIN(Inputs!$D$36,AJ214,AF215+AG215+AH215+Inputs!$D$6-AI214))</f>
        <v>0</v>
      </c>
      <c r="AF215" s="38">
        <f>Inputs!$D$27*(1+Inputs!$D$28)^($A215/12)*IF(Inputs!$B$70=1,$G215,1)*(1-Inputs!$C$70*$H215*(1-Inputs!$E$54*Inputs!$B$70))*(1+$I215)*IF(Inputs!$D$29=0,1,(MAX(AI214,0)/Inputs!$D$6)^Inputs!$D$29)</f>
        <v>0</v>
      </c>
      <c r="AG215" s="38">
        <f>Inputs!$D$32*AI214/Inputs!$D$6</f>
        <v>0</v>
      </c>
      <c r="AH215" s="38">
        <f>Inputs!$D$33</f>
        <v>1500</v>
      </c>
      <c r="AI215" s="38">
        <f t="shared" si="156"/>
        <v>0</v>
      </c>
      <c r="AJ215" s="38">
        <f t="shared" si="157"/>
        <v>0</v>
      </c>
      <c r="AK215" s="38">
        <f>Inputs!$D$19*(1-Inputs!$C$70*$H215)+Inputs!$D$21+Inputs!$B$70*$J215</f>
        <v>404800</v>
      </c>
      <c r="AL215" s="38">
        <f t="shared" si="158"/>
        <v>-404800</v>
      </c>
      <c r="AM215" s="38">
        <f t="shared" si="159"/>
        <v>1</v>
      </c>
      <c r="AN215" s="38">
        <f>MAX(0,MIN(Inputs!$B$36,AS214,AO215+AP215+AQ215+Inputs!$B$6-AR214))</f>
        <v>0</v>
      </c>
      <c r="AO215" s="38">
        <f>Inputs!$B$27*(1+Inputs!$B$28)^($A215/12)*IF(Inputs!$B$71=1,$G215,1)*(1-Inputs!$C$71*$H215*(1-Inputs!$E$54*Inputs!$B$71))*(1+$I215)*IF(Inputs!$B$29=0,1,(MAX(AR214,0)/Inputs!$B$6)^Inputs!$B$29)</f>
        <v>30564.309602126956</v>
      </c>
      <c r="AP215" s="38">
        <f>Inputs!$B$32*AR214/Inputs!$B$6</f>
        <v>0</v>
      </c>
      <c r="AQ215" s="38">
        <f>Inputs!$B$33</f>
        <v>2500</v>
      </c>
      <c r="AR215" s="38">
        <f t="shared" si="160"/>
        <v>0</v>
      </c>
      <c r="AS215" s="38">
        <f t="shared" si="161"/>
        <v>0</v>
      </c>
      <c r="AT215" s="38">
        <f>Inputs!$B$19*(1-Inputs!$C$71*$H215)+Inputs!$B$21+Inputs!$B$71*$J215</f>
        <v>601000</v>
      </c>
      <c r="AU215" s="38">
        <f t="shared" si="162"/>
        <v>-601000</v>
      </c>
      <c r="AV215" s="38">
        <f t="shared" si="163"/>
        <v>1</v>
      </c>
      <c r="AW215" s="38">
        <f>MAX(0,MIN(Inputs!$C$36,BB214,AX215+AY215+AZ215+Inputs!$C$6-BA214))</f>
        <v>0</v>
      </c>
      <c r="AX215" s="38">
        <f>Inputs!$C$27*(1+Inputs!$C$28)^($A215/12)*IF(Inputs!$B$71=1,$G215,1)*(1-Inputs!$C$71*$H215*(1-Inputs!$E$54*Inputs!$B$71))*(1+$I215)*IF(Inputs!$C$29=0,1,(MAX(BA214,0)/Inputs!$C$6)^Inputs!$C$29)</f>
        <v>0</v>
      </c>
      <c r="AY215" s="38">
        <f>Inputs!$C$32*BA214/Inputs!$C$6</f>
        <v>0</v>
      </c>
      <c r="AZ215" s="38">
        <f>Inputs!$C$33</f>
        <v>2000</v>
      </c>
      <c r="BA215" s="38">
        <f t="shared" si="164"/>
        <v>0</v>
      </c>
      <c r="BB215" s="38">
        <f t="shared" si="165"/>
        <v>0</v>
      </c>
      <c r="BC215" s="38">
        <f>Inputs!$C$19*(1-Inputs!$C$71*$H215)+Inputs!$C$21+Inputs!$B$71*$J215</f>
        <v>501000</v>
      </c>
      <c r="BD215" s="38">
        <f t="shared" si="166"/>
        <v>-501000</v>
      </c>
      <c r="BE215" s="38">
        <f t="shared" si="167"/>
        <v>1</v>
      </c>
      <c r="BF215" s="38">
        <f>MAX(0,MIN(Inputs!$D$36,BK214,BG215+BH215+BI215+Inputs!$D$6-BJ214))</f>
        <v>0</v>
      </c>
      <c r="BG215" s="38">
        <f>Inputs!$D$27*(1+Inputs!$D$28)^($A215/12)*IF(Inputs!$B$71=1,$G215,1)*(1-Inputs!$C$71*$H215*(1-Inputs!$E$54*Inputs!$B$71))*(1+$I215)*IF(Inputs!$D$29=0,1,(MAX(BJ214,0)/Inputs!$D$6)^Inputs!$D$29)</f>
        <v>504.68298354723947</v>
      </c>
      <c r="BH215" s="38">
        <f>Inputs!$D$32*BJ214/Inputs!$D$6</f>
        <v>85.573487943413937</v>
      </c>
      <c r="BI215" s="38">
        <f>Inputs!$D$33</f>
        <v>1500</v>
      </c>
      <c r="BJ215" s="38">
        <f t="shared" si="168"/>
        <v>15839.426716653223</v>
      </c>
      <c r="BK215" s="38">
        <f t="shared" si="169"/>
        <v>0</v>
      </c>
      <c r="BL215" s="38">
        <f>Inputs!$D$19*(1-Inputs!$C$71*$H215)+Inputs!$D$21+Inputs!$B$71*$J215</f>
        <v>410800</v>
      </c>
      <c r="BM215" s="38">
        <f t="shared" si="170"/>
        <v>-394960.57328334678</v>
      </c>
      <c r="BN215" s="38">
        <f t="shared" si="171"/>
        <v>1</v>
      </c>
      <c r="BO215" s="38">
        <f>MAX(0,MIN(Inputs!$B$36,BT214,BP215+BQ215+BR215+Inputs!$B$6-BS214))</f>
        <v>0</v>
      </c>
      <c r="BP215" s="38">
        <f>Inputs!$B$27*(1+Inputs!$B$28)^($A215/12)*IF(Inputs!$B$72=1,$G215,1)*(1-Inputs!$C$72*$H215*(1-Inputs!$E$54*Inputs!$B$72))*(1+$I215)*IF(Inputs!$B$29=0,1,(MAX(BS214,0)/Inputs!$B$6)^Inputs!$B$29)</f>
        <v>32657.559510915373</v>
      </c>
      <c r="BQ215" s="38">
        <f>Inputs!$B$32*BS214/Inputs!$B$6</f>
        <v>0</v>
      </c>
      <c r="BR215" s="38">
        <f>Inputs!$B$33</f>
        <v>2500</v>
      </c>
      <c r="BS215" s="38">
        <f t="shared" si="172"/>
        <v>0</v>
      </c>
      <c r="BT215" s="38">
        <f t="shared" si="173"/>
        <v>0</v>
      </c>
      <c r="BU215" s="38">
        <f>Inputs!$B$19*(1-Inputs!$C$72*$H215)+Inputs!$B$21+Inputs!$B$72*$J215</f>
        <v>577500</v>
      </c>
      <c r="BV215" s="38">
        <f t="shared" si="174"/>
        <v>-577500</v>
      </c>
      <c r="BW215" s="38">
        <f t="shared" si="175"/>
        <v>1</v>
      </c>
      <c r="BX215" s="38">
        <f>MAX(0,MIN(Inputs!$C$36,CC214,BY215+BZ215+CA215+Inputs!$C$6-CB214))</f>
        <v>0</v>
      </c>
      <c r="BY215" s="38">
        <f>Inputs!$C$27*(1+Inputs!$C$28)^($A215/12)*IF(Inputs!$B$72=1,$G215,1)*(1-Inputs!$C$72*$H215*(1-Inputs!$E$54*Inputs!$B$72))*(1+$I215)*IF(Inputs!$C$29=0,1,(MAX(CB214,0)/Inputs!$C$6)^Inputs!$C$29)</f>
        <v>0</v>
      </c>
      <c r="BZ215" s="38">
        <f>Inputs!$C$32*CB214/Inputs!$C$6</f>
        <v>0</v>
      </c>
      <c r="CA215" s="38">
        <f>Inputs!$C$33</f>
        <v>2000</v>
      </c>
      <c r="CB215" s="38">
        <f t="shared" si="176"/>
        <v>0</v>
      </c>
      <c r="CC215" s="38">
        <f t="shared" si="177"/>
        <v>0</v>
      </c>
      <c r="CD215" s="38">
        <f>Inputs!$C$19*(1-Inputs!$C$72*$H215)+Inputs!$C$21+Inputs!$B$72*$J215</f>
        <v>480000</v>
      </c>
      <c r="CE215" s="38">
        <f t="shared" si="178"/>
        <v>-480000</v>
      </c>
      <c r="CF215" s="38">
        <f t="shared" si="179"/>
        <v>1</v>
      </c>
      <c r="CG215" s="38">
        <f>MAX(0,MIN(Inputs!$D$36,CL214,CH215+CI215+CJ215+Inputs!$D$6-CK214))</f>
        <v>0</v>
      </c>
      <c r="CH215" s="38">
        <f>Inputs!$D$27*(1+Inputs!$D$28)^($A215/12)*IF(Inputs!$B$72=1,$G215,1)*(1-Inputs!$C$72*$H215*(1-Inputs!$E$54*Inputs!$B$72))*(1+$I215)*IF(Inputs!$D$29=0,1,(MAX(CK214,0)/Inputs!$D$6)^Inputs!$D$29)</f>
        <v>117.35187311433957</v>
      </c>
      <c r="CI215" s="38">
        <f>Inputs!$D$32*CK214/Inputs!$D$6</f>
        <v>4.0526928386598851</v>
      </c>
      <c r="CJ215" s="38">
        <f>Inputs!$D$33</f>
        <v>1500</v>
      </c>
      <c r="CK215" s="38">
        <f t="shared" si="180"/>
        <v>0</v>
      </c>
      <c r="CL215" s="38">
        <f t="shared" si="181"/>
        <v>0</v>
      </c>
      <c r="CM215" s="38">
        <f>Inputs!$D$19*(1-Inputs!$C$72*$H215)+Inputs!$D$21+Inputs!$B$72*$J215</f>
        <v>392150</v>
      </c>
      <c r="CN215" s="38">
        <f t="shared" si="182"/>
        <v>-392150</v>
      </c>
      <c r="CO215" s="38">
        <f t="shared" si="183"/>
        <v>1</v>
      </c>
      <c r="CP215" s="38">
        <f>MAX(0,MIN(Inputs!$B$36,CU214,CQ215+CR215+CS215+Inputs!$B$6-CT214))</f>
        <v>0</v>
      </c>
      <c r="CQ215" s="38">
        <f>Inputs!$B$27*(1+Inputs!$B$28)^($A215/12)*IF(Inputs!$B$73=1,$G215,1)*(1-Inputs!$C$73*$H215*(1-Inputs!$E$54*Inputs!$B$73))*(1+$I215)*IF(Inputs!$B$29=0,1,(MAX(CT214,0)/Inputs!$B$6)^Inputs!$B$29)</f>
        <v>29036.094122020608</v>
      </c>
      <c r="CR215" s="38">
        <f>Inputs!$B$32*CT214/Inputs!$B$6</f>
        <v>0</v>
      </c>
      <c r="CS215" s="38">
        <f>Inputs!$B$33</f>
        <v>2500</v>
      </c>
      <c r="CT215" s="38">
        <f t="shared" si="184"/>
        <v>0</v>
      </c>
      <c r="CU215" s="38">
        <f t="shared" si="185"/>
        <v>0</v>
      </c>
      <c r="CV215" s="38">
        <f>Inputs!$B$19*(1-Inputs!$C$73*$H215)+Inputs!$B$21+Inputs!$B$73*$J215</f>
        <v>583500</v>
      </c>
      <c r="CW215" s="38">
        <f t="shared" si="186"/>
        <v>-583500</v>
      </c>
      <c r="CX215" s="38">
        <f t="shared" si="187"/>
        <v>1</v>
      </c>
      <c r="CY215" s="38">
        <f>MAX(0,MIN(Inputs!$C$36,DD214,CZ215+DA215+DB215+Inputs!$C$6-DC214))</f>
        <v>0</v>
      </c>
      <c r="CZ215" s="38">
        <f>Inputs!$C$27*(1+Inputs!$C$28)^($A215/12)*IF(Inputs!$B$73=1,$G215,1)*(1-Inputs!$C$73*$H215*(1-Inputs!$E$54*Inputs!$B$73))*(1+$I215)*IF(Inputs!$C$29=0,1,(MAX(DC214,0)/Inputs!$C$6)^Inputs!$C$29)</f>
        <v>0</v>
      </c>
      <c r="DA215" s="38">
        <f>Inputs!$C$32*DC214/Inputs!$C$6</f>
        <v>0</v>
      </c>
      <c r="DB215" s="38">
        <f>Inputs!$C$33</f>
        <v>2000</v>
      </c>
      <c r="DC215" s="38">
        <f t="shared" si="188"/>
        <v>0</v>
      </c>
      <c r="DD215" s="38">
        <f t="shared" si="189"/>
        <v>0</v>
      </c>
      <c r="DE215" s="38">
        <f>Inputs!$C$19*(1-Inputs!$C$73*$H215)+Inputs!$C$21+Inputs!$B$73*$J215</f>
        <v>486000</v>
      </c>
      <c r="DF215" s="38">
        <f t="shared" si="190"/>
        <v>-486000</v>
      </c>
      <c r="DG215" s="38">
        <f t="shared" si="191"/>
        <v>1</v>
      </c>
      <c r="DH215" s="38">
        <f>MAX(0,MIN(Inputs!$D$36,DM214,DI215+DJ215+DK215+Inputs!$D$6-DL214))</f>
        <v>0</v>
      </c>
      <c r="DI215" s="38">
        <f>Inputs!$D$27*(1+Inputs!$D$28)^($A215/12)*IF(Inputs!$B$73=1,$G215,1)*(1-Inputs!$C$73*$H215*(1-Inputs!$E$54*Inputs!$B$73))*(1+$I215)*IF(Inputs!$D$29=0,1,(MAX(DL214,0)/Inputs!$D$6)^Inputs!$D$29)</f>
        <v>623.07549152619549</v>
      </c>
      <c r="DJ215" s="38">
        <f>Inputs!$D$32*DL214/Inputs!$D$6</f>
        <v>144.52269027489493</v>
      </c>
      <c r="DK215" s="38">
        <f>Inputs!$D$33</f>
        <v>1500</v>
      </c>
      <c r="DL215" s="38">
        <f t="shared" si="192"/>
        <v>28013.346447224514</v>
      </c>
      <c r="DM215" s="38">
        <f t="shared" si="193"/>
        <v>0</v>
      </c>
      <c r="DN215" s="38">
        <f>Inputs!$D$19*(1-Inputs!$C$73*$H215)+Inputs!$D$21+Inputs!$B$73*$J215</f>
        <v>398150</v>
      </c>
      <c r="DO215" s="38">
        <f t="shared" si="194"/>
        <v>-370136.6535527755</v>
      </c>
      <c r="DP215" s="38">
        <f t="shared" si="195"/>
        <v>1</v>
      </c>
    </row>
    <row r="216" spans="1:120" x14ac:dyDescent="0.35">
      <c r="A216" s="29">
        <v>211</v>
      </c>
      <c r="B216" s="34">
        <f>EDATE(Inputs!$B$67,$A216)</f>
        <v>52688</v>
      </c>
      <c r="C216" s="35">
        <f>IF(Inputs!$E$47&lt;=0,Inputs!$E$46,Inputs!$E$44+(Inputs!$E$46-Inputs!$E$44)*MIN($A216/Inputs!$E$47,1))</f>
        <v>0.7</v>
      </c>
      <c r="D216" s="35">
        <f>MIN(Inputs!$E$57,Inputs!$E$55*(1+Inputs!$E$56)^($A216/12))*Inputs!$E$58*(1+Inputs!$E$59)^($A216/12)/Inputs!$E$45</f>
        <v>1.5</v>
      </c>
      <c r="E216" s="35">
        <f>MAX(Inputs!$E$44,MIN(C216,D216))</f>
        <v>0.7</v>
      </c>
      <c r="F216" s="35">
        <f>IF(Inputs!$E$50&lt;=0,Inputs!$E$49,Inputs!$E$48+(Inputs!$E$49-Inputs!$E$48)*MIN($A216/Inputs!$E$50,1))</f>
        <v>0.12</v>
      </c>
      <c r="G216" s="36">
        <f>(Inputs!$E$41*(1-E216*Inputs!$E$51)+Inputs!$E$42*(1-F216*Inputs!$E$51))/(Inputs!$E$41*(1-Inputs!$E$44*Inputs!$E$51)+Inputs!$E$42*(1-Inputs!$E$48*Inputs!$E$51))</f>
        <v>0.8423127463863338</v>
      </c>
      <c r="H216" s="35">
        <f>IF(Inputs!$E$53&lt;=0,Inputs!$E$52,Inputs!$E$52*MIN($A216/Inputs!$E$53,1))</f>
        <v>0.1</v>
      </c>
      <c r="I216" s="35">
        <f>IF(Inputs!$E$64&lt;=0,Inputs!$E$63,Inputs!$E$62+(Inputs!$E$63-Inputs!$E$62)*MIN($A216/Inputs!$E$64,1))</f>
        <v>0.03</v>
      </c>
      <c r="J216" s="37">
        <f>(E216-Inputs!$E$44)*Inputs!$E$45/Inputs!$E$60*Inputs!$E$61</f>
        <v>5999.9999999999991</v>
      </c>
      <c r="K216" s="29">
        <f t="shared" si="147"/>
        <v>0</v>
      </c>
      <c r="L216" s="29"/>
      <c r="M216" s="38">
        <f>MAX(0,MIN(Inputs!$B$36,R215,N216+O216+P216+Inputs!$B$6-Q215))</f>
        <v>0</v>
      </c>
      <c r="N216" s="38">
        <f>Inputs!$B$27*(1+Inputs!$B$28)^($A216/12)*IF(Inputs!$B$70=1,$G216,1)*(1-Inputs!$C$70*$H216*(1-Inputs!$E$54*Inputs!$B$70))*(1+$I216)*IF(Inputs!$B$29=0,1,(MAX(Q215,0)/Inputs!$B$6)^Inputs!$B$29)</f>
        <v>36434.011612038565</v>
      </c>
      <c r="O216" s="38">
        <f>Inputs!$B$32*Q215/Inputs!$B$6</f>
        <v>0</v>
      </c>
      <c r="P216" s="38">
        <f>Inputs!$B$33</f>
        <v>2500</v>
      </c>
      <c r="Q216" s="38">
        <f t="shared" si="148"/>
        <v>0</v>
      </c>
      <c r="R216" s="38">
        <f t="shared" si="149"/>
        <v>0</v>
      </c>
      <c r="S216" s="38">
        <f>Inputs!$B$19*(1-Inputs!$C$70*$H216)+Inputs!$B$21+Inputs!$B$70*$J216</f>
        <v>595000</v>
      </c>
      <c r="T216" s="38">
        <f t="shared" si="150"/>
        <v>-595000</v>
      </c>
      <c r="U216" s="38">
        <f t="shared" si="151"/>
        <v>1</v>
      </c>
      <c r="V216" s="38">
        <f>MAX(0,MIN(Inputs!$C$36,AA215,W216+X216+Y216+Inputs!$C$6-Z215))</f>
        <v>0</v>
      </c>
      <c r="W216" s="38">
        <f>Inputs!$C$27*(1+Inputs!$C$28)^($A216/12)*IF(Inputs!$B$70=1,$G216,1)*(1-Inputs!$C$70*$H216*(1-Inputs!$E$54*Inputs!$B$70))*(1+$I216)*IF(Inputs!$C$29=0,1,(MAX(Z215,0)/Inputs!$C$6)^Inputs!$C$29)</f>
        <v>0</v>
      </c>
      <c r="X216" s="38">
        <f>Inputs!$C$32*Z215/Inputs!$C$6</f>
        <v>0</v>
      </c>
      <c r="Y216" s="38">
        <f>Inputs!$C$33</f>
        <v>2000</v>
      </c>
      <c r="Z216" s="38">
        <f t="shared" si="152"/>
        <v>0</v>
      </c>
      <c r="AA216" s="38">
        <f t="shared" si="153"/>
        <v>0</v>
      </c>
      <c r="AB216" s="38">
        <f>Inputs!$C$19*(1-Inputs!$C$70*$H216)+Inputs!$C$21+Inputs!$B$70*$J216</f>
        <v>495000</v>
      </c>
      <c r="AC216" s="38">
        <f t="shared" si="154"/>
        <v>-495000</v>
      </c>
      <c r="AD216" s="38">
        <f t="shared" si="155"/>
        <v>1</v>
      </c>
      <c r="AE216" s="38">
        <f>MAX(0,MIN(Inputs!$D$36,AJ215,AF216+AG216+AH216+Inputs!$D$6-AI215))</f>
        <v>0</v>
      </c>
      <c r="AF216" s="38">
        <f>Inputs!$D$27*(1+Inputs!$D$28)^($A216/12)*IF(Inputs!$B$70=1,$G216,1)*(1-Inputs!$C$70*$H216*(1-Inputs!$E$54*Inputs!$B$70))*(1+$I216)*IF(Inputs!$D$29=0,1,(MAX(AI215,0)/Inputs!$D$6)^Inputs!$D$29)</f>
        <v>0</v>
      </c>
      <c r="AG216" s="38">
        <f>Inputs!$D$32*AI215/Inputs!$D$6</f>
        <v>0</v>
      </c>
      <c r="AH216" s="38">
        <f>Inputs!$D$33</f>
        <v>1500</v>
      </c>
      <c r="AI216" s="38">
        <f t="shared" si="156"/>
        <v>0</v>
      </c>
      <c r="AJ216" s="38">
        <f t="shared" si="157"/>
        <v>0</v>
      </c>
      <c r="AK216" s="38">
        <f>Inputs!$D$19*(1-Inputs!$C$70*$H216)+Inputs!$D$21+Inputs!$B$70*$J216</f>
        <v>404800</v>
      </c>
      <c r="AL216" s="38">
        <f t="shared" si="158"/>
        <v>-404800</v>
      </c>
      <c r="AM216" s="38">
        <f t="shared" si="159"/>
        <v>1</v>
      </c>
      <c r="AN216" s="38">
        <f>MAX(0,MIN(Inputs!$B$36,AS215,AO216+AP216+AQ216+Inputs!$B$6-AR215))</f>
        <v>0</v>
      </c>
      <c r="AO216" s="38">
        <f>Inputs!$B$27*(1+Inputs!$B$28)^($A216/12)*IF(Inputs!$B$71=1,$G216,1)*(1-Inputs!$C$71*$H216*(1-Inputs!$E$54*Inputs!$B$71))*(1+$I216)*IF(Inputs!$B$29=0,1,(MAX(AR215,0)/Inputs!$B$6)^Inputs!$B$29)</f>
        <v>30688.832382807777</v>
      </c>
      <c r="AP216" s="38">
        <f>Inputs!$B$32*AR215/Inputs!$B$6</f>
        <v>0</v>
      </c>
      <c r="AQ216" s="38">
        <f>Inputs!$B$33</f>
        <v>2500</v>
      </c>
      <c r="AR216" s="38">
        <f t="shared" si="160"/>
        <v>0</v>
      </c>
      <c r="AS216" s="38">
        <f t="shared" si="161"/>
        <v>0</v>
      </c>
      <c r="AT216" s="38">
        <f>Inputs!$B$19*(1-Inputs!$C$71*$H216)+Inputs!$B$21+Inputs!$B$71*$J216</f>
        <v>601000</v>
      </c>
      <c r="AU216" s="38">
        <f t="shared" si="162"/>
        <v>-601000</v>
      </c>
      <c r="AV216" s="38">
        <f t="shared" si="163"/>
        <v>1</v>
      </c>
      <c r="AW216" s="38">
        <f>MAX(0,MIN(Inputs!$C$36,BB215,AX216+AY216+AZ216+Inputs!$C$6-BA215))</f>
        <v>0</v>
      </c>
      <c r="AX216" s="38">
        <f>Inputs!$C$27*(1+Inputs!$C$28)^($A216/12)*IF(Inputs!$B$71=1,$G216,1)*(1-Inputs!$C$71*$H216*(1-Inputs!$E$54*Inputs!$B$71))*(1+$I216)*IF(Inputs!$C$29=0,1,(MAX(BA215,0)/Inputs!$C$6)^Inputs!$C$29)</f>
        <v>0</v>
      </c>
      <c r="AY216" s="38">
        <f>Inputs!$C$32*BA215/Inputs!$C$6</f>
        <v>0</v>
      </c>
      <c r="AZ216" s="38">
        <f>Inputs!$C$33</f>
        <v>2000</v>
      </c>
      <c r="BA216" s="38">
        <f t="shared" si="164"/>
        <v>0</v>
      </c>
      <c r="BB216" s="38">
        <f t="shared" si="165"/>
        <v>0</v>
      </c>
      <c r="BC216" s="38">
        <f>Inputs!$C$19*(1-Inputs!$C$71*$H216)+Inputs!$C$21+Inputs!$B$71*$J216</f>
        <v>501000</v>
      </c>
      <c r="BD216" s="38">
        <f t="shared" si="166"/>
        <v>-501000</v>
      </c>
      <c r="BE216" s="38">
        <f t="shared" si="167"/>
        <v>1</v>
      </c>
      <c r="BF216" s="38">
        <f>MAX(0,MIN(Inputs!$D$36,BK215,BG216+BH216+BI216+Inputs!$D$6-BJ215))</f>
        <v>0</v>
      </c>
      <c r="BG216" s="38">
        <f>Inputs!$D$27*(1+Inputs!$D$28)^($A216/12)*IF(Inputs!$B$71=1,$G216,1)*(1-Inputs!$C$71*$H216*(1-Inputs!$E$54*Inputs!$B$71))*(1+$I216)*IF(Inputs!$D$29=0,1,(MAX(BJ215,0)/Inputs!$D$6)^Inputs!$D$29)</f>
        <v>472.33020287771177</v>
      </c>
      <c r="BH216" s="38">
        <f>Inputs!$D$32*BJ215/Inputs!$D$6</f>
        <v>75.597263874935834</v>
      </c>
      <c r="BI216" s="38">
        <f>Inputs!$D$33</f>
        <v>1500</v>
      </c>
      <c r="BJ216" s="38">
        <f t="shared" si="168"/>
        <v>13791.499249900575</v>
      </c>
      <c r="BK216" s="38">
        <f t="shared" si="169"/>
        <v>0</v>
      </c>
      <c r="BL216" s="38">
        <f>Inputs!$D$19*(1-Inputs!$C$71*$H216)+Inputs!$D$21+Inputs!$B$71*$J216</f>
        <v>410800</v>
      </c>
      <c r="BM216" s="38">
        <f t="shared" si="170"/>
        <v>-397008.50075009943</v>
      </c>
      <c r="BN216" s="38">
        <f t="shared" si="171"/>
        <v>1</v>
      </c>
      <c r="BO216" s="38">
        <f>MAX(0,MIN(Inputs!$B$36,BT215,BP216+BQ216+BR216+Inputs!$B$6-BS215))</f>
        <v>0</v>
      </c>
      <c r="BP216" s="38">
        <f>Inputs!$B$27*(1+Inputs!$B$28)^($A216/12)*IF(Inputs!$B$72=1,$G216,1)*(1-Inputs!$C$72*$H216*(1-Inputs!$E$54*Inputs!$B$72))*(1+$I216)*IF(Inputs!$B$29=0,1,(MAX(BS215,0)/Inputs!$B$6)^Inputs!$B$29)</f>
        <v>32790.610450834705</v>
      </c>
      <c r="BQ216" s="38">
        <f>Inputs!$B$32*BS215/Inputs!$B$6</f>
        <v>0</v>
      </c>
      <c r="BR216" s="38">
        <f>Inputs!$B$33</f>
        <v>2500</v>
      </c>
      <c r="BS216" s="38">
        <f t="shared" si="172"/>
        <v>0</v>
      </c>
      <c r="BT216" s="38">
        <f t="shared" si="173"/>
        <v>0</v>
      </c>
      <c r="BU216" s="38">
        <f>Inputs!$B$19*(1-Inputs!$C$72*$H216)+Inputs!$B$21+Inputs!$B$72*$J216</f>
        <v>577500</v>
      </c>
      <c r="BV216" s="38">
        <f t="shared" si="174"/>
        <v>-577500</v>
      </c>
      <c r="BW216" s="38">
        <f t="shared" si="175"/>
        <v>1</v>
      </c>
      <c r="BX216" s="38">
        <f>MAX(0,MIN(Inputs!$C$36,CC215,BY216+BZ216+CA216+Inputs!$C$6-CB215))</f>
        <v>0</v>
      </c>
      <c r="BY216" s="38">
        <f>Inputs!$C$27*(1+Inputs!$C$28)^($A216/12)*IF(Inputs!$B$72=1,$G216,1)*(1-Inputs!$C$72*$H216*(1-Inputs!$E$54*Inputs!$B$72))*(1+$I216)*IF(Inputs!$C$29=0,1,(MAX(CB215,0)/Inputs!$C$6)^Inputs!$C$29)</f>
        <v>0</v>
      </c>
      <c r="BZ216" s="38">
        <f>Inputs!$C$32*CB215/Inputs!$C$6</f>
        <v>0</v>
      </c>
      <c r="CA216" s="38">
        <f>Inputs!$C$33</f>
        <v>2000</v>
      </c>
      <c r="CB216" s="38">
        <f t="shared" si="176"/>
        <v>0</v>
      </c>
      <c r="CC216" s="38">
        <f t="shared" si="177"/>
        <v>0</v>
      </c>
      <c r="CD216" s="38">
        <f>Inputs!$C$19*(1-Inputs!$C$72*$H216)+Inputs!$C$21+Inputs!$B$72*$J216</f>
        <v>480000</v>
      </c>
      <c r="CE216" s="38">
        <f t="shared" si="178"/>
        <v>-480000</v>
      </c>
      <c r="CF216" s="38">
        <f t="shared" si="179"/>
        <v>1</v>
      </c>
      <c r="CG216" s="38">
        <f>MAX(0,MIN(Inputs!$D$36,CL215,CH216+CI216+CJ216+Inputs!$D$6-CK215))</f>
        <v>0</v>
      </c>
      <c r="CH216" s="38">
        <f>Inputs!$D$27*(1+Inputs!$D$28)^($A216/12)*IF(Inputs!$B$72=1,$G216,1)*(1-Inputs!$C$72*$H216*(1-Inputs!$E$54*Inputs!$B$72))*(1+$I216)*IF(Inputs!$D$29=0,1,(MAX(CK215,0)/Inputs!$D$6)^Inputs!$D$29)</f>
        <v>0</v>
      </c>
      <c r="CI216" s="38">
        <f>Inputs!$D$32*CK215/Inputs!$D$6</f>
        <v>0</v>
      </c>
      <c r="CJ216" s="38">
        <f>Inputs!$D$33</f>
        <v>1500</v>
      </c>
      <c r="CK216" s="38">
        <f t="shared" si="180"/>
        <v>0</v>
      </c>
      <c r="CL216" s="38">
        <f t="shared" si="181"/>
        <v>0</v>
      </c>
      <c r="CM216" s="38">
        <f>Inputs!$D$19*(1-Inputs!$C$72*$H216)+Inputs!$D$21+Inputs!$B$72*$J216</f>
        <v>392150</v>
      </c>
      <c r="CN216" s="38">
        <f t="shared" si="182"/>
        <v>-392150</v>
      </c>
      <c r="CO216" s="38">
        <f t="shared" si="183"/>
        <v>1</v>
      </c>
      <c r="CP216" s="38">
        <f>MAX(0,MIN(Inputs!$B$36,CU215,CQ216+CR216+CS216+Inputs!$B$6-CT215))</f>
        <v>0</v>
      </c>
      <c r="CQ216" s="38">
        <f>Inputs!$B$27*(1+Inputs!$B$28)^($A216/12)*IF(Inputs!$B$73=1,$G216,1)*(1-Inputs!$C$73*$H216*(1-Inputs!$E$54*Inputs!$B$73))*(1+$I216)*IF(Inputs!$B$29=0,1,(MAX(CT215,0)/Inputs!$B$6)^Inputs!$B$29)</f>
        <v>29154.390763667387</v>
      </c>
      <c r="CR216" s="38">
        <f>Inputs!$B$32*CT215/Inputs!$B$6</f>
        <v>0</v>
      </c>
      <c r="CS216" s="38">
        <f>Inputs!$B$33</f>
        <v>2500</v>
      </c>
      <c r="CT216" s="38">
        <f t="shared" si="184"/>
        <v>0</v>
      </c>
      <c r="CU216" s="38">
        <f t="shared" si="185"/>
        <v>0</v>
      </c>
      <c r="CV216" s="38">
        <f>Inputs!$B$19*(1-Inputs!$C$73*$H216)+Inputs!$B$21+Inputs!$B$73*$J216</f>
        <v>583500</v>
      </c>
      <c r="CW216" s="38">
        <f t="shared" si="186"/>
        <v>-583500</v>
      </c>
      <c r="CX216" s="38">
        <f t="shared" si="187"/>
        <v>1</v>
      </c>
      <c r="CY216" s="38">
        <f>MAX(0,MIN(Inputs!$C$36,DD215,CZ216+DA216+DB216+Inputs!$C$6-DC215))</f>
        <v>0</v>
      </c>
      <c r="CZ216" s="38">
        <f>Inputs!$C$27*(1+Inputs!$C$28)^($A216/12)*IF(Inputs!$B$73=1,$G216,1)*(1-Inputs!$C$73*$H216*(1-Inputs!$E$54*Inputs!$B$73))*(1+$I216)*IF(Inputs!$C$29=0,1,(MAX(DC215,0)/Inputs!$C$6)^Inputs!$C$29)</f>
        <v>0</v>
      </c>
      <c r="DA216" s="38">
        <f>Inputs!$C$32*DC215/Inputs!$C$6</f>
        <v>0</v>
      </c>
      <c r="DB216" s="38">
        <f>Inputs!$C$33</f>
        <v>2000</v>
      </c>
      <c r="DC216" s="38">
        <f t="shared" si="188"/>
        <v>0</v>
      </c>
      <c r="DD216" s="38">
        <f t="shared" si="189"/>
        <v>0</v>
      </c>
      <c r="DE216" s="38">
        <f>Inputs!$C$19*(1-Inputs!$C$73*$H216)+Inputs!$C$21+Inputs!$B$73*$J216</f>
        <v>486000</v>
      </c>
      <c r="DF216" s="38">
        <f t="shared" si="190"/>
        <v>-486000</v>
      </c>
      <c r="DG216" s="38">
        <f t="shared" si="191"/>
        <v>1</v>
      </c>
      <c r="DH216" s="38">
        <f>MAX(0,MIN(Inputs!$D$36,DM215,DI216+DJ216+DK216+Inputs!$D$6-DL215))</f>
        <v>0</v>
      </c>
      <c r="DI216" s="38">
        <f>Inputs!$D$27*(1+Inputs!$D$28)^($A216/12)*IF(Inputs!$B$73=1,$G216,1)*(1-Inputs!$C$73*$H216*(1-Inputs!$E$54*Inputs!$B$73))*(1+$I216)*IF(Inputs!$D$29=0,1,(MAX(DL215,0)/Inputs!$D$6)^Inputs!$D$29)</f>
        <v>596.73579433987425</v>
      </c>
      <c r="DJ216" s="38">
        <f>Inputs!$D$32*DL215/Inputs!$D$6</f>
        <v>133.70006258902609</v>
      </c>
      <c r="DK216" s="38">
        <f>Inputs!$D$33</f>
        <v>1500</v>
      </c>
      <c r="DL216" s="38">
        <f t="shared" si="192"/>
        <v>25782.910590295614</v>
      </c>
      <c r="DM216" s="38">
        <f t="shared" si="193"/>
        <v>0</v>
      </c>
      <c r="DN216" s="38">
        <f>Inputs!$D$19*(1-Inputs!$C$73*$H216)+Inputs!$D$21+Inputs!$B$73*$J216</f>
        <v>398150</v>
      </c>
      <c r="DO216" s="38">
        <f t="shared" si="194"/>
        <v>-372367.08940970438</v>
      </c>
      <c r="DP216" s="38">
        <f t="shared" si="195"/>
        <v>1</v>
      </c>
    </row>
    <row r="217" spans="1:120" x14ac:dyDescent="0.35">
      <c r="A217" s="29">
        <v>212</v>
      </c>
      <c r="B217" s="34">
        <f>EDATE(Inputs!$B$67,$A217)</f>
        <v>52718</v>
      </c>
      <c r="C217" s="35">
        <f>IF(Inputs!$E$47&lt;=0,Inputs!$E$46,Inputs!$E$44+(Inputs!$E$46-Inputs!$E$44)*MIN($A217/Inputs!$E$47,1))</f>
        <v>0.7</v>
      </c>
      <c r="D217" s="35">
        <f>MIN(Inputs!$E$57,Inputs!$E$55*(1+Inputs!$E$56)^($A217/12))*Inputs!$E$58*(1+Inputs!$E$59)^($A217/12)/Inputs!$E$45</f>
        <v>1.5</v>
      </c>
      <c r="E217" s="35">
        <f>MAX(Inputs!$E$44,MIN(C217,D217))</f>
        <v>0.7</v>
      </c>
      <c r="F217" s="35">
        <f>IF(Inputs!$E$50&lt;=0,Inputs!$E$49,Inputs!$E$48+(Inputs!$E$49-Inputs!$E$48)*MIN($A217/Inputs!$E$50,1))</f>
        <v>0.12</v>
      </c>
      <c r="G217" s="36">
        <f>(Inputs!$E$41*(1-E217*Inputs!$E$51)+Inputs!$E$42*(1-F217*Inputs!$E$51))/(Inputs!$E$41*(1-Inputs!$E$44*Inputs!$E$51)+Inputs!$E$42*(1-Inputs!$E$48*Inputs!$E$51))</f>
        <v>0.8423127463863338</v>
      </c>
      <c r="H217" s="35">
        <f>IF(Inputs!$E$53&lt;=0,Inputs!$E$52,Inputs!$E$52*MIN($A217/Inputs!$E$53,1))</f>
        <v>0.1</v>
      </c>
      <c r="I217" s="35">
        <f>IF(Inputs!$E$64&lt;=0,Inputs!$E$63,Inputs!$E$62+(Inputs!$E$63-Inputs!$E$62)*MIN($A217/Inputs!$E$64,1))</f>
        <v>0.03</v>
      </c>
      <c r="J217" s="37">
        <f>(E217-Inputs!$E$44)*Inputs!$E$45/Inputs!$E$60*Inputs!$E$61</f>
        <v>5999.9999999999991</v>
      </c>
      <c r="K217" s="29">
        <f t="shared" si="147"/>
        <v>0</v>
      </c>
      <c r="L217" s="29"/>
      <c r="M217" s="38">
        <f>MAX(0,MIN(Inputs!$B$36,R216,N217+O217+P217+Inputs!$B$6-Q216))</f>
        <v>0</v>
      </c>
      <c r="N217" s="38">
        <f>Inputs!$B$27*(1+Inputs!$B$28)^($A217/12)*IF(Inputs!$B$70=1,$G217,1)*(1-Inputs!$C$70*$H217*(1-Inputs!$E$54*Inputs!$B$70))*(1+$I217)*IF(Inputs!$B$29=0,1,(MAX(Q216,0)/Inputs!$B$6)^Inputs!$B$29)</f>
        <v>36582.448285280894</v>
      </c>
      <c r="O217" s="38">
        <f>Inputs!$B$32*Q216/Inputs!$B$6</f>
        <v>0</v>
      </c>
      <c r="P217" s="38">
        <f>Inputs!$B$33</f>
        <v>2500</v>
      </c>
      <c r="Q217" s="38">
        <f t="shared" si="148"/>
        <v>0</v>
      </c>
      <c r="R217" s="38">
        <f t="shared" si="149"/>
        <v>0</v>
      </c>
      <c r="S217" s="38">
        <f>Inputs!$B$19*(1-Inputs!$C$70*$H217)+Inputs!$B$21+Inputs!$B$70*$J217</f>
        <v>595000</v>
      </c>
      <c r="T217" s="38">
        <f t="shared" si="150"/>
        <v>-595000</v>
      </c>
      <c r="U217" s="38">
        <f t="shared" si="151"/>
        <v>1</v>
      </c>
      <c r="V217" s="38">
        <f>MAX(0,MIN(Inputs!$C$36,AA216,W217+X217+Y217+Inputs!$C$6-Z216))</f>
        <v>0</v>
      </c>
      <c r="W217" s="38">
        <f>Inputs!$C$27*(1+Inputs!$C$28)^($A217/12)*IF(Inputs!$B$70=1,$G217,1)*(1-Inputs!$C$70*$H217*(1-Inputs!$E$54*Inputs!$B$70))*(1+$I217)*IF(Inputs!$C$29=0,1,(MAX(Z216,0)/Inputs!$C$6)^Inputs!$C$29)</f>
        <v>0</v>
      </c>
      <c r="X217" s="38">
        <f>Inputs!$C$32*Z216/Inputs!$C$6</f>
        <v>0</v>
      </c>
      <c r="Y217" s="38">
        <f>Inputs!$C$33</f>
        <v>2000</v>
      </c>
      <c r="Z217" s="38">
        <f t="shared" si="152"/>
        <v>0</v>
      </c>
      <c r="AA217" s="38">
        <f t="shared" si="153"/>
        <v>0</v>
      </c>
      <c r="AB217" s="38">
        <f>Inputs!$C$19*(1-Inputs!$C$70*$H217)+Inputs!$C$21+Inputs!$B$70*$J217</f>
        <v>495000</v>
      </c>
      <c r="AC217" s="38">
        <f t="shared" si="154"/>
        <v>-495000</v>
      </c>
      <c r="AD217" s="38">
        <f t="shared" si="155"/>
        <v>1</v>
      </c>
      <c r="AE217" s="38">
        <f>MAX(0,MIN(Inputs!$D$36,AJ216,AF217+AG217+AH217+Inputs!$D$6-AI216))</f>
        <v>0</v>
      </c>
      <c r="AF217" s="38">
        <f>Inputs!$D$27*(1+Inputs!$D$28)^($A217/12)*IF(Inputs!$B$70=1,$G217,1)*(1-Inputs!$C$70*$H217*(1-Inputs!$E$54*Inputs!$B$70))*(1+$I217)*IF(Inputs!$D$29=0,1,(MAX(AI216,0)/Inputs!$D$6)^Inputs!$D$29)</f>
        <v>0</v>
      </c>
      <c r="AG217" s="38">
        <f>Inputs!$D$32*AI216/Inputs!$D$6</f>
        <v>0</v>
      </c>
      <c r="AH217" s="38">
        <f>Inputs!$D$33</f>
        <v>1500</v>
      </c>
      <c r="AI217" s="38">
        <f t="shared" si="156"/>
        <v>0</v>
      </c>
      <c r="AJ217" s="38">
        <f t="shared" si="157"/>
        <v>0</v>
      </c>
      <c r="AK217" s="38">
        <f>Inputs!$D$19*(1-Inputs!$C$70*$H217)+Inputs!$D$21+Inputs!$B$70*$J217</f>
        <v>404800</v>
      </c>
      <c r="AL217" s="38">
        <f t="shared" si="158"/>
        <v>-404800</v>
      </c>
      <c r="AM217" s="38">
        <f t="shared" si="159"/>
        <v>1</v>
      </c>
      <c r="AN217" s="38">
        <f>MAX(0,MIN(Inputs!$B$36,AS216,AO217+AP217+AQ217+Inputs!$B$6-AR216))</f>
        <v>0</v>
      </c>
      <c r="AO217" s="38">
        <f>Inputs!$B$27*(1+Inputs!$B$28)^($A217/12)*IF(Inputs!$B$71=1,$G217,1)*(1-Inputs!$C$71*$H217*(1-Inputs!$E$54*Inputs!$B$71))*(1+$I217)*IF(Inputs!$B$29=0,1,(MAX(AR216,0)/Inputs!$B$6)^Inputs!$B$29)</f>
        <v>30813.862484710975</v>
      </c>
      <c r="AP217" s="38">
        <f>Inputs!$B$32*AR216/Inputs!$B$6</f>
        <v>0</v>
      </c>
      <c r="AQ217" s="38">
        <f>Inputs!$B$33</f>
        <v>2500</v>
      </c>
      <c r="AR217" s="38">
        <f t="shared" si="160"/>
        <v>0</v>
      </c>
      <c r="AS217" s="38">
        <f t="shared" si="161"/>
        <v>0</v>
      </c>
      <c r="AT217" s="38">
        <f>Inputs!$B$19*(1-Inputs!$C$71*$H217)+Inputs!$B$21+Inputs!$B$71*$J217</f>
        <v>601000</v>
      </c>
      <c r="AU217" s="38">
        <f t="shared" si="162"/>
        <v>-601000</v>
      </c>
      <c r="AV217" s="38">
        <f t="shared" si="163"/>
        <v>1</v>
      </c>
      <c r="AW217" s="38">
        <f>MAX(0,MIN(Inputs!$C$36,BB216,AX217+AY217+AZ217+Inputs!$C$6-BA216))</f>
        <v>0</v>
      </c>
      <c r="AX217" s="38">
        <f>Inputs!$C$27*(1+Inputs!$C$28)^($A217/12)*IF(Inputs!$B$71=1,$G217,1)*(1-Inputs!$C$71*$H217*(1-Inputs!$E$54*Inputs!$B$71))*(1+$I217)*IF(Inputs!$C$29=0,1,(MAX(BA216,0)/Inputs!$C$6)^Inputs!$C$29)</f>
        <v>0</v>
      </c>
      <c r="AY217" s="38">
        <f>Inputs!$C$32*BA216/Inputs!$C$6</f>
        <v>0</v>
      </c>
      <c r="AZ217" s="38">
        <f>Inputs!$C$33</f>
        <v>2000</v>
      </c>
      <c r="BA217" s="38">
        <f t="shared" si="164"/>
        <v>0</v>
      </c>
      <c r="BB217" s="38">
        <f t="shared" si="165"/>
        <v>0</v>
      </c>
      <c r="BC217" s="38">
        <f>Inputs!$C$19*(1-Inputs!$C$71*$H217)+Inputs!$C$21+Inputs!$B$71*$J217</f>
        <v>501000</v>
      </c>
      <c r="BD217" s="38">
        <f t="shared" si="166"/>
        <v>-501000</v>
      </c>
      <c r="BE217" s="38">
        <f t="shared" si="167"/>
        <v>1</v>
      </c>
      <c r="BF217" s="38">
        <f>MAX(0,MIN(Inputs!$D$36,BK216,BG217+BH217+BI217+Inputs!$D$6-BJ216))</f>
        <v>0</v>
      </c>
      <c r="BG217" s="38">
        <f>Inputs!$D$27*(1+Inputs!$D$28)^($A217/12)*IF(Inputs!$B$71=1,$G217,1)*(1-Inputs!$C$71*$H217*(1-Inputs!$E$54*Inputs!$B$71))*(1+$I217)*IF(Inputs!$D$29=0,1,(MAX(BJ216,0)/Inputs!$D$6)^Inputs!$D$29)</f>
        <v>438.85935607897341</v>
      </c>
      <c r="BH217" s="38">
        <f>Inputs!$D$32*BJ216/Inputs!$D$6</f>
        <v>65.823064601798194</v>
      </c>
      <c r="BI217" s="38">
        <f>Inputs!$D$33</f>
        <v>1500</v>
      </c>
      <c r="BJ217" s="38">
        <f t="shared" si="168"/>
        <v>11786.816829219802</v>
      </c>
      <c r="BK217" s="38">
        <f t="shared" si="169"/>
        <v>0</v>
      </c>
      <c r="BL217" s="38">
        <f>Inputs!$D$19*(1-Inputs!$C$71*$H217)+Inputs!$D$21+Inputs!$B$71*$J217</f>
        <v>410800</v>
      </c>
      <c r="BM217" s="38">
        <f t="shared" si="170"/>
        <v>-399013.18317078019</v>
      </c>
      <c r="BN217" s="38">
        <f t="shared" si="171"/>
        <v>1</v>
      </c>
      <c r="BO217" s="38">
        <f>MAX(0,MIN(Inputs!$B$36,BT216,BP217+BQ217+BR217+Inputs!$B$6-BS216))</f>
        <v>0</v>
      </c>
      <c r="BP217" s="38">
        <f>Inputs!$B$27*(1+Inputs!$B$28)^($A217/12)*IF(Inputs!$B$72=1,$G217,1)*(1-Inputs!$C$72*$H217*(1-Inputs!$E$54*Inputs!$B$72))*(1+$I217)*IF(Inputs!$B$29=0,1,(MAX(BS216,0)/Inputs!$B$6)^Inputs!$B$29)</f>
        <v>32924.203456752803</v>
      </c>
      <c r="BQ217" s="38">
        <f>Inputs!$B$32*BS216/Inputs!$B$6</f>
        <v>0</v>
      </c>
      <c r="BR217" s="38">
        <f>Inputs!$B$33</f>
        <v>2500</v>
      </c>
      <c r="BS217" s="38">
        <f t="shared" si="172"/>
        <v>0</v>
      </c>
      <c r="BT217" s="38">
        <f t="shared" si="173"/>
        <v>0</v>
      </c>
      <c r="BU217" s="38">
        <f>Inputs!$B$19*(1-Inputs!$C$72*$H217)+Inputs!$B$21+Inputs!$B$72*$J217</f>
        <v>577500</v>
      </c>
      <c r="BV217" s="38">
        <f t="shared" si="174"/>
        <v>-577500</v>
      </c>
      <c r="BW217" s="38">
        <f t="shared" si="175"/>
        <v>1</v>
      </c>
      <c r="BX217" s="38">
        <f>MAX(0,MIN(Inputs!$C$36,CC216,BY217+BZ217+CA217+Inputs!$C$6-CB216))</f>
        <v>0</v>
      </c>
      <c r="BY217" s="38">
        <f>Inputs!$C$27*(1+Inputs!$C$28)^($A217/12)*IF(Inputs!$B$72=1,$G217,1)*(1-Inputs!$C$72*$H217*(1-Inputs!$E$54*Inputs!$B$72))*(1+$I217)*IF(Inputs!$C$29=0,1,(MAX(CB216,0)/Inputs!$C$6)^Inputs!$C$29)</f>
        <v>0</v>
      </c>
      <c r="BZ217" s="38">
        <f>Inputs!$C$32*CB216/Inputs!$C$6</f>
        <v>0</v>
      </c>
      <c r="CA217" s="38">
        <f>Inputs!$C$33</f>
        <v>2000</v>
      </c>
      <c r="CB217" s="38">
        <f t="shared" si="176"/>
        <v>0</v>
      </c>
      <c r="CC217" s="38">
        <f t="shared" si="177"/>
        <v>0</v>
      </c>
      <c r="CD217" s="38">
        <f>Inputs!$C$19*(1-Inputs!$C$72*$H217)+Inputs!$C$21+Inputs!$B$72*$J217</f>
        <v>480000</v>
      </c>
      <c r="CE217" s="38">
        <f t="shared" si="178"/>
        <v>-480000</v>
      </c>
      <c r="CF217" s="38">
        <f t="shared" si="179"/>
        <v>1</v>
      </c>
      <c r="CG217" s="38">
        <f>MAX(0,MIN(Inputs!$D$36,CL216,CH217+CI217+CJ217+Inputs!$D$6-CK216))</f>
        <v>0</v>
      </c>
      <c r="CH217" s="38">
        <f>Inputs!$D$27*(1+Inputs!$D$28)^($A217/12)*IF(Inputs!$B$72=1,$G217,1)*(1-Inputs!$C$72*$H217*(1-Inputs!$E$54*Inputs!$B$72))*(1+$I217)*IF(Inputs!$D$29=0,1,(MAX(CK216,0)/Inputs!$D$6)^Inputs!$D$29)</f>
        <v>0</v>
      </c>
      <c r="CI217" s="38">
        <f>Inputs!$D$32*CK216/Inputs!$D$6</f>
        <v>0</v>
      </c>
      <c r="CJ217" s="38">
        <f>Inputs!$D$33</f>
        <v>1500</v>
      </c>
      <c r="CK217" s="38">
        <f t="shared" si="180"/>
        <v>0</v>
      </c>
      <c r="CL217" s="38">
        <f t="shared" si="181"/>
        <v>0</v>
      </c>
      <c r="CM217" s="38">
        <f>Inputs!$D$19*(1-Inputs!$C$72*$H217)+Inputs!$D$21+Inputs!$B$72*$J217</f>
        <v>392150</v>
      </c>
      <c r="CN217" s="38">
        <f t="shared" si="182"/>
        <v>-392150</v>
      </c>
      <c r="CO217" s="38">
        <f t="shared" si="183"/>
        <v>1</v>
      </c>
      <c r="CP217" s="38">
        <f>MAX(0,MIN(Inputs!$B$36,CU216,CQ217+CR217+CS217+Inputs!$B$6-CT216))</f>
        <v>0</v>
      </c>
      <c r="CQ217" s="38">
        <f>Inputs!$B$27*(1+Inputs!$B$28)^($A217/12)*IF(Inputs!$B$73=1,$G217,1)*(1-Inputs!$C$73*$H217*(1-Inputs!$E$54*Inputs!$B$73))*(1+$I217)*IF(Inputs!$B$29=0,1,(MAX(CT216,0)/Inputs!$B$6)^Inputs!$B$29)</f>
        <v>29273.169360475425</v>
      </c>
      <c r="CR217" s="38">
        <f>Inputs!$B$32*CT216/Inputs!$B$6</f>
        <v>0</v>
      </c>
      <c r="CS217" s="38">
        <f>Inputs!$B$33</f>
        <v>2500</v>
      </c>
      <c r="CT217" s="38">
        <f t="shared" si="184"/>
        <v>0</v>
      </c>
      <c r="CU217" s="38">
        <f t="shared" si="185"/>
        <v>0</v>
      </c>
      <c r="CV217" s="38">
        <f>Inputs!$B$19*(1-Inputs!$C$73*$H217)+Inputs!$B$21+Inputs!$B$73*$J217</f>
        <v>583500</v>
      </c>
      <c r="CW217" s="38">
        <f t="shared" si="186"/>
        <v>-583500</v>
      </c>
      <c r="CX217" s="38">
        <f t="shared" si="187"/>
        <v>1</v>
      </c>
      <c r="CY217" s="38">
        <f>MAX(0,MIN(Inputs!$C$36,DD216,CZ217+DA217+DB217+Inputs!$C$6-DC216))</f>
        <v>0</v>
      </c>
      <c r="CZ217" s="38">
        <f>Inputs!$C$27*(1+Inputs!$C$28)^($A217/12)*IF(Inputs!$B$73=1,$G217,1)*(1-Inputs!$C$73*$H217*(1-Inputs!$E$54*Inputs!$B$73))*(1+$I217)*IF(Inputs!$C$29=0,1,(MAX(DC216,0)/Inputs!$C$6)^Inputs!$C$29)</f>
        <v>0</v>
      </c>
      <c r="DA217" s="38">
        <f>Inputs!$C$32*DC216/Inputs!$C$6</f>
        <v>0</v>
      </c>
      <c r="DB217" s="38">
        <f>Inputs!$C$33</f>
        <v>2000</v>
      </c>
      <c r="DC217" s="38">
        <f t="shared" si="188"/>
        <v>0</v>
      </c>
      <c r="DD217" s="38">
        <f t="shared" si="189"/>
        <v>0</v>
      </c>
      <c r="DE217" s="38">
        <f>Inputs!$C$19*(1-Inputs!$C$73*$H217)+Inputs!$C$21+Inputs!$B$73*$J217</f>
        <v>486000</v>
      </c>
      <c r="DF217" s="38">
        <f t="shared" si="190"/>
        <v>-486000</v>
      </c>
      <c r="DG217" s="38">
        <f t="shared" si="191"/>
        <v>1</v>
      </c>
      <c r="DH217" s="38">
        <f>MAX(0,MIN(Inputs!$D$36,DM216,DI217+DJ217+DK217+Inputs!$D$6-DL216))</f>
        <v>0</v>
      </c>
      <c r="DI217" s="38">
        <f>Inputs!$D$27*(1+Inputs!$D$28)^($A217/12)*IF(Inputs!$B$73=1,$G217,1)*(1-Inputs!$C$73*$H217*(1-Inputs!$E$54*Inputs!$B$73))*(1+$I217)*IF(Inputs!$D$29=0,1,(MAX(DL216,0)/Inputs!$D$6)^Inputs!$D$29)</f>
        <v>570.04507525165843</v>
      </c>
      <c r="DJ217" s="38">
        <f>Inputs!$D$32*DL216/Inputs!$D$6</f>
        <v>123.05480054459271</v>
      </c>
      <c r="DK217" s="38">
        <f>Inputs!$D$33</f>
        <v>1500</v>
      </c>
      <c r="DL217" s="38">
        <f t="shared" si="192"/>
        <v>23589.810714499363</v>
      </c>
      <c r="DM217" s="38">
        <f t="shared" si="193"/>
        <v>0</v>
      </c>
      <c r="DN217" s="38">
        <f>Inputs!$D$19*(1-Inputs!$C$73*$H217)+Inputs!$D$21+Inputs!$B$73*$J217</f>
        <v>398150</v>
      </c>
      <c r="DO217" s="38">
        <f t="shared" si="194"/>
        <v>-374560.18928550062</v>
      </c>
      <c r="DP217" s="38">
        <f t="shared" si="195"/>
        <v>1</v>
      </c>
    </row>
    <row r="218" spans="1:120" x14ac:dyDescent="0.35">
      <c r="A218" s="29">
        <v>213</v>
      </c>
      <c r="B218" s="34">
        <f>EDATE(Inputs!$B$67,$A218)</f>
        <v>52749</v>
      </c>
      <c r="C218" s="35">
        <f>IF(Inputs!$E$47&lt;=0,Inputs!$E$46,Inputs!$E$44+(Inputs!$E$46-Inputs!$E$44)*MIN($A218/Inputs!$E$47,1))</f>
        <v>0.7</v>
      </c>
      <c r="D218" s="35">
        <f>MIN(Inputs!$E$57,Inputs!$E$55*(1+Inputs!$E$56)^($A218/12))*Inputs!$E$58*(1+Inputs!$E$59)^($A218/12)/Inputs!$E$45</f>
        <v>1.5</v>
      </c>
      <c r="E218" s="35">
        <f>MAX(Inputs!$E$44,MIN(C218,D218))</f>
        <v>0.7</v>
      </c>
      <c r="F218" s="35">
        <f>IF(Inputs!$E$50&lt;=0,Inputs!$E$49,Inputs!$E$48+(Inputs!$E$49-Inputs!$E$48)*MIN($A218/Inputs!$E$50,1))</f>
        <v>0.12</v>
      </c>
      <c r="G218" s="36">
        <f>(Inputs!$E$41*(1-E218*Inputs!$E$51)+Inputs!$E$42*(1-F218*Inputs!$E$51))/(Inputs!$E$41*(1-Inputs!$E$44*Inputs!$E$51)+Inputs!$E$42*(1-Inputs!$E$48*Inputs!$E$51))</f>
        <v>0.8423127463863338</v>
      </c>
      <c r="H218" s="35">
        <f>IF(Inputs!$E$53&lt;=0,Inputs!$E$52,Inputs!$E$52*MIN($A218/Inputs!$E$53,1))</f>
        <v>0.1</v>
      </c>
      <c r="I218" s="35">
        <f>IF(Inputs!$E$64&lt;=0,Inputs!$E$63,Inputs!$E$62+(Inputs!$E$63-Inputs!$E$62)*MIN($A218/Inputs!$E$64,1))</f>
        <v>0.03</v>
      </c>
      <c r="J218" s="37">
        <f>(E218-Inputs!$E$44)*Inputs!$E$45/Inputs!$E$60*Inputs!$E$61</f>
        <v>5999.9999999999991</v>
      </c>
      <c r="K218" s="29">
        <f t="shared" si="147"/>
        <v>0</v>
      </c>
      <c r="L218" s="29"/>
      <c r="M218" s="38">
        <f>MAX(0,MIN(Inputs!$B$36,R217,N218+O218+P218+Inputs!$B$6-Q217))</f>
        <v>0</v>
      </c>
      <c r="N218" s="38">
        <f>Inputs!$B$27*(1+Inputs!$B$28)^($A218/12)*IF(Inputs!$B$70=1,$G218,1)*(1-Inputs!$C$70*$H218*(1-Inputs!$E$54*Inputs!$B$70))*(1+$I218)*IF(Inputs!$B$29=0,1,(MAX(Q217,0)/Inputs!$B$6)^Inputs!$B$29)</f>
        <v>36731.489707904031</v>
      </c>
      <c r="O218" s="38">
        <f>Inputs!$B$32*Q217/Inputs!$B$6</f>
        <v>0</v>
      </c>
      <c r="P218" s="38">
        <f>Inputs!$B$33</f>
        <v>2500</v>
      </c>
      <c r="Q218" s="38">
        <f t="shared" si="148"/>
        <v>0</v>
      </c>
      <c r="R218" s="38">
        <f t="shared" si="149"/>
        <v>0</v>
      </c>
      <c r="S218" s="38">
        <f>Inputs!$B$19*(1-Inputs!$C$70*$H218)+Inputs!$B$21+Inputs!$B$70*$J218</f>
        <v>595000</v>
      </c>
      <c r="T218" s="38">
        <f t="shared" si="150"/>
        <v>-595000</v>
      </c>
      <c r="U218" s="38">
        <f t="shared" si="151"/>
        <v>1</v>
      </c>
      <c r="V218" s="38">
        <f>MAX(0,MIN(Inputs!$C$36,AA217,W218+X218+Y218+Inputs!$C$6-Z217))</f>
        <v>0</v>
      </c>
      <c r="W218" s="38">
        <f>Inputs!$C$27*(1+Inputs!$C$28)^($A218/12)*IF(Inputs!$B$70=1,$G218,1)*(1-Inputs!$C$70*$H218*(1-Inputs!$E$54*Inputs!$B$70))*(1+$I218)*IF(Inputs!$C$29=0,1,(MAX(Z217,0)/Inputs!$C$6)^Inputs!$C$29)</f>
        <v>0</v>
      </c>
      <c r="X218" s="38">
        <f>Inputs!$C$32*Z217/Inputs!$C$6</f>
        <v>0</v>
      </c>
      <c r="Y218" s="38">
        <f>Inputs!$C$33</f>
        <v>2000</v>
      </c>
      <c r="Z218" s="38">
        <f t="shared" si="152"/>
        <v>0</v>
      </c>
      <c r="AA218" s="38">
        <f t="shared" si="153"/>
        <v>0</v>
      </c>
      <c r="AB218" s="38">
        <f>Inputs!$C$19*(1-Inputs!$C$70*$H218)+Inputs!$C$21+Inputs!$B$70*$J218</f>
        <v>495000</v>
      </c>
      <c r="AC218" s="38">
        <f t="shared" si="154"/>
        <v>-495000</v>
      </c>
      <c r="AD218" s="38">
        <f t="shared" si="155"/>
        <v>1</v>
      </c>
      <c r="AE218" s="38">
        <f>MAX(0,MIN(Inputs!$D$36,AJ217,AF218+AG218+AH218+Inputs!$D$6-AI217))</f>
        <v>0</v>
      </c>
      <c r="AF218" s="38">
        <f>Inputs!$D$27*(1+Inputs!$D$28)^($A218/12)*IF(Inputs!$B$70=1,$G218,1)*(1-Inputs!$C$70*$H218*(1-Inputs!$E$54*Inputs!$B$70))*(1+$I218)*IF(Inputs!$D$29=0,1,(MAX(AI217,0)/Inputs!$D$6)^Inputs!$D$29)</f>
        <v>0</v>
      </c>
      <c r="AG218" s="38">
        <f>Inputs!$D$32*AI217/Inputs!$D$6</f>
        <v>0</v>
      </c>
      <c r="AH218" s="38">
        <f>Inputs!$D$33</f>
        <v>1500</v>
      </c>
      <c r="AI218" s="38">
        <f t="shared" si="156"/>
        <v>0</v>
      </c>
      <c r="AJ218" s="38">
        <f t="shared" si="157"/>
        <v>0</v>
      </c>
      <c r="AK218" s="38">
        <f>Inputs!$D$19*(1-Inputs!$C$70*$H218)+Inputs!$D$21+Inputs!$B$70*$J218</f>
        <v>404800</v>
      </c>
      <c r="AL218" s="38">
        <f t="shared" si="158"/>
        <v>-404800</v>
      </c>
      <c r="AM218" s="38">
        <f t="shared" si="159"/>
        <v>1</v>
      </c>
      <c r="AN218" s="38">
        <f>MAX(0,MIN(Inputs!$B$36,AS217,AO218+AP218+AQ218+Inputs!$B$6-AR217))</f>
        <v>0</v>
      </c>
      <c r="AO218" s="38">
        <f>Inputs!$B$27*(1+Inputs!$B$28)^($A218/12)*IF(Inputs!$B$71=1,$G218,1)*(1-Inputs!$C$71*$H218*(1-Inputs!$E$54*Inputs!$B$71))*(1+$I218)*IF(Inputs!$B$29=0,1,(MAX(AR217,0)/Inputs!$B$6)^Inputs!$B$29)</f>
        <v>30939.401974725999</v>
      </c>
      <c r="AP218" s="38">
        <f>Inputs!$B$32*AR217/Inputs!$B$6</f>
        <v>0</v>
      </c>
      <c r="AQ218" s="38">
        <f>Inputs!$B$33</f>
        <v>2500</v>
      </c>
      <c r="AR218" s="38">
        <f t="shared" si="160"/>
        <v>0</v>
      </c>
      <c r="AS218" s="38">
        <f t="shared" si="161"/>
        <v>0</v>
      </c>
      <c r="AT218" s="38">
        <f>Inputs!$B$19*(1-Inputs!$C$71*$H218)+Inputs!$B$21+Inputs!$B$71*$J218</f>
        <v>601000</v>
      </c>
      <c r="AU218" s="38">
        <f t="shared" si="162"/>
        <v>-601000</v>
      </c>
      <c r="AV218" s="38">
        <f t="shared" si="163"/>
        <v>1</v>
      </c>
      <c r="AW218" s="38">
        <f>MAX(0,MIN(Inputs!$C$36,BB217,AX218+AY218+AZ218+Inputs!$C$6-BA217))</f>
        <v>0</v>
      </c>
      <c r="AX218" s="38">
        <f>Inputs!$C$27*(1+Inputs!$C$28)^($A218/12)*IF(Inputs!$B$71=1,$G218,1)*(1-Inputs!$C$71*$H218*(1-Inputs!$E$54*Inputs!$B$71))*(1+$I218)*IF(Inputs!$C$29=0,1,(MAX(BA217,0)/Inputs!$C$6)^Inputs!$C$29)</f>
        <v>0</v>
      </c>
      <c r="AY218" s="38">
        <f>Inputs!$C$32*BA217/Inputs!$C$6</f>
        <v>0</v>
      </c>
      <c r="AZ218" s="38">
        <f>Inputs!$C$33</f>
        <v>2000</v>
      </c>
      <c r="BA218" s="38">
        <f t="shared" si="164"/>
        <v>0</v>
      </c>
      <c r="BB218" s="38">
        <f t="shared" si="165"/>
        <v>0</v>
      </c>
      <c r="BC218" s="38">
        <f>Inputs!$C$19*(1-Inputs!$C$71*$H218)+Inputs!$C$21+Inputs!$B$71*$J218</f>
        <v>501000</v>
      </c>
      <c r="BD218" s="38">
        <f t="shared" si="166"/>
        <v>-501000</v>
      </c>
      <c r="BE218" s="38">
        <f t="shared" si="167"/>
        <v>1</v>
      </c>
      <c r="BF218" s="38">
        <f>MAX(0,MIN(Inputs!$D$36,BK217,BG218+BH218+BI218+Inputs!$D$6-BJ217))</f>
        <v>0</v>
      </c>
      <c r="BG218" s="38">
        <f>Inputs!$D$27*(1+Inputs!$D$28)^($A218/12)*IF(Inputs!$B$71=1,$G218,1)*(1-Inputs!$C$71*$H218*(1-Inputs!$E$54*Inputs!$B$71))*(1+$I218)*IF(Inputs!$D$29=0,1,(MAX(BJ217,0)/Inputs!$D$6)^Inputs!$D$29)</f>
        <v>403.98154195590797</v>
      </c>
      <c r="BH218" s="38">
        <f>Inputs!$D$32*BJ217/Inputs!$D$6</f>
        <v>56.255262139458146</v>
      </c>
      <c r="BI218" s="38">
        <f>Inputs!$D$33</f>
        <v>1500</v>
      </c>
      <c r="BJ218" s="38">
        <f t="shared" si="168"/>
        <v>9826.5800251244364</v>
      </c>
      <c r="BK218" s="38">
        <f t="shared" si="169"/>
        <v>0</v>
      </c>
      <c r="BL218" s="38">
        <f>Inputs!$D$19*(1-Inputs!$C$71*$H218)+Inputs!$D$21+Inputs!$B$71*$J218</f>
        <v>410800</v>
      </c>
      <c r="BM218" s="38">
        <f t="shared" si="170"/>
        <v>-400973.41997487558</v>
      </c>
      <c r="BN218" s="38">
        <f t="shared" si="171"/>
        <v>1</v>
      </c>
      <c r="BO218" s="38">
        <f>MAX(0,MIN(Inputs!$B$36,BT217,BP218+BQ218+BR218+Inputs!$B$6-BS217))</f>
        <v>0</v>
      </c>
      <c r="BP218" s="38">
        <f>Inputs!$B$27*(1+Inputs!$B$28)^($A218/12)*IF(Inputs!$B$72=1,$G218,1)*(1-Inputs!$C$72*$H218*(1-Inputs!$E$54*Inputs!$B$72))*(1+$I218)*IF(Inputs!$B$29=0,1,(MAX(BS217,0)/Inputs!$B$6)^Inputs!$B$29)</f>
        <v>33058.340737113627</v>
      </c>
      <c r="BQ218" s="38">
        <f>Inputs!$B$32*BS217/Inputs!$B$6</f>
        <v>0</v>
      </c>
      <c r="BR218" s="38">
        <f>Inputs!$B$33</f>
        <v>2500</v>
      </c>
      <c r="BS218" s="38">
        <f t="shared" si="172"/>
        <v>0</v>
      </c>
      <c r="BT218" s="38">
        <f t="shared" si="173"/>
        <v>0</v>
      </c>
      <c r="BU218" s="38">
        <f>Inputs!$B$19*(1-Inputs!$C$72*$H218)+Inputs!$B$21+Inputs!$B$72*$J218</f>
        <v>577500</v>
      </c>
      <c r="BV218" s="38">
        <f t="shared" si="174"/>
        <v>-577500</v>
      </c>
      <c r="BW218" s="38">
        <f t="shared" si="175"/>
        <v>1</v>
      </c>
      <c r="BX218" s="38">
        <f>MAX(0,MIN(Inputs!$C$36,CC217,BY218+BZ218+CA218+Inputs!$C$6-CB217))</f>
        <v>0</v>
      </c>
      <c r="BY218" s="38">
        <f>Inputs!$C$27*(1+Inputs!$C$28)^($A218/12)*IF(Inputs!$B$72=1,$G218,1)*(1-Inputs!$C$72*$H218*(1-Inputs!$E$54*Inputs!$B$72))*(1+$I218)*IF(Inputs!$C$29=0,1,(MAX(CB217,0)/Inputs!$C$6)^Inputs!$C$29)</f>
        <v>0</v>
      </c>
      <c r="BZ218" s="38">
        <f>Inputs!$C$32*CB217/Inputs!$C$6</f>
        <v>0</v>
      </c>
      <c r="CA218" s="38">
        <f>Inputs!$C$33</f>
        <v>2000</v>
      </c>
      <c r="CB218" s="38">
        <f t="shared" si="176"/>
        <v>0</v>
      </c>
      <c r="CC218" s="38">
        <f t="shared" si="177"/>
        <v>0</v>
      </c>
      <c r="CD218" s="38">
        <f>Inputs!$C$19*(1-Inputs!$C$72*$H218)+Inputs!$C$21+Inputs!$B$72*$J218</f>
        <v>480000</v>
      </c>
      <c r="CE218" s="38">
        <f t="shared" si="178"/>
        <v>-480000</v>
      </c>
      <c r="CF218" s="38">
        <f t="shared" si="179"/>
        <v>1</v>
      </c>
      <c r="CG218" s="38">
        <f>MAX(0,MIN(Inputs!$D$36,CL217,CH218+CI218+CJ218+Inputs!$D$6-CK217))</f>
        <v>0</v>
      </c>
      <c r="CH218" s="38">
        <f>Inputs!$D$27*(1+Inputs!$D$28)^($A218/12)*IF(Inputs!$B$72=1,$G218,1)*(1-Inputs!$C$72*$H218*(1-Inputs!$E$54*Inputs!$B$72))*(1+$I218)*IF(Inputs!$D$29=0,1,(MAX(CK217,0)/Inputs!$D$6)^Inputs!$D$29)</f>
        <v>0</v>
      </c>
      <c r="CI218" s="38">
        <f>Inputs!$D$32*CK217/Inputs!$D$6</f>
        <v>0</v>
      </c>
      <c r="CJ218" s="38">
        <f>Inputs!$D$33</f>
        <v>1500</v>
      </c>
      <c r="CK218" s="38">
        <f t="shared" si="180"/>
        <v>0</v>
      </c>
      <c r="CL218" s="38">
        <f t="shared" si="181"/>
        <v>0</v>
      </c>
      <c r="CM218" s="38">
        <f>Inputs!$D$19*(1-Inputs!$C$72*$H218)+Inputs!$D$21+Inputs!$B$72*$J218</f>
        <v>392150</v>
      </c>
      <c r="CN218" s="38">
        <f t="shared" si="182"/>
        <v>-392150</v>
      </c>
      <c r="CO218" s="38">
        <f t="shared" si="183"/>
        <v>1</v>
      </c>
      <c r="CP218" s="38">
        <f>MAX(0,MIN(Inputs!$B$36,CU217,CQ218+CR218+CS218+Inputs!$B$6-CT217))</f>
        <v>0</v>
      </c>
      <c r="CQ218" s="38">
        <f>Inputs!$B$27*(1+Inputs!$B$28)^($A218/12)*IF(Inputs!$B$73=1,$G218,1)*(1-Inputs!$C$73*$H218*(1-Inputs!$E$54*Inputs!$B$73))*(1+$I218)*IF(Inputs!$B$29=0,1,(MAX(CT217,0)/Inputs!$B$6)^Inputs!$B$29)</f>
        <v>29392.431875989696</v>
      </c>
      <c r="CR218" s="38">
        <f>Inputs!$B$32*CT217/Inputs!$B$6</f>
        <v>0</v>
      </c>
      <c r="CS218" s="38">
        <f>Inputs!$B$33</f>
        <v>2500</v>
      </c>
      <c r="CT218" s="38">
        <f t="shared" si="184"/>
        <v>0</v>
      </c>
      <c r="CU218" s="38">
        <f t="shared" si="185"/>
        <v>0</v>
      </c>
      <c r="CV218" s="38">
        <f>Inputs!$B$19*(1-Inputs!$C$73*$H218)+Inputs!$B$21+Inputs!$B$73*$J218</f>
        <v>583500</v>
      </c>
      <c r="CW218" s="38">
        <f t="shared" si="186"/>
        <v>-583500</v>
      </c>
      <c r="CX218" s="38">
        <f t="shared" si="187"/>
        <v>1</v>
      </c>
      <c r="CY218" s="38">
        <f>MAX(0,MIN(Inputs!$C$36,DD217,CZ218+DA218+DB218+Inputs!$C$6-DC217))</f>
        <v>0</v>
      </c>
      <c r="CZ218" s="38">
        <f>Inputs!$C$27*(1+Inputs!$C$28)^($A218/12)*IF(Inputs!$B$73=1,$G218,1)*(1-Inputs!$C$73*$H218*(1-Inputs!$E$54*Inputs!$B$73))*(1+$I218)*IF(Inputs!$C$29=0,1,(MAX(DC217,0)/Inputs!$C$6)^Inputs!$C$29)</f>
        <v>0</v>
      </c>
      <c r="DA218" s="38">
        <f>Inputs!$C$32*DC217/Inputs!$C$6</f>
        <v>0</v>
      </c>
      <c r="DB218" s="38">
        <f>Inputs!$C$33</f>
        <v>2000</v>
      </c>
      <c r="DC218" s="38">
        <f t="shared" si="188"/>
        <v>0</v>
      </c>
      <c r="DD218" s="38">
        <f t="shared" si="189"/>
        <v>0</v>
      </c>
      <c r="DE218" s="38">
        <f>Inputs!$C$19*(1-Inputs!$C$73*$H218)+Inputs!$C$21+Inputs!$B$73*$J218</f>
        <v>486000</v>
      </c>
      <c r="DF218" s="38">
        <f t="shared" si="190"/>
        <v>-486000</v>
      </c>
      <c r="DG218" s="38">
        <f t="shared" si="191"/>
        <v>1</v>
      </c>
      <c r="DH218" s="38">
        <f>MAX(0,MIN(Inputs!$D$36,DM217,DI218+DJ218+DK218+Inputs!$D$6-DL217))</f>
        <v>0</v>
      </c>
      <c r="DI218" s="38">
        <f>Inputs!$D$27*(1+Inputs!$D$28)^($A218/12)*IF(Inputs!$B$73=1,$G218,1)*(1-Inputs!$C$73*$H218*(1-Inputs!$E$54*Inputs!$B$73))*(1+$I218)*IF(Inputs!$D$29=0,1,(MAX(DL217,0)/Inputs!$D$6)^Inputs!$D$29)</f>
        <v>542.93656205539958</v>
      </c>
      <c r="DJ218" s="38">
        <f>Inputs!$D$32*DL217/Inputs!$D$6</f>
        <v>112.58773295556513</v>
      </c>
      <c r="DK218" s="38">
        <f>Inputs!$D$33</f>
        <v>1500</v>
      </c>
      <c r="DL218" s="38">
        <f t="shared" si="192"/>
        <v>21434.286419488399</v>
      </c>
      <c r="DM218" s="38">
        <f t="shared" si="193"/>
        <v>0</v>
      </c>
      <c r="DN218" s="38">
        <f>Inputs!$D$19*(1-Inputs!$C$73*$H218)+Inputs!$D$21+Inputs!$B$73*$J218</f>
        <v>398150</v>
      </c>
      <c r="DO218" s="38">
        <f t="shared" si="194"/>
        <v>-376715.71358051163</v>
      </c>
      <c r="DP218" s="38">
        <f t="shared" si="195"/>
        <v>1</v>
      </c>
    </row>
    <row r="219" spans="1:120" x14ac:dyDescent="0.35">
      <c r="A219" s="29">
        <v>214</v>
      </c>
      <c r="B219" s="34">
        <f>EDATE(Inputs!$B$67,$A219)</f>
        <v>52779</v>
      </c>
      <c r="C219" s="35">
        <f>IF(Inputs!$E$47&lt;=0,Inputs!$E$46,Inputs!$E$44+(Inputs!$E$46-Inputs!$E$44)*MIN($A219/Inputs!$E$47,1))</f>
        <v>0.7</v>
      </c>
      <c r="D219" s="35">
        <f>MIN(Inputs!$E$57,Inputs!$E$55*(1+Inputs!$E$56)^($A219/12))*Inputs!$E$58*(1+Inputs!$E$59)^($A219/12)/Inputs!$E$45</f>
        <v>1.5</v>
      </c>
      <c r="E219" s="35">
        <f>MAX(Inputs!$E$44,MIN(C219,D219))</f>
        <v>0.7</v>
      </c>
      <c r="F219" s="35">
        <f>IF(Inputs!$E$50&lt;=0,Inputs!$E$49,Inputs!$E$48+(Inputs!$E$49-Inputs!$E$48)*MIN($A219/Inputs!$E$50,1))</f>
        <v>0.12</v>
      </c>
      <c r="G219" s="36">
        <f>(Inputs!$E$41*(1-E219*Inputs!$E$51)+Inputs!$E$42*(1-F219*Inputs!$E$51))/(Inputs!$E$41*(1-Inputs!$E$44*Inputs!$E$51)+Inputs!$E$42*(1-Inputs!$E$48*Inputs!$E$51))</f>
        <v>0.8423127463863338</v>
      </c>
      <c r="H219" s="35">
        <f>IF(Inputs!$E$53&lt;=0,Inputs!$E$52,Inputs!$E$52*MIN($A219/Inputs!$E$53,1))</f>
        <v>0.1</v>
      </c>
      <c r="I219" s="35">
        <f>IF(Inputs!$E$64&lt;=0,Inputs!$E$63,Inputs!$E$62+(Inputs!$E$63-Inputs!$E$62)*MIN($A219/Inputs!$E$64,1))</f>
        <v>0.03</v>
      </c>
      <c r="J219" s="37">
        <f>(E219-Inputs!$E$44)*Inputs!$E$45/Inputs!$E$60*Inputs!$E$61</f>
        <v>5999.9999999999991</v>
      </c>
      <c r="K219" s="29">
        <f t="shared" si="147"/>
        <v>0</v>
      </c>
      <c r="L219" s="29"/>
      <c r="M219" s="38">
        <f>MAX(0,MIN(Inputs!$B$36,R218,N219+O219+P219+Inputs!$B$6-Q218))</f>
        <v>0</v>
      </c>
      <c r="N219" s="38">
        <f>Inputs!$B$27*(1+Inputs!$B$28)^($A219/12)*IF(Inputs!$B$70=1,$G219,1)*(1-Inputs!$C$70*$H219*(1-Inputs!$E$54*Inputs!$B$70))*(1+$I219)*IF(Inputs!$B$29=0,1,(MAX(Q218,0)/Inputs!$B$6)^Inputs!$B$29)</f>
        <v>36881.138343731836</v>
      </c>
      <c r="O219" s="38">
        <f>Inputs!$B$32*Q218/Inputs!$B$6</f>
        <v>0</v>
      </c>
      <c r="P219" s="38">
        <f>Inputs!$B$33</f>
        <v>2500</v>
      </c>
      <c r="Q219" s="38">
        <f t="shared" si="148"/>
        <v>0</v>
      </c>
      <c r="R219" s="38">
        <f t="shared" si="149"/>
        <v>0</v>
      </c>
      <c r="S219" s="38">
        <f>Inputs!$B$19*(1-Inputs!$C$70*$H219)+Inputs!$B$21+Inputs!$B$70*$J219</f>
        <v>595000</v>
      </c>
      <c r="T219" s="38">
        <f t="shared" si="150"/>
        <v>-595000</v>
      </c>
      <c r="U219" s="38">
        <f t="shared" si="151"/>
        <v>1</v>
      </c>
      <c r="V219" s="38">
        <f>MAX(0,MIN(Inputs!$C$36,AA218,W219+X219+Y219+Inputs!$C$6-Z218))</f>
        <v>0</v>
      </c>
      <c r="W219" s="38">
        <f>Inputs!$C$27*(1+Inputs!$C$28)^($A219/12)*IF(Inputs!$B$70=1,$G219,1)*(1-Inputs!$C$70*$H219*(1-Inputs!$E$54*Inputs!$B$70))*(1+$I219)*IF(Inputs!$C$29=0,1,(MAX(Z218,0)/Inputs!$C$6)^Inputs!$C$29)</f>
        <v>0</v>
      </c>
      <c r="X219" s="38">
        <f>Inputs!$C$32*Z218/Inputs!$C$6</f>
        <v>0</v>
      </c>
      <c r="Y219" s="38">
        <f>Inputs!$C$33</f>
        <v>2000</v>
      </c>
      <c r="Z219" s="38">
        <f t="shared" si="152"/>
        <v>0</v>
      </c>
      <c r="AA219" s="38">
        <f t="shared" si="153"/>
        <v>0</v>
      </c>
      <c r="AB219" s="38">
        <f>Inputs!$C$19*(1-Inputs!$C$70*$H219)+Inputs!$C$21+Inputs!$B$70*$J219</f>
        <v>495000</v>
      </c>
      <c r="AC219" s="38">
        <f t="shared" si="154"/>
        <v>-495000</v>
      </c>
      <c r="AD219" s="38">
        <f t="shared" si="155"/>
        <v>1</v>
      </c>
      <c r="AE219" s="38">
        <f>MAX(0,MIN(Inputs!$D$36,AJ218,AF219+AG219+AH219+Inputs!$D$6-AI218))</f>
        <v>0</v>
      </c>
      <c r="AF219" s="38">
        <f>Inputs!$D$27*(1+Inputs!$D$28)^($A219/12)*IF(Inputs!$B$70=1,$G219,1)*(1-Inputs!$C$70*$H219*(1-Inputs!$E$54*Inputs!$B$70))*(1+$I219)*IF(Inputs!$D$29=0,1,(MAX(AI218,0)/Inputs!$D$6)^Inputs!$D$29)</f>
        <v>0</v>
      </c>
      <c r="AG219" s="38">
        <f>Inputs!$D$32*AI218/Inputs!$D$6</f>
        <v>0</v>
      </c>
      <c r="AH219" s="38">
        <f>Inputs!$D$33</f>
        <v>1500</v>
      </c>
      <c r="AI219" s="38">
        <f t="shared" si="156"/>
        <v>0</v>
      </c>
      <c r="AJ219" s="38">
        <f t="shared" si="157"/>
        <v>0</v>
      </c>
      <c r="AK219" s="38">
        <f>Inputs!$D$19*(1-Inputs!$C$70*$H219)+Inputs!$D$21+Inputs!$B$70*$J219</f>
        <v>404800</v>
      </c>
      <c r="AL219" s="38">
        <f t="shared" si="158"/>
        <v>-404800</v>
      </c>
      <c r="AM219" s="38">
        <f t="shared" si="159"/>
        <v>1</v>
      </c>
      <c r="AN219" s="38">
        <f>MAX(0,MIN(Inputs!$B$36,AS218,AO219+AP219+AQ219+Inputs!$B$6-AR218))</f>
        <v>0</v>
      </c>
      <c r="AO219" s="38">
        <f>Inputs!$B$27*(1+Inputs!$B$28)^($A219/12)*IF(Inputs!$B$71=1,$G219,1)*(1-Inputs!$C$71*$H219*(1-Inputs!$E$54*Inputs!$B$71))*(1+$I219)*IF(Inputs!$B$29=0,1,(MAX(AR218,0)/Inputs!$B$6)^Inputs!$B$29)</f>
        <v>31065.452928163086</v>
      </c>
      <c r="AP219" s="38">
        <f>Inputs!$B$32*AR218/Inputs!$B$6</f>
        <v>0</v>
      </c>
      <c r="AQ219" s="38">
        <f>Inputs!$B$33</f>
        <v>2500</v>
      </c>
      <c r="AR219" s="38">
        <f t="shared" si="160"/>
        <v>0</v>
      </c>
      <c r="AS219" s="38">
        <f t="shared" si="161"/>
        <v>0</v>
      </c>
      <c r="AT219" s="38">
        <f>Inputs!$B$19*(1-Inputs!$C$71*$H219)+Inputs!$B$21+Inputs!$B$71*$J219</f>
        <v>601000</v>
      </c>
      <c r="AU219" s="38">
        <f t="shared" si="162"/>
        <v>-601000</v>
      </c>
      <c r="AV219" s="38">
        <f t="shared" si="163"/>
        <v>1</v>
      </c>
      <c r="AW219" s="38">
        <f>MAX(0,MIN(Inputs!$C$36,BB218,AX219+AY219+AZ219+Inputs!$C$6-BA218))</f>
        <v>0</v>
      </c>
      <c r="AX219" s="38">
        <f>Inputs!$C$27*(1+Inputs!$C$28)^($A219/12)*IF(Inputs!$B$71=1,$G219,1)*(1-Inputs!$C$71*$H219*(1-Inputs!$E$54*Inputs!$B$71))*(1+$I219)*IF(Inputs!$C$29=0,1,(MAX(BA218,0)/Inputs!$C$6)^Inputs!$C$29)</f>
        <v>0</v>
      </c>
      <c r="AY219" s="38">
        <f>Inputs!$C$32*BA218/Inputs!$C$6</f>
        <v>0</v>
      </c>
      <c r="AZ219" s="38">
        <f>Inputs!$C$33</f>
        <v>2000</v>
      </c>
      <c r="BA219" s="38">
        <f t="shared" si="164"/>
        <v>0</v>
      </c>
      <c r="BB219" s="38">
        <f t="shared" si="165"/>
        <v>0</v>
      </c>
      <c r="BC219" s="38">
        <f>Inputs!$C$19*(1-Inputs!$C$71*$H219)+Inputs!$C$21+Inputs!$B$71*$J219</f>
        <v>501000</v>
      </c>
      <c r="BD219" s="38">
        <f t="shared" si="166"/>
        <v>-501000</v>
      </c>
      <c r="BE219" s="38">
        <f t="shared" si="167"/>
        <v>1</v>
      </c>
      <c r="BF219" s="38">
        <f>MAX(0,MIN(Inputs!$D$36,BK218,BG219+BH219+BI219+Inputs!$D$6-BJ218))</f>
        <v>0</v>
      </c>
      <c r="BG219" s="38">
        <f>Inputs!$D$27*(1+Inputs!$D$28)^($A219/12)*IF(Inputs!$B$71=1,$G219,1)*(1-Inputs!$C$71*$H219*(1-Inputs!$E$54*Inputs!$B$71))*(1+$I219)*IF(Inputs!$D$29=0,1,(MAX(BJ218,0)/Inputs!$D$6)^Inputs!$D$29)</f>
        <v>367.28913944964313</v>
      </c>
      <c r="BH219" s="38">
        <f>Inputs!$D$32*BJ218/Inputs!$D$6</f>
        <v>46.899586483548447</v>
      </c>
      <c r="BI219" s="38">
        <f>Inputs!$D$33</f>
        <v>1500</v>
      </c>
      <c r="BJ219" s="38">
        <f t="shared" si="168"/>
        <v>7912.3912991912439</v>
      </c>
      <c r="BK219" s="38">
        <f t="shared" si="169"/>
        <v>0</v>
      </c>
      <c r="BL219" s="38">
        <f>Inputs!$D$19*(1-Inputs!$C$71*$H219)+Inputs!$D$21+Inputs!$B$71*$J219</f>
        <v>410800</v>
      </c>
      <c r="BM219" s="38">
        <f t="shared" si="170"/>
        <v>-402887.60870080878</v>
      </c>
      <c r="BN219" s="38">
        <f t="shared" si="171"/>
        <v>1</v>
      </c>
      <c r="BO219" s="38">
        <f>MAX(0,MIN(Inputs!$B$36,BT218,BP219+BQ219+BR219+Inputs!$B$6-BS218))</f>
        <v>0</v>
      </c>
      <c r="BP219" s="38">
        <f>Inputs!$B$27*(1+Inputs!$B$28)^($A219/12)*IF(Inputs!$B$72=1,$G219,1)*(1-Inputs!$C$72*$H219*(1-Inputs!$E$54*Inputs!$B$72))*(1+$I219)*IF(Inputs!$B$29=0,1,(MAX(BS218,0)/Inputs!$B$6)^Inputs!$B$29)</f>
        <v>33193.024509358656</v>
      </c>
      <c r="BQ219" s="38">
        <f>Inputs!$B$32*BS218/Inputs!$B$6</f>
        <v>0</v>
      </c>
      <c r="BR219" s="38">
        <f>Inputs!$B$33</f>
        <v>2500</v>
      </c>
      <c r="BS219" s="38">
        <f t="shared" si="172"/>
        <v>0</v>
      </c>
      <c r="BT219" s="38">
        <f t="shared" si="173"/>
        <v>0</v>
      </c>
      <c r="BU219" s="38">
        <f>Inputs!$B$19*(1-Inputs!$C$72*$H219)+Inputs!$B$21+Inputs!$B$72*$J219</f>
        <v>577500</v>
      </c>
      <c r="BV219" s="38">
        <f t="shared" si="174"/>
        <v>-577500</v>
      </c>
      <c r="BW219" s="38">
        <f t="shared" si="175"/>
        <v>1</v>
      </c>
      <c r="BX219" s="38">
        <f>MAX(0,MIN(Inputs!$C$36,CC218,BY219+BZ219+CA219+Inputs!$C$6-CB218))</f>
        <v>0</v>
      </c>
      <c r="BY219" s="38">
        <f>Inputs!$C$27*(1+Inputs!$C$28)^($A219/12)*IF(Inputs!$B$72=1,$G219,1)*(1-Inputs!$C$72*$H219*(1-Inputs!$E$54*Inputs!$B$72))*(1+$I219)*IF(Inputs!$C$29=0,1,(MAX(CB218,0)/Inputs!$C$6)^Inputs!$C$29)</f>
        <v>0</v>
      </c>
      <c r="BZ219" s="38">
        <f>Inputs!$C$32*CB218/Inputs!$C$6</f>
        <v>0</v>
      </c>
      <c r="CA219" s="38">
        <f>Inputs!$C$33</f>
        <v>2000</v>
      </c>
      <c r="CB219" s="38">
        <f t="shared" si="176"/>
        <v>0</v>
      </c>
      <c r="CC219" s="38">
        <f t="shared" si="177"/>
        <v>0</v>
      </c>
      <c r="CD219" s="38">
        <f>Inputs!$C$19*(1-Inputs!$C$72*$H219)+Inputs!$C$21+Inputs!$B$72*$J219</f>
        <v>480000</v>
      </c>
      <c r="CE219" s="38">
        <f t="shared" si="178"/>
        <v>-480000</v>
      </c>
      <c r="CF219" s="38">
        <f t="shared" si="179"/>
        <v>1</v>
      </c>
      <c r="CG219" s="38">
        <f>MAX(0,MIN(Inputs!$D$36,CL218,CH219+CI219+CJ219+Inputs!$D$6-CK218))</f>
        <v>0</v>
      </c>
      <c r="CH219" s="38">
        <f>Inputs!$D$27*(1+Inputs!$D$28)^($A219/12)*IF(Inputs!$B$72=1,$G219,1)*(1-Inputs!$C$72*$H219*(1-Inputs!$E$54*Inputs!$B$72))*(1+$I219)*IF(Inputs!$D$29=0,1,(MAX(CK218,0)/Inputs!$D$6)^Inputs!$D$29)</f>
        <v>0</v>
      </c>
      <c r="CI219" s="38">
        <f>Inputs!$D$32*CK218/Inputs!$D$6</f>
        <v>0</v>
      </c>
      <c r="CJ219" s="38">
        <f>Inputs!$D$33</f>
        <v>1500</v>
      </c>
      <c r="CK219" s="38">
        <f t="shared" si="180"/>
        <v>0</v>
      </c>
      <c r="CL219" s="38">
        <f t="shared" si="181"/>
        <v>0</v>
      </c>
      <c r="CM219" s="38">
        <f>Inputs!$D$19*(1-Inputs!$C$72*$H219)+Inputs!$D$21+Inputs!$B$72*$J219</f>
        <v>392150</v>
      </c>
      <c r="CN219" s="38">
        <f t="shared" si="182"/>
        <v>-392150</v>
      </c>
      <c r="CO219" s="38">
        <f t="shared" si="183"/>
        <v>1</v>
      </c>
      <c r="CP219" s="38">
        <f>MAX(0,MIN(Inputs!$B$36,CU218,CQ219+CR219+CS219+Inputs!$B$6-CT218))</f>
        <v>0</v>
      </c>
      <c r="CQ219" s="38">
        <f>Inputs!$B$27*(1+Inputs!$B$28)^($A219/12)*IF(Inputs!$B$73=1,$G219,1)*(1-Inputs!$C$73*$H219*(1-Inputs!$E$54*Inputs!$B$73))*(1+$I219)*IF(Inputs!$B$29=0,1,(MAX(CT218,0)/Inputs!$B$6)^Inputs!$B$29)</f>
        <v>29512.180281754929</v>
      </c>
      <c r="CR219" s="38">
        <f>Inputs!$B$32*CT218/Inputs!$B$6</f>
        <v>0</v>
      </c>
      <c r="CS219" s="38">
        <f>Inputs!$B$33</f>
        <v>2500</v>
      </c>
      <c r="CT219" s="38">
        <f t="shared" si="184"/>
        <v>0</v>
      </c>
      <c r="CU219" s="38">
        <f t="shared" si="185"/>
        <v>0</v>
      </c>
      <c r="CV219" s="38">
        <f>Inputs!$B$19*(1-Inputs!$C$73*$H219)+Inputs!$B$21+Inputs!$B$73*$J219</f>
        <v>583500</v>
      </c>
      <c r="CW219" s="38">
        <f t="shared" si="186"/>
        <v>-583500</v>
      </c>
      <c r="CX219" s="38">
        <f t="shared" si="187"/>
        <v>1</v>
      </c>
      <c r="CY219" s="38">
        <f>MAX(0,MIN(Inputs!$C$36,DD218,CZ219+DA219+DB219+Inputs!$C$6-DC218))</f>
        <v>0</v>
      </c>
      <c r="CZ219" s="38">
        <f>Inputs!$C$27*(1+Inputs!$C$28)^($A219/12)*IF(Inputs!$B$73=1,$G219,1)*(1-Inputs!$C$73*$H219*(1-Inputs!$E$54*Inputs!$B$73))*(1+$I219)*IF(Inputs!$C$29=0,1,(MAX(DC218,0)/Inputs!$C$6)^Inputs!$C$29)</f>
        <v>0</v>
      </c>
      <c r="DA219" s="38">
        <f>Inputs!$C$32*DC218/Inputs!$C$6</f>
        <v>0</v>
      </c>
      <c r="DB219" s="38">
        <f>Inputs!$C$33</f>
        <v>2000</v>
      </c>
      <c r="DC219" s="38">
        <f t="shared" si="188"/>
        <v>0</v>
      </c>
      <c r="DD219" s="38">
        <f t="shared" si="189"/>
        <v>0</v>
      </c>
      <c r="DE219" s="38">
        <f>Inputs!$C$19*(1-Inputs!$C$73*$H219)+Inputs!$C$21+Inputs!$B$73*$J219</f>
        <v>486000</v>
      </c>
      <c r="DF219" s="38">
        <f t="shared" si="190"/>
        <v>-486000</v>
      </c>
      <c r="DG219" s="38">
        <f t="shared" si="191"/>
        <v>1</v>
      </c>
      <c r="DH219" s="38">
        <f>MAX(0,MIN(Inputs!$D$36,DM218,DI219+DJ219+DK219+Inputs!$D$6-DL218))</f>
        <v>0</v>
      </c>
      <c r="DI219" s="38">
        <f>Inputs!$D$27*(1+Inputs!$D$28)^($A219/12)*IF(Inputs!$B$73=1,$G219,1)*(1-Inputs!$C$73*$H219*(1-Inputs!$E$54*Inputs!$B$73))*(1+$I219)*IF(Inputs!$D$29=0,1,(MAX(DL218,0)/Inputs!$D$6)^Inputs!$D$29)</f>
        <v>515.32950577379631</v>
      </c>
      <c r="DJ219" s="38">
        <f>Inputs!$D$32*DL218/Inputs!$D$6</f>
        <v>102.30000336574008</v>
      </c>
      <c r="DK219" s="38">
        <f>Inputs!$D$33</f>
        <v>1500</v>
      </c>
      <c r="DL219" s="38">
        <f t="shared" si="192"/>
        <v>19316.656910348862</v>
      </c>
      <c r="DM219" s="38">
        <f t="shared" si="193"/>
        <v>0</v>
      </c>
      <c r="DN219" s="38">
        <f>Inputs!$D$19*(1-Inputs!$C$73*$H219)+Inputs!$D$21+Inputs!$B$73*$J219</f>
        <v>398150</v>
      </c>
      <c r="DO219" s="38">
        <f t="shared" si="194"/>
        <v>-378833.34308965114</v>
      </c>
      <c r="DP219" s="38">
        <f t="shared" si="195"/>
        <v>1</v>
      </c>
    </row>
    <row r="220" spans="1:120" x14ac:dyDescent="0.35">
      <c r="A220" s="29">
        <v>215</v>
      </c>
      <c r="B220" s="34">
        <f>EDATE(Inputs!$B$67,$A220)</f>
        <v>52810</v>
      </c>
      <c r="C220" s="35">
        <f>IF(Inputs!$E$47&lt;=0,Inputs!$E$46,Inputs!$E$44+(Inputs!$E$46-Inputs!$E$44)*MIN($A220/Inputs!$E$47,1))</f>
        <v>0.7</v>
      </c>
      <c r="D220" s="35">
        <f>MIN(Inputs!$E$57,Inputs!$E$55*(1+Inputs!$E$56)^($A220/12))*Inputs!$E$58*(1+Inputs!$E$59)^($A220/12)/Inputs!$E$45</f>
        <v>1.5</v>
      </c>
      <c r="E220" s="35">
        <f>MAX(Inputs!$E$44,MIN(C220,D220))</f>
        <v>0.7</v>
      </c>
      <c r="F220" s="35">
        <f>IF(Inputs!$E$50&lt;=0,Inputs!$E$49,Inputs!$E$48+(Inputs!$E$49-Inputs!$E$48)*MIN($A220/Inputs!$E$50,1))</f>
        <v>0.12</v>
      </c>
      <c r="G220" s="36">
        <f>(Inputs!$E$41*(1-E220*Inputs!$E$51)+Inputs!$E$42*(1-F220*Inputs!$E$51))/(Inputs!$E$41*(1-Inputs!$E$44*Inputs!$E$51)+Inputs!$E$42*(1-Inputs!$E$48*Inputs!$E$51))</f>
        <v>0.8423127463863338</v>
      </c>
      <c r="H220" s="35">
        <f>IF(Inputs!$E$53&lt;=0,Inputs!$E$52,Inputs!$E$52*MIN($A220/Inputs!$E$53,1))</f>
        <v>0.1</v>
      </c>
      <c r="I220" s="35">
        <f>IF(Inputs!$E$64&lt;=0,Inputs!$E$63,Inputs!$E$62+(Inputs!$E$63-Inputs!$E$62)*MIN($A220/Inputs!$E$64,1))</f>
        <v>0.03</v>
      </c>
      <c r="J220" s="37">
        <f>(E220-Inputs!$E$44)*Inputs!$E$45/Inputs!$E$60*Inputs!$E$61</f>
        <v>5999.9999999999991</v>
      </c>
      <c r="K220" s="29">
        <f t="shared" si="147"/>
        <v>0</v>
      </c>
      <c r="L220" s="29"/>
      <c r="M220" s="38">
        <f>MAX(0,MIN(Inputs!$B$36,R219,N220+O220+P220+Inputs!$B$6-Q219))</f>
        <v>0</v>
      </c>
      <c r="N220" s="38">
        <f>Inputs!$B$27*(1+Inputs!$B$28)^($A220/12)*IF(Inputs!$B$70=1,$G220,1)*(1-Inputs!$C$70*$H220*(1-Inputs!$E$54*Inputs!$B$70))*(1+$I220)*IF(Inputs!$B$29=0,1,(MAX(Q219,0)/Inputs!$B$6)^Inputs!$B$29)</f>
        <v>37031.396666626075</v>
      </c>
      <c r="O220" s="38">
        <f>Inputs!$B$32*Q219/Inputs!$B$6</f>
        <v>0</v>
      </c>
      <c r="P220" s="38">
        <f>Inputs!$B$33</f>
        <v>2500</v>
      </c>
      <c r="Q220" s="38">
        <f t="shared" si="148"/>
        <v>0</v>
      </c>
      <c r="R220" s="38">
        <f t="shared" si="149"/>
        <v>0</v>
      </c>
      <c r="S220" s="38">
        <f>Inputs!$B$19*(1-Inputs!$C$70*$H220)+Inputs!$B$21+Inputs!$B$70*$J220</f>
        <v>595000</v>
      </c>
      <c r="T220" s="38">
        <f t="shared" si="150"/>
        <v>-595000</v>
      </c>
      <c r="U220" s="38">
        <f t="shared" si="151"/>
        <v>1</v>
      </c>
      <c r="V220" s="38">
        <f>MAX(0,MIN(Inputs!$C$36,AA219,W220+X220+Y220+Inputs!$C$6-Z219))</f>
        <v>0</v>
      </c>
      <c r="W220" s="38">
        <f>Inputs!$C$27*(1+Inputs!$C$28)^($A220/12)*IF(Inputs!$B$70=1,$G220,1)*(1-Inputs!$C$70*$H220*(1-Inputs!$E$54*Inputs!$B$70))*(1+$I220)*IF(Inputs!$C$29=0,1,(MAX(Z219,0)/Inputs!$C$6)^Inputs!$C$29)</f>
        <v>0</v>
      </c>
      <c r="X220" s="38">
        <f>Inputs!$C$32*Z219/Inputs!$C$6</f>
        <v>0</v>
      </c>
      <c r="Y220" s="38">
        <f>Inputs!$C$33</f>
        <v>2000</v>
      </c>
      <c r="Z220" s="38">
        <f t="shared" si="152"/>
        <v>0</v>
      </c>
      <c r="AA220" s="38">
        <f t="shared" si="153"/>
        <v>0</v>
      </c>
      <c r="AB220" s="38">
        <f>Inputs!$C$19*(1-Inputs!$C$70*$H220)+Inputs!$C$21+Inputs!$B$70*$J220</f>
        <v>495000</v>
      </c>
      <c r="AC220" s="38">
        <f t="shared" si="154"/>
        <v>-495000</v>
      </c>
      <c r="AD220" s="38">
        <f t="shared" si="155"/>
        <v>1</v>
      </c>
      <c r="AE220" s="38">
        <f>MAX(0,MIN(Inputs!$D$36,AJ219,AF220+AG220+AH220+Inputs!$D$6-AI219))</f>
        <v>0</v>
      </c>
      <c r="AF220" s="38">
        <f>Inputs!$D$27*(1+Inputs!$D$28)^($A220/12)*IF(Inputs!$B$70=1,$G220,1)*(1-Inputs!$C$70*$H220*(1-Inputs!$E$54*Inputs!$B$70))*(1+$I220)*IF(Inputs!$D$29=0,1,(MAX(AI219,0)/Inputs!$D$6)^Inputs!$D$29)</f>
        <v>0</v>
      </c>
      <c r="AG220" s="38">
        <f>Inputs!$D$32*AI219/Inputs!$D$6</f>
        <v>0</v>
      </c>
      <c r="AH220" s="38">
        <f>Inputs!$D$33</f>
        <v>1500</v>
      </c>
      <c r="AI220" s="38">
        <f t="shared" si="156"/>
        <v>0</v>
      </c>
      <c r="AJ220" s="38">
        <f t="shared" si="157"/>
        <v>0</v>
      </c>
      <c r="AK220" s="38">
        <f>Inputs!$D$19*(1-Inputs!$C$70*$H220)+Inputs!$D$21+Inputs!$B$70*$J220</f>
        <v>404800</v>
      </c>
      <c r="AL220" s="38">
        <f t="shared" si="158"/>
        <v>-404800</v>
      </c>
      <c r="AM220" s="38">
        <f t="shared" si="159"/>
        <v>1</v>
      </c>
      <c r="AN220" s="38">
        <f>MAX(0,MIN(Inputs!$B$36,AS219,AO220+AP220+AQ220+Inputs!$B$6-AR219))</f>
        <v>0</v>
      </c>
      <c r="AO220" s="38">
        <f>Inputs!$B$27*(1+Inputs!$B$28)^($A220/12)*IF(Inputs!$B$71=1,$G220,1)*(1-Inputs!$C$71*$H220*(1-Inputs!$E$54*Inputs!$B$71))*(1+$I220)*IF(Inputs!$B$29=0,1,(MAX(AR219,0)/Inputs!$B$6)^Inputs!$B$29)</f>
        <v>31192.017428787534</v>
      </c>
      <c r="AP220" s="38">
        <f>Inputs!$B$32*AR219/Inputs!$B$6</f>
        <v>0</v>
      </c>
      <c r="AQ220" s="38">
        <f>Inputs!$B$33</f>
        <v>2500</v>
      </c>
      <c r="AR220" s="38">
        <f t="shared" si="160"/>
        <v>0</v>
      </c>
      <c r="AS220" s="38">
        <f t="shared" si="161"/>
        <v>0</v>
      </c>
      <c r="AT220" s="38">
        <f>Inputs!$B$19*(1-Inputs!$C$71*$H220)+Inputs!$B$21+Inputs!$B$71*$J220</f>
        <v>601000</v>
      </c>
      <c r="AU220" s="38">
        <f t="shared" si="162"/>
        <v>-601000</v>
      </c>
      <c r="AV220" s="38">
        <f t="shared" si="163"/>
        <v>1</v>
      </c>
      <c r="AW220" s="38">
        <f>MAX(0,MIN(Inputs!$C$36,BB219,AX220+AY220+AZ220+Inputs!$C$6-BA219))</f>
        <v>0</v>
      </c>
      <c r="AX220" s="38">
        <f>Inputs!$C$27*(1+Inputs!$C$28)^($A220/12)*IF(Inputs!$B$71=1,$G220,1)*(1-Inputs!$C$71*$H220*(1-Inputs!$E$54*Inputs!$B$71))*(1+$I220)*IF(Inputs!$C$29=0,1,(MAX(BA219,0)/Inputs!$C$6)^Inputs!$C$29)</f>
        <v>0</v>
      </c>
      <c r="AY220" s="38">
        <f>Inputs!$C$32*BA219/Inputs!$C$6</f>
        <v>0</v>
      </c>
      <c r="AZ220" s="38">
        <f>Inputs!$C$33</f>
        <v>2000</v>
      </c>
      <c r="BA220" s="38">
        <f t="shared" si="164"/>
        <v>0</v>
      </c>
      <c r="BB220" s="38">
        <f t="shared" si="165"/>
        <v>0</v>
      </c>
      <c r="BC220" s="38">
        <f>Inputs!$C$19*(1-Inputs!$C$71*$H220)+Inputs!$C$21+Inputs!$B$71*$J220</f>
        <v>501000</v>
      </c>
      <c r="BD220" s="38">
        <f t="shared" si="166"/>
        <v>-501000</v>
      </c>
      <c r="BE220" s="38">
        <f t="shared" si="167"/>
        <v>1</v>
      </c>
      <c r="BF220" s="38">
        <f>MAX(0,MIN(Inputs!$D$36,BK219,BG220+BH220+BI220+Inputs!$D$6-BJ219))</f>
        <v>0</v>
      </c>
      <c r="BG220" s="38">
        <f>Inputs!$D$27*(1+Inputs!$D$28)^($A220/12)*IF(Inputs!$B$71=1,$G220,1)*(1-Inputs!$C$71*$H220*(1-Inputs!$E$54*Inputs!$B$71))*(1+$I220)*IF(Inputs!$D$29=0,1,(MAX(BJ219,0)/Inputs!$D$6)^Inputs!$D$29)</f>
        <v>328.17417425782463</v>
      </c>
      <c r="BH220" s="38">
        <f>Inputs!$D$32*BJ219/Inputs!$D$6</f>
        <v>37.763685746140027</v>
      </c>
      <c r="BI220" s="38">
        <f>Inputs!$D$33</f>
        <v>1500</v>
      </c>
      <c r="BJ220" s="38">
        <f t="shared" si="168"/>
        <v>6046.4534391872794</v>
      </c>
      <c r="BK220" s="38">
        <f t="shared" si="169"/>
        <v>0</v>
      </c>
      <c r="BL220" s="38">
        <f>Inputs!$D$19*(1-Inputs!$C$71*$H220)+Inputs!$D$21+Inputs!$B$71*$J220</f>
        <v>410800</v>
      </c>
      <c r="BM220" s="38">
        <f t="shared" si="170"/>
        <v>-404753.54656081274</v>
      </c>
      <c r="BN220" s="38">
        <f t="shared" si="171"/>
        <v>1</v>
      </c>
      <c r="BO220" s="38">
        <f>MAX(0,MIN(Inputs!$B$36,BT219,BP220+BQ220+BR220+Inputs!$B$6-BS219))</f>
        <v>0</v>
      </c>
      <c r="BP220" s="38">
        <f>Inputs!$B$27*(1+Inputs!$B$28)^($A220/12)*IF(Inputs!$B$72=1,$G220,1)*(1-Inputs!$C$72*$H220*(1-Inputs!$E$54*Inputs!$B$72))*(1+$I220)*IF(Inputs!$B$29=0,1,(MAX(BS219,0)/Inputs!$B$6)^Inputs!$B$29)</f>
        <v>33328.256999963465</v>
      </c>
      <c r="BQ220" s="38">
        <f>Inputs!$B$32*BS219/Inputs!$B$6</f>
        <v>0</v>
      </c>
      <c r="BR220" s="38">
        <f>Inputs!$B$33</f>
        <v>2500</v>
      </c>
      <c r="BS220" s="38">
        <f t="shared" si="172"/>
        <v>0</v>
      </c>
      <c r="BT220" s="38">
        <f t="shared" si="173"/>
        <v>0</v>
      </c>
      <c r="BU220" s="38">
        <f>Inputs!$B$19*(1-Inputs!$C$72*$H220)+Inputs!$B$21+Inputs!$B$72*$J220</f>
        <v>577500</v>
      </c>
      <c r="BV220" s="38">
        <f t="shared" si="174"/>
        <v>-577500</v>
      </c>
      <c r="BW220" s="38">
        <f t="shared" si="175"/>
        <v>1</v>
      </c>
      <c r="BX220" s="38">
        <f>MAX(0,MIN(Inputs!$C$36,CC219,BY220+BZ220+CA220+Inputs!$C$6-CB219))</f>
        <v>0</v>
      </c>
      <c r="BY220" s="38">
        <f>Inputs!$C$27*(1+Inputs!$C$28)^($A220/12)*IF(Inputs!$B$72=1,$G220,1)*(1-Inputs!$C$72*$H220*(1-Inputs!$E$54*Inputs!$B$72))*(1+$I220)*IF(Inputs!$C$29=0,1,(MAX(CB219,0)/Inputs!$C$6)^Inputs!$C$29)</f>
        <v>0</v>
      </c>
      <c r="BZ220" s="38">
        <f>Inputs!$C$32*CB219/Inputs!$C$6</f>
        <v>0</v>
      </c>
      <c r="CA220" s="38">
        <f>Inputs!$C$33</f>
        <v>2000</v>
      </c>
      <c r="CB220" s="38">
        <f t="shared" si="176"/>
        <v>0</v>
      </c>
      <c r="CC220" s="38">
        <f t="shared" si="177"/>
        <v>0</v>
      </c>
      <c r="CD220" s="38">
        <f>Inputs!$C$19*(1-Inputs!$C$72*$H220)+Inputs!$C$21+Inputs!$B$72*$J220</f>
        <v>480000</v>
      </c>
      <c r="CE220" s="38">
        <f t="shared" si="178"/>
        <v>-480000</v>
      </c>
      <c r="CF220" s="38">
        <f t="shared" si="179"/>
        <v>1</v>
      </c>
      <c r="CG220" s="38">
        <f>MAX(0,MIN(Inputs!$D$36,CL219,CH220+CI220+CJ220+Inputs!$D$6-CK219))</f>
        <v>0</v>
      </c>
      <c r="CH220" s="38">
        <f>Inputs!$D$27*(1+Inputs!$D$28)^($A220/12)*IF(Inputs!$B$72=1,$G220,1)*(1-Inputs!$C$72*$H220*(1-Inputs!$E$54*Inputs!$B$72))*(1+$I220)*IF(Inputs!$D$29=0,1,(MAX(CK219,0)/Inputs!$D$6)^Inputs!$D$29)</f>
        <v>0</v>
      </c>
      <c r="CI220" s="38">
        <f>Inputs!$D$32*CK219/Inputs!$D$6</f>
        <v>0</v>
      </c>
      <c r="CJ220" s="38">
        <f>Inputs!$D$33</f>
        <v>1500</v>
      </c>
      <c r="CK220" s="38">
        <f t="shared" si="180"/>
        <v>0</v>
      </c>
      <c r="CL220" s="38">
        <f t="shared" si="181"/>
        <v>0</v>
      </c>
      <c r="CM220" s="38">
        <f>Inputs!$D$19*(1-Inputs!$C$72*$H220)+Inputs!$D$21+Inputs!$B$72*$J220</f>
        <v>392150</v>
      </c>
      <c r="CN220" s="38">
        <f t="shared" si="182"/>
        <v>-392150</v>
      </c>
      <c r="CO220" s="38">
        <f t="shared" si="183"/>
        <v>1</v>
      </c>
      <c r="CP220" s="38">
        <f>MAX(0,MIN(Inputs!$B$36,CU219,CQ220+CR220+CS220+Inputs!$B$6-CT219))</f>
        <v>0</v>
      </c>
      <c r="CQ220" s="38">
        <f>Inputs!$B$27*(1+Inputs!$B$28)^($A220/12)*IF(Inputs!$B$73=1,$G220,1)*(1-Inputs!$C$73*$H220*(1-Inputs!$E$54*Inputs!$B$73))*(1+$I220)*IF(Inputs!$B$29=0,1,(MAX(CT219,0)/Inputs!$B$6)^Inputs!$B$29)</f>
        <v>29632.416557348155</v>
      </c>
      <c r="CR220" s="38">
        <f>Inputs!$B$32*CT219/Inputs!$B$6</f>
        <v>0</v>
      </c>
      <c r="CS220" s="38">
        <f>Inputs!$B$33</f>
        <v>2500</v>
      </c>
      <c r="CT220" s="38">
        <f t="shared" si="184"/>
        <v>0</v>
      </c>
      <c r="CU220" s="38">
        <f t="shared" si="185"/>
        <v>0</v>
      </c>
      <c r="CV220" s="38">
        <f>Inputs!$B$19*(1-Inputs!$C$73*$H220)+Inputs!$B$21+Inputs!$B$73*$J220</f>
        <v>583500</v>
      </c>
      <c r="CW220" s="38">
        <f t="shared" si="186"/>
        <v>-583500</v>
      </c>
      <c r="CX220" s="38">
        <f t="shared" si="187"/>
        <v>1</v>
      </c>
      <c r="CY220" s="38">
        <f>MAX(0,MIN(Inputs!$C$36,DD219,CZ220+DA220+DB220+Inputs!$C$6-DC219))</f>
        <v>0</v>
      </c>
      <c r="CZ220" s="38">
        <f>Inputs!$C$27*(1+Inputs!$C$28)^($A220/12)*IF(Inputs!$B$73=1,$G220,1)*(1-Inputs!$C$73*$H220*(1-Inputs!$E$54*Inputs!$B$73))*(1+$I220)*IF(Inputs!$C$29=0,1,(MAX(DC219,0)/Inputs!$C$6)^Inputs!$C$29)</f>
        <v>0</v>
      </c>
      <c r="DA220" s="38">
        <f>Inputs!$C$32*DC219/Inputs!$C$6</f>
        <v>0</v>
      </c>
      <c r="DB220" s="38">
        <f>Inputs!$C$33</f>
        <v>2000</v>
      </c>
      <c r="DC220" s="38">
        <f t="shared" si="188"/>
        <v>0</v>
      </c>
      <c r="DD220" s="38">
        <f t="shared" si="189"/>
        <v>0</v>
      </c>
      <c r="DE220" s="38">
        <f>Inputs!$C$19*(1-Inputs!$C$73*$H220)+Inputs!$C$21+Inputs!$B$73*$J220</f>
        <v>486000</v>
      </c>
      <c r="DF220" s="38">
        <f t="shared" si="190"/>
        <v>-486000</v>
      </c>
      <c r="DG220" s="38">
        <f t="shared" si="191"/>
        <v>1</v>
      </c>
      <c r="DH220" s="38">
        <f>MAX(0,MIN(Inputs!$D$36,DM219,DI220+DJ220+DK220+Inputs!$D$6-DL219))</f>
        <v>0</v>
      </c>
      <c r="DI220" s="38">
        <f>Inputs!$D$27*(1+Inputs!$D$28)^($A220/12)*IF(Inputs!$B$73=1,$G220,1)*(1-Inputs!$C$73*$H220*(1-Inputs!$E$54*Inputs!$B$73))*(1+$I220)*IF(Inputs!$D$29=0,1,(MAX(DL219,0)/Inputs!$D$6)^Inputs!$D$29)</f>
        <v>487.12465498882739</v>
      </c>
      <c r="DJ220" s="38">
        <f>Inputs!$D$32*DL219/Inputs!$D$6</f>
        <v>92.19313525393774</v>
      </c>
      <c r="DK220" s="38">
        <f>Inputs!$D$33</f>
        <v>1500</v>
      </c>
      <c r="DL220" s="38">
        <f t="shared" si="192"/>
        <v>17237.339120106095</v>
      </c>
      <c r="DM220" s="38">
        <f t="shared" si="193"/>
        <v>0</v>
      </c>
      <c r="DN220" s="38">
        <f>Inputs!$D$19*(1-Inputs!$C$73*$H220)+Inputs!$D$21+Inputs!$B$73*$J220</f>
        <v>398150</v>
      </c>
      <c r="DO220" s="38">
        <f t="shared" si="194"/>
        <v>-380912.66087989393</v>
      </c>
      <c r="DP220" s="38">
        <f t="shared" si="195"/>
        <v>1</v>
      </c>
    </row>
    <row r="221" spans="1:120" x14ac:dyDescent="0.35">
      <c r="A221" s="29">
        <v>216</v>
      </c>
      <c r="B221" s="34">
        <f>EDATE(Inputs!$B$67,$A221)</f>
        <v>52841</v>
      </c>
      <c r="C221" s="35">
        <f>IF(Inputs!$E$47&lt;=0,Inputs!$E$46,Inputs!$E$44+(Inputs!$E$46-Inputs!$E$44)*MIN($A221/Inputs!$E$47,1))</f>
        <v>0.7</v>
      </c>
      <c r="D221" s="35">
        <f>MIN(Inputs!$E$57,Inputs!$E$55*(1+Inputs!$E$56)^($A221/12))*Inputs!$E$58*(1+Inputs!$E$59)^($A221/12)/Inputs!$E$45</f>
        <v>1.5</v>
      </c>
      <c r="E221" s="35">
        <f>MAX(Inputs!$E$44,MIN(C221,D221))</f>
        <v>0.7</v>
      </c>
      <c r="F221" s="35">
        <f>IF(Inputs!$E$50&lt;=0,Inputs!$E$49,Inputs!$E$48+(Inputs!$E$49-Inputs!$E$48)*MIN($A221/Inputs!$E$50,1))</f>
        <v>0.12</v>
      </c>
      <c r="G221" s="36">
        <f>(Inputs!$E$41*(1-E221*Inputs!$E$51)+Inputs!$E$42*(1-F221*Inputs!$E$51))/(Inputs!$E$41*(1-Inputs!$E$44*Inputs!$E$51)+Inputs!$E$42*(1-Inputs!$E$48*Inputs!$E$51))</f>
        <v>0.8423127463863338</v>
      </c>
      <c r="H221" s="35">
        <f>IF(Inputs!$E$53&lt;=0,Inputs!$E$52,Inputs!$E$52*MIN($A221/Inputs!$E$53,1))</f>
        <v>0.1</v>
      </c>
      <c r="I221" s="35">
        <f>IF(Inputs!$E$64&lt;=0,Inputs!$E$63,Inputs!$E$62+(Inputs!$E$63-Inputs!$E$62)*MIN($A221/Inputs!$E$64,1))</f>
        <v>0.03</v>
      </c>
      <c r="J221" s="37">
        <f>(E221-Inputs!$E$44)*Inputs!$E$45/Inputs!$E$60*Inputs!$E$61</f>
        <v>5999.9999999999991</v>
      </c>
      <c r="K221" s="29">
        <f t="shared" si="147"/>
        <v>0</v>
      </c>
      <c r="L221" s="29"/>
      <c r="M221" s="38">
        <f>MAX(0,MIN(Inputs!$B$36,R220,N221+O221+P221+Inputs!$B$6-Q220))</f>
        <v>0</v>
      </c>
      <c r="N221" s="38">
        <f>Inputs!$B$27*(1+Inputs!$B$28)^($A221/12)*IF(Inputs!$B$70=1,$G221,1)*(1-Inputs!$C$70*$H221*(1-Inputs!$E$54*Inputs!$B$70))*(1+$I221)*IF(Inputs!$B$29=0,1,(MAX(Q220,0)/Inputs!$B$6)^Inputs!$B$29)</f>
        <v>37182.267160527255</v>
      </c>
      <c r="O221" s="38">
        <f>Inputs!$B$32*Q220/Inputs!$B$6</f>
        <v>0</v>
      </c>
      <c r="P221" s="38">
        <f>Inputs!$B$33</f>
        <v>2500</v>
      </c>
      <c r="Q221" s="38">
        <f t="shared" si="148"/>
        <v>0</v>
      </c>
      <c r="R221" s="38">
        <f t="shared" si="149"/>
        <v>0</v>
      </c>
      <c r="S221" s="38">
        <f>Inputs!$B$19*(1-Inputs!$C$70*$H221)+Inputs!$B$21+Inputs!$B$70*$J221</f>
        <v>595000</v>
      </c>
      <c r="T221" s="38">
        <f t="shared" si="150"/>
        <v>-595000</v>
      </c>
      <c r="U221" s="38">
        <f t="shared" si="151"/>
        <v>1</v>
      </c>
      <c r="V221" s="38">
        <f>MAX(0,MIN(Inputs!$C$36,AA220,W221+X221+Y221+Inputs!$C$6-Z220))</f>
        <v>0</v>
      </c>
      <c r="W221" s="38">
        <f>Inputs!$C$27*(1+Inputs!$C$28)^($A221/12)*IF(Inputs!$B$70=1,$G221,1)*(1-Inputs!$C$70*$H221*(1-Inputs!$E$54*Inputs!$B$70))*(1+$I221)*IF(Inputs!$C$29=0,1,(MAX(Z220,0)/Inputs!$C$6)^Inputs!$C$29)</f>
        <v>0</v>
      </c>
      <c r="X221" s="38">
        <f>Inputs!$C$32*Z220/Inputs!$C$6</f>
        <v>0</v>
      </c>
      <c r="Y221" s="38">
        <f>Inputs!$C$33</f>
        <v>2000</v>
      </c>
      <c r="Z221" s="38">
        <f t="shared" si="152"/>
        <v>0</v>
      </c>
      <c r="AA221" s="38">
        <f t="shared" si="153"/>
        <v>0</v>
      </c>
      <c r="AB221" s="38">
        <f>Inputs!$C$19*(1-Inputs!$C$70*$H221)+Inputs!$C$21+Inputs!$B$70*$J221</f>
        <v>495000</v>
      </c>
      <c r="AC221" s="38">
        <f t="shared" si="154"/>
        <v>-495000</v>
      </c>
      <c r="AD221" s="38">
        <f t="shared" si="155"/>
        <v>1</v>
      </c>
      <c r="AE221" s="38">
        <f>MAX(0,MIN(Inputs!$D$36,AJ220,AF221+AG221+AH221+Inputs!$D$6-AI220))</f>
        <v>0</v>
      </c>
      <c r="AF221" s="38">
        <f>Inputs!$D$27*(1+Inputs!$D$28)^($A221/12)*IF(Inputs!$B$70=1,$G221,1)*(1-Inputs!$C$70*$H221*(1-Inputs!$E$54*Inputs!$B$70))*(1+$I221)*IF(Inputs!$D$29=0,1,(MAX(AI220,0)/Inputs!$D$6)^Inputs!$D$29)</f>
        <v>0</v>
      </c>
      <c r="AG221" s="38">
        <f>Inputs!$D$32*AI220/Inputs!$D$6</f>
        <v>0</v>
      </c>
      <c r="AH221" s="38">
        <f>Inputs!$D$33</f>
        <v>1500</v>
      </c>
      <c r="AI221" s="38">
        <f t="shared" si="156"/>
        <v>0</v>
      </c>
      <c r="AJ221" s="38">
        <f t="shared" si="157"/>
        <v>0</v>
      </c>
      <c r="AK221" s="38">
        <f>Inputs!$D$19*(1-Inputs!$C$70*$H221)+Inputs!$D$21+Inputs!$B$70*$J221</f>
        <v>404800</v>
      </c>
      <c r="AL221" s="38">
        <f t="shared" si="158"/>
        <v>-404800</v>
      </c>
      <c r="AM221" s="38">
        <f t="shared" si="159"/>
        <v>1</v>
      </c>
      <c r="AN221" s="38">
        <f>MAX(0,MIN(Inputs!$B$36,AS220,AO221+AP221+AQ221+Inputs!$B$6-AR220))</f>
        <v>0</v>
      </c>
      <c r="AO221" s="38">
        <f>Inputs!$B$27*(1+Inputs!$B$28)^($A221/12)*IF(Inputs!$B$71=1,$G221,1)*(1-Inputs!$C$71*$H221*(1-Inputs!$E$54*Inputs!$B$71))*(1+$I221)*IF(Inputs!$B$29=0,1,(MAX(AR220,0)/Inputs!$B$6)^Inputs!$B$29)</f>
        <v>31319.097568854104</v>
      </c>
      <c r="AP221" s="38">
        <f>Inputs!$B$32*AR220/Inputs!$B$6</f>
        <v>0</v>
      </c>
      <c r="AQ221" s="38">
        <f>Inputs!$B$33</f>
        <v>2500</v>
      </c>
      <c r="AR221" s="38">
        <f t="shared" si="160"/>
        <v>0</v>
      </c>
      <c r="AS221" s="38">
        <f t="shared" si="161"/>
        <v>0</v>
      </c>
      <c r="AT221" s="38">
        <f>Inputs!$B$19*(1-Inputs!$C$71*$H221)+Inputs!$B$21+Inputs!$B$71*$J221</f>
        <v>601000</v>
      </c>
      <c r="AU221" s="38">
        <f t="shared" si="162"/>
        <v>-601000</v>
      </c>
      <c r="AV221" s="38">
        <f t="shared" si="163"/>
        <v>1</v>
      </c>
      <c r="AW221" s="38">
        <f>MAX(0,MIN(Inputs!$C$36,BB220,AX221+AY221+AZ221+Inputs!$C$6-BA220))</f>
        <v>0</v>
      </c>
      <c r="AX221" s="38">
        <f>Inputs!$C$27*(1+Inputs!$C$28)^($A221/12)*IF(Inputs!$B$71=1,$G221,1)*(1-Inputs!$C$71*$H221*(1-Inputs!$E$54*Inputs!$B$71))*(1+$I221)*IF(Inputs!$C$29=0,1,(MAX(BA220,0)/Inputs!$C$6)^Inputs!$C$29)</f>
        <v>0</v>
      </c>
      <c r="AY221" s="38">
        <f>Inputs!$C$32*BA220/Inputs!$C$6</f>
        <v>0</v>
      </c>
      <c r="AZ221" s="38">
        <f>Inputs!$C$33</f>
        <v>2000</v>
      </c>
      <c r="BA221" s="38">
        <f t="shared" si="164"/>
        <v>0</v>
      </c>
      <c r="BB221" s="38">
        <f t="shared" si="165"/>
        <v>0</v>
      </c>
      <c r="BC221" s="38">
        <f>Inputs!$C$19*(1-Inputs!$C$71*$H221)+Inputs!$C$21+Inputs!$B$71*$J221</f>
        <v>501000</v>
      </c>
      <c r="BD221" s="38">
        <f t="shared" si="166"/>
        <v>-501000</v>
      </c>
      <c r="BE221" s="38">
        <f t="shared" si="167"/>
        <v>1</v>
      </c>
      <c r="BF221" s="38">
        <f>MAX(0,MIN(Inputs!$D$36,BK220,BG221+BH221+BI221+Inputs!$D$6-BJ220))</f>
        <v>0</v>
      </c>
      <c r="BG221" s="38">
        <f>Inputs!$D$27*(1+Inputs!$D$28)^($A221/12)*IF(Inputs!$B$71=1,$G221,1)*(1-Inputs!$C$71*$H221*(1-Inputs!$E$54*Inputs!$B$71))*(1+$I221)*IF(Inputs!$D$29=0,1,(MAX(BJ220,0)/Inputs!$D$6)^Inputs!$D$29)</f>
        <v>285.65676463559259</v>
      </c>
      <c r="BH221" s="38">
        <f>Inputs!$D$32*BJ220/Inputs!$D$6</f>
        <v>28.858073232484745</v>
      </c>
      <c r="BI221" s="38">
        <f>Inputs!$D$33</f>
        <v>1500</v>
      </c>
      <c r="BJ221" s="38">
        <f t="shared" si="168"/>
        <v>4231.9386013192025</v>
      </c>
      <c r="BK221" s="38">
        <f t="shared" si="169"/>
        <v>0</v>
      </c>
      <c r="BL221" s="38">
        <f>Inputs!$D$19*(1-Inputs!$C$71*$H221)+Inputs!$D$21+Inputs!$B$71*$J221</f>
        <v>410800</v>
      </c>
      <c r="BM221" s="38">
        <f t="shared" si="170"/>
        <v>-406568.06139868079</v>
      </c>
      <c r="BN221" s="38">
        <f t="shared" si="171"/>
        <v>1</v>
      </c>
      <c r="BO221" s="38">
        <f>MAX(0,MIN(Inputs!$B$36,BT220,BP221+BQ221+BR221+Inputs!$B$6-BS220))</f>
        <v>0</v>
      </c>
      <c r="BP221" s="38">
        <f>Inputs!$B$27*(1+Inputs!$B$28)^($A221/12)*IF(Inputs!$B$72=1,$G221,1)*(1-Inputs!$C$72*$H221*(1-Inputs!$E$54*Inputs!$B$72))*(1+$I221)*IF(Inputs!$B$29=0,1,(MAX(BS220,0)/Inputs!$B$6)^Inputs!$B$29)</f>
        <v>33464.040444474529</v>
      </c>
      <c r="BQ221" s="38">
        <f>Inputs!$B$32*BS220/Inputs!$B$6</f>
        <v>0</v>
      </c>
      <c r="BR221" s="38">
        <f>Inputs!$B$33</f>
        <v>2500</v>
      </c>
      <c r="BS221" s="38">
        <f t="shared" si="172"/>
        <v>0</v>
      </c>
      <c r="BT221" s="38">
        <f t="shared" si="173"/>
        <v>0</v>
      </c>
      <c r="BU221" s="38">
        <f>Inputs!$B$19*(1-Inputs!$C$72*$H221)+Inputs!$B$21+Inputs!$B$72*$J221</f>
        <v>577500</v>
      </c>
      <c r="BV221" s="38">
        <f t="shared" si="174"/>
        <v>-577500</v>
      </c>
      <c r="BW221" s="38">
        <f t="shared" si="175"/>
        <v>1</v>
      </c>
      <c r="BX221" s="38">
        <f>MAX(0,MIN(Inputs!$C$36,CC220,BY221+BZ221+CA221+Inputs!$C$6-CB220))</f>
        <v>0</v>
      </c>
      <c r="BY221" s="38">
        <f>Inputs!$C$27*(1+Inputs!$C$28)^($A221/12)*IF(Inputs!$B$72=1,$G221,1)*(1-Inputs!$C$72*$H221*(1-Inputs!$E$54*Inputs!$B$72))*(1+$I221)*IF(Inputs!$C$29=0,1,(MAX(CB220,0)/Inputs!$C$6)^Inputs!$C$29)</f>
        <v>0</v>
      </c>
      <c r="BZ221" s="38">
        <f>Inputs!$C$32*CB220/Inputs!$C$6</f>
        <v>0</v>
      </c>
      <c r="CA221" s="38">
        <f>Inputs!$C$33</f>
        <v>2000</v>
      </c>
      <c r="CB221" s="38">
        <f t="shared" si="176"/>
        <v>0</v>
      </c>
      <c r="CC221" s="38">
        <f t="shared" si="177"/>
        <v>0</v>
      </c>
      <c r="CD221" s="38">
        <f>Inputs!$C$19*(1-Inputs!$C$72*$H221)+Inputs!$C$21+Inputs!$B$72*$J221</f>
        <v>480000</v>
      </c>
      <c r="CE221" s="38">
        <f t="shared" si="178"/>
        <v>-480000</v>
      </c>
      <c r="CF221" s="38">
        <f t="shared" si="179"/>
        <v>1</v>
      </c>
      <c r="CG221" s="38">
        <f>MAX(0,MIN(Inputs!$D$36,CL220,CH221+CI221+CJ221+Inputs!$D$6-CK220))</f>
        <v>0</v>
      </c>
      <c r="CH221" s="38">
        <f>Inputs!$D$27*(1+Inputs!$D$28)^($A221/12)*IF(Inputs!$B$72=1,$G221,1)*(1-Inputs!$C$72*$H221*(1-Inputs!$E$54*Inputs!$B$72))*(1+$I221)*IF(Inputs!$D$29=0,1,(MAX(CK220,0)/Inputs!$D$6)^Inputs!$D$29)</f>
        <v>0</v>
      </c>
      <c r="CI221" s="38">
        <f>Inputs!$D$32*CK220/Inputs!$D$6</f>
        <v>0</v>
      </c>
      <c r="CJ221" s="38">
        <f>Inputs!$D$33</f>
        <v>1500</v>
      </c>
      <c r="CK221" s="38">
        <f t="shared" si="180"/>
        <v>0</v>
      </c>
      <c r="CL221" s="38">
        <f t="shared" si="181"/>
        <v>0</v>
      </c>
      <c r="CM221" s="38">
        <f>Inputs!$D$19*(1-Inputs!$C$72*$H221)+Inputs!$D$21+Inputs!$B$72*$J221</f>
        <v>392150</v>
      </c>
      <c r="CN221" s="38">
        <f t="shared" si="182"/>
        <v>-392150</v>
      </c>
      <c r="CO221" s="38">
        <f t="shared" si="183"/>
        <v>1</v>
      </c>
      <c r="CP221" s="38">
        <f>MAX(0,MIN(Inputs!$B$36,CU220,CQ221+CR221+CS221+Inputs!$B$6-CT220))</f>
        <v>0</v>
      </c>
      <c r="CQ221" s="38">
        <f>Inputs!$B$27*(1+Inputs!$B$28)^($A221/12)*IF(Inputs!$B$73=1,$G221,1)*(1-Inputs!$C$73*$H221*(1-Inputs!$E$54*Inputs!$B$73))*(1+$I221)*IF(Inputs!$B$29=0,1,(MAX(CT220,0)/Inputs!$B$6)^Inputs!$B$29)</f>
        <v>29753.142690411394</v>
      </c>
      <c r="CR221" s="38">
        <f>Inputs!$B$32*CT220/Inputs!$B$6</f>
        <v>0</v>
      </c>
      <c r="CS221" s="38">
        <f>Inputs!$B$33</f>
        <v>2500</v>
      </c>
      <c r="CT221" s="38">
        <f t="shared" si="184"/>
        <v>0</v>
      </c>
      <c r="CU221" s="38">
        <f t="shared" si="185"/>
        <v>0</v>
      </c>
      <c r="CV221" s="38">
        <f>Inputs!$B$19*(1-Inputs!$C$73*$H221)+Inputs!$B$21+Inputs!$B$73*$J221</f>
        <v>583500</v>
      </c>
      <c r="CW221" s="38">
        <f t="shared" si="186"/>
        <v>-583500</v>
      </c>
      <c r="CX221" s="38">
        <f t="shared" si="187"/>
        <v>1</v>
      </c>
      <c r="CY221" s="38">
        <f>MAX(0,MIN(Inputs!$C$36,DD220,CZ221+DA221+DB221+Inputs!$C$6-DC220))</f>
        <v>0</v>
      </c>
      <c r="CZ221" s="38">
        <f>Inputs!$C$27*(1+Inputs!$C$28)^($A221/12)*IF(Inputs!$B$73=1,$G221,1)*(1-Inputs!$C$73*$H221*(1-Inputs!$E$54*Inputs!$B$73))*(1+$I221)*IF(Inputs!$C$29=0,1,(MAX(DC220,0)/Inputs!$C$6)^Inputs!$C$29)</f>
        <v>0</v>
      </c>
      <c r="DA221" s="38">
        <f>Inputs!$C$32*DC220/Inputs!$C$6</f>
        <v>0</v>
      </c>
      <c r="DB221" s="38">
        <f>Inputs!$C$33</f>
        <v>2000</v>
      </c>
      <c r="DC221" s="38">
        <f t="shared" si="188"/>
        <v>0</v>
      </c>
      <c r="DD221" s="38">
        <f t="shared" si="189"/>
        <v>0</v>
      </c>
      <c r="DE221" s="38">
        <f>Inputs!$C$19*(1-Inputs!$C$73*$H221)+Inputs!$C$21+Inputs!$B$73*$J221</f>
        <v>486000</v>
      </c>
      <c r="DF221" s="38">
        <f t="shared" si="190"/>
        <v>-486000</v>
      </c>
      <c r="DG221" s="38">
        <f t="shared" si="191"/>
        <v>1</v>
      </c>
      <c r="DH221" s="38">
        <f>MAX(0,MIN(Inputs!$D$36,DM220,DI221+DJ221+DK221+Inputs!$D$6-DL220))</f>
        <v>0</v>
      </c>
      <c r="DI221" s="38">
        <f>Inputs!$D$27*(1+Inputs!$D$28)^($A221/12)*IF(Inputs!$B$73=1,$G221,1)*(1-Inputs!$C$73*$H221*(1-Inputs!$E$54*Inputs!$B$73))*(1+$I221)*IF(Inputs!$D$29=0,1,(MAX(DL220,0)/Inputs!$D$6)^Inputs!$D$29)</f>
        <v>458.19766828513173</v>
      </c>
      <c r="DJ221" s="38">
        <f>Inputs!$D$32*DL220/Inputs!$D$6</f>
        <v>82.269118527779085</v>
      </c>
      <c r="DK221" s="38">
        <f>Inputs!$D$33</f>
        <v>1500</v>
      </c>
      <c r="DL221" s="38">
        <f t="shared" si="192"/>
        <v>15196.872333293184</v>
      </c>
      <c r="DM221" s="38">
        <f t="shared" si="193"/>
        <v>0</v>
      </c>
      <c r="DN221" s="38">
        <f>Inputs!$D$19*(1-Inputs!$C$73*$H221)+Inputs!$D$21+Inputs!$B$73*$J221</f>
        <v>398150</v>
      </c>
      <c r="DO221" s="38">
        <f t="shared" si="194"/>
        <v>-382953.1276667068</v>
      </c>
      <c r="DP221" s="38">
        <f t="shared" si="195"/>
        <v>1</v>
      </c>
    </row>
    <row r="222" spans="1:120" x14ac:dyDescent="0.35">
      <c r="A222" s="29">
        <v>217</v>
      </c>
      <c r="B222" s="34">
        <f>EDATE(Inputs!$B$67,$A222)</f>
        <v>52871</v>
      </c>
      <c r="C222" s="35">
        <f>IF(Inputs!$E$47&lt;=0,Inputs!$E$46,Inputs!$E$44+(Inputs!$E$46-Inputs!$E$44)*MIN($A222/Inputs!$E$47,1))</f>
        <v>0.7</v>
      </c>
      <c r="D222" s="35">
        <f>MIN(Inputs!$E$57,Inputs!$E$55*(1+Inputs!$E$56)^($A222/12))*Inputs!$E$58*(1+Inputs!$E$59)^($A222/12)/Inputs!$E$45</f>
        <v>1.5</v>
      </c>
      <c r="E222" s="35">
        <f>MAX(Inputs!$E$44,MIN(C222,D222))</f>
        <v>0.7</v>
      </c>
      <c r="F222" s="35">
        <f>IF(Inputs!$E$50&lt;=0,Inputs!$E$49,Inputs!$E$48+(Inputs!$E$49-Inputs!$E$48)*MIN($A222/Inputs!$E$50,1))</f>
        <v>0.12</v>
      </c>
      <c r="G222" s="36">
        <f>(Inputs!$E$41*(1-E222*Inputs!$E$51)+Inputs!$E$42*(1-F222*Inputs!$E$51))/(Inputs!$E$41*(1-Inputs!$E$44*Inputs!$E$51)+Inputs!$E$42*(1-Inputs!$E$48*Inputs!$E$51))</f>
        <v>0.8423127463863338</v>
      </c>
      <c r="H222" s="35">
        <f>IF(Inputs!$E$53&lt;=0,Inputs!$E$52,Inputs!$E$52*MIN($A222/Inputs!$E$53,1))</f>
        <v>0.1</v>
      </c>
      <c r="I222" s="35">
        <f>IF(Inputs!$E$64&lt;=0,Inputs!$E$63,Inputs!$E$62+(Inputs!$E$63-Inputs!$E$62)*MIN($A222/Inputs!$E$64,1))</f>
        <v>0.03</v>
      </c>
      <c r="J222" s="37">
        <f>(E222-Inputs!$E$44)*Inputs!$E$45/Inputs!$E$60*Inputs!$E$61</f>
        <v>5999.9999999999991</v>
      </c>
      <c r="K222" s="29">
        <f t="shared" si="147"/>
        <v>0</v>
      </c>
      <c r="L222" s="29"/>
      <c r="M222" s="38">
        <f>MAX(0,MIN(Inputs!$B$36,R221,N222+O222+P222+Inputs!$B$6-Q221))</f>
        <v>0</v>
      </c>
      <c r="N222" s="38">
        <f>Inputs!$B$27*(1+Inputs!$B$28)^($A222/12)*IF(Inputs!$B$70=1,$G222,1)*(1-Inputs!$C$70*$H222*(1-Inputs!$E$54*Inputs!$B$70))*(1+$I222)*IF(Inputs!$B$29=0,1,(MAX(Q221,0)/Inputs!$B$6)^Inputs!$B$29)</f>
        <v>37333.752319495943</v>
      </c>
      <c r="O222" s="38">
        <f>Inputs!$B$32*Q221/Inputs!$B$6</f>
        <v>0</v>
      </c>
      <c r="P222" s="38">
        <f>Inputs!$B$33</f>
        <v>2500</v>
      </c>
      <c r="Q222" s="38">
        <f t="shared" si="148"/>
        <v>0</v>
      </c>
      <c r="R222" s="38">
        <f t="shared" si="149"/>
        <v>0</v>
      </c>
      <c r="S222" s="38">
        <f>Inputs!$B$19*(1-Inputs!$C$70*$H222)+Inputs!$B$21+Inputs!$B$70*$J222</f>
        <v>595000</v>
      </c>
      <c r="T222" s="38">
        <f t="shared" si="150"/>
        <v>-595000</v>
      </c>
      <c r="U222" s="38">
        <f t="shared" si="151"/>
        <v>1</v>
      </c>
      <c r="V222" s="38">
        <f>MAX(0,MIN(Inputs!$C$36,AA221,W222+X222+Y222+Inputs!$C$6-Z221))</f>
        <v>0</v>
      </c>
      <c r="W222" s="38">
        <f>Inputs!$C$27*(1+Inputs!$C$28)^($A222/12)*IF(Inputs!$B$70=1,$G222,1)*(1-Inputs!$C$70*$H222*(1-Inputs!$E$54*Inputs!$B$70))*(1+$I222)*IF(Inputs!$C$29=0,1,(MAX(Z221,0)/Inputs!$C$6)^Inputs!$C$29)</f>
        <v>0</v>
      </c>
      <c r="X222" s="38">
        <f>Inputs!$C$32*Z221/Inputs!$C$6</f>
        <v>0</v>
      </c>
      <c r="Y222" s="38">
        <f>Inputs!$C$33</f>
        <v>2000</v>
      </c>
      <c r="Z222" s="38">
        <f t="shared" si="152"/>
        <v>0</v>
      </c>
      <c r="AA222" s="38">
        <f t="shared" si="153"/>
        <v>0</v>
      </c>
      <c r="AB222" s="38">
        <f>Inputs!$C$19*(1-Inputs!$C$70*$H222)+Inputs!$C$21+Inputs!$B$70*$J222</f>
        <v>495000</v>
      </c>
      <c r="AC222" s="38">
        <f t="shared" si="154"/>
        <v>-495000</v>
      </c>
      <c r="AD222" s="38">
        <f t="shared" si="155"/>
        <v>1</v>
      </c>
      <c r="AE222" s="38">
        <f>MAX(0,MIN(Inputs!$D$36,AJ221,AF222+AG222+AH222+Inputs!$D$6-AI221))</f>
        <v>0</v>
      </c>
      <c r="AF222" s="38">
        <f>Inputs!$D$27*(1+Inputs!$D$28)^($A222/12)*IF(Inputs!$B$70=1,$G222,1)*(1-Inputs!$C$70*$H222*(1-Inputs!$E$54*Inputs!$B$70))*(1+$I222)*IF(Inputs!$D$29=0,1,(MAX(AI221,0)/Inputs!$D$6)^Inputs!$D$29)</f>
        <v>0</v>
      </c>
      <c r="AG222" s="38">
        <f>Inputs!$D$32*AI221/Inputs!$D$6</f>
        <v>0</v>
      </c>
      <c r="AH222" s="38">
        <f>Inputs!$D$33</f>
        <v>1500</v>
      </c>
      <c r="AI222" s="38">
        <f t="shared" si="156"/>
        <v>0</v>
      </c>
      <c r="AJ222" s="38">
        <f t="shared" si="157"/>
        <v>0</v>
      </c>
      <c r="AK222" s="38">
        <f>Inputs!$D$19*(1-Inputs!$C$70*$H222)+Inputs!$D$21+Inputs!$B$70*$J222</f>
        <v>404800</v>
      </c>
      <c r="AL222" s="38">
        <f t="shared" si="158"/>
        <v>-404800</v>
      </c>
      <c r="AM222" s="38">
        <f t="shared" si="159"/>
        <v>1</v>
      </c>
      <c r="AN222" s="38">
        <f>MAX(0,MIN(Inputs!$B$36,AS221,AO222+AP222+AQ222+Inputs!$B$6-AR221))</f>
        <v>0</v>
      </c>
      <c r="AO222" s="38">
        <f>Inputs!$B$27*(1+Inputs!$B$28)^($A222/12)*IF(Inputs!$B$71=1,$G222,1)*(1-Inputs!$C$71*$H222*(1-Inputs!$E$54*Inputs!$B$71))*(1+$I222)*IF(Inputs!$B$29=0,1,(MAX(AR221,0)/Inputs!$B$6)^Inputs!$B$29)</f>
        <v>31446.695449141789</v>
      </c>
      <c r="AP222" s="38">
        <f>Inputs!$B$32*AR221/Inputs!$B$6</f>
        <v>0</v>
      </c>
      <c r="AQ222" s="38">
        <f>Inputs!$B$33</f>
        <v>2500</v>
      </c>
      <c r="AR222" s="38">
        <f t="shared" si="160"/>
        <v>0</v>
      </c>
      <c r="AS222" s="38">
        <f t="shared" si="161"/>
        <v>0</v>
      </c>
      <c r="AT222" s="38">
        <f>Inputs!$B$19*(1-Inputs!$C$71*$H222)+Inputs!$B$21+Inputs!$B$71*$J222</f>
        <v>601000</v>
      </c>
      <c r="AU222" s="38">
        <f t="shared" si="162"/>
        <v>-601000</v>
      </c>
      <c r="AV222" s="38">
        <f t="shared" si="163"/>
        <v>1</v>
      </c>
      <c r="AW222" s="38">
        <f>MAX(0,MIN(Inputs!$C$36,BB221,AX222+AY222+AZ222+Inputs!$C$6-BA221))</f>
        <v>0</v>
      </c>
      <c r="AX222" s="38">
        <f>Inputs!$C$27*(1+Inputs!$C$28)^($A222/12)*IF(Inputs!$B$71=1,$G222,1)*(1-Inputs!$C$71*$H222*(1-Inputs!$E$54*Inputs!$B$71))*(1+$I222)*IF(Inputs!$C$29=0,1,(MAX(BA221,0)/Inputs!$C$6)^Inputs!$C$29)</f>
        <v>0</v>
      </c>
      <c r="AY222" s="38">
        <f>Inputs!$C$32*BA221/Inputs!$C$6</f>
        <v>0</v>
      </c>
      <c r="AZ222" s="38">
        <f>Inputs!$C$33</f>
        <v>2000</v>
      </c>
      <c r="BA222" s="38">
        <f t="shared" si="164"/>
        <v>0</v>
      </c>
      <c r="BB222" s="38">
        <f t="shared" si="165"/>
        <v>0</v>
      </c>
      <c r="BC222" s="38">
        <f>Inputs!$C$19*(1-Inputs!$C$71*$H222)+Inputs!$C$21+Inputs!$B$71*$J222</f>
        <v>501000</v>
      </c>
      <c r="BD222" s="38">
        <f t="shared" si="166"/>
        <v>-501000</v>
      </c>
      <c r="BE222" s="38">
        <f t="shared" si="167"/>
        <v>1</v>
      </c>
      <c r="BF222" s="38">
        <f>MAX(0,MIN(Inputs!$D$36,BK221,BG222+BH222+BI222+Inputs!$D$6-BJ221))</f>
        <v>0</v>
      </c>
      <c r="BG222" s="38">
        <f>Inputs!$D$27*(1+Inputs!$D$28)^($A222/12)*IF(Inputs!$B$71=1,$G222,1)*(1-Inputs!$C$71*$H222*(1-Inputs!$E$54*Inputs!$B$71))*(1+$I222)*IF(Inputs!$D$29=0,1,(MAX(BJ221,0)/Inputs!$D$6)^Inputs!$D$29)</f>
        <v>237.96192276595806</v>
      </c>
      <c r="BH222" s="38">
        <f>Inputs!$D$32*BJ221/Inputs!$D$6</f>
        <v>20.197888779023469</v>
      </c>
      <c r="BI222" s="38">
        <f>Inputs!$D$33</f>
        <v>1500</v>
      </c>
      <c r="BJ222" s="38">
        <f t="shared" si="168"/>
        <v>2473.778789774221</v>
      </c>
      <c r="BK222" s="38">
        <f t="shared" si="169"/>
        <v>0</v>
      </c>
      <c r="BL222" s="38">
        <f>Inputs!$D$19*(1-Inputs!$C$71*$H222)+Inputs!$D$21+Inputs!$B$71*$J222</f>
        <v>410800</v>
      </c>
      <c r="BM222" s="38">
        <f t="shared" si="170"/>
        <v>-408326.22121022578</v>
      </c>
      <c r="BN222" s="38">
        <f t="shared" si="171"/>
        <v>1</v>
      </c>
      <c r="BO222" s="38">
        <f>MAX(0,MIN(Inputs!$B$36,BT221,BP222+BQ222+BR222+Inputs!$B$6-BS221))</f>
        <v>0</v>
      </c>
      <c r="BP222" s="38">
        <f>Inputs!$B$27*(1+Inputs!$B$28)^($A222/12)*IF(Inputs!$B$72=1,$G222,1)*(1-Inputs!$C$72*$H222*(1-Inputs!$E$54*Inputs!$B$72))*(1+$I222)*IF(Inputs!$B$29=0,1,(MAX(BS221,0)/Inputs!$B$6)^Inputs!$B$29)</f>
        <v>33600.377087546352</v>
      </c>
      <c r="BQ222" s="38">
        <f>Inputs!$B$32*BS221/Inputs!$B$6</f>
        <v>0</v>
      </c>
      <c r="BR222" s="38">
        <f>Inputs!$B$33</f>
        <v>2500</v>
      </c>
      <c r="BS222" s="38">
        <f t="shared" si="172"/>
        <v>0</v>
      </c>
      <c r="BT222" s="38">
        <f t="shared" si="173"/>
        <v>0</v>
      </c>
      <c r="BU222" s="38">
        <f>Inputs!$B$19*(1-Inputs!$C$72*$H222)+Inputs!$B$21+Inputs!$B$72*$J222</f>
        <v>577500</v>
      </c>
      <c r="BV222" s="38">
        <f t="shared" si="174"/>
        <v>-577500</v>
      </c>
      <c r="BW222" s="38">
        <f t="shared" si="175"/>
        <v>1</v>
      </c>
      <c r="BX222" s="38">
        <f>MAX(0,MIN(Inputs!$C$36,CC221,BY222+BZ222+CA222+Inputs!$C$6-CB221))</f>
        <v>0</v>
      </c>
      <c r="BY222" s="38">
        <f>Inputs!$C$27*(1+Inputs!$C$28)^($A222/12)*IF(Inputs!$B$72=1,$G222,1)*(1-Inputs!$C$72*$H222*(1-Inputs!$E$54*Inputs!$B$72))*(1+$I222)*IF(Inputs!$C$29=0,1,(MAX(CB221,0)/Inputs!$C$6)^Inputs!$C$29)</f>
        <v>0</v>
      </c>
      <c r="BZ222" s="38">
        <f>Inputs!$C$32*CB221/Inputs!$C$6</f>
        <v>0</v>
      </c>
      <c r="CA222" s="38">
        <f>Inputs!$C$33</f>
        <v>2000</v>
      </c>
      <c r="CB222" s="38">
        <f t="shared" si="176"/>
        <v>0</v>
      </c>
      <c r="CC222" s="38">
        <f t="shared" si="177"/>
        <v>0</v>
      </c>
      <c r="CD222" s="38">
        <f>Inputs!$C$19*(1-Inputs!$C$72*$H222)+Inputs!$C$21+Inputs!$B$72*$J222</f>
        <v>480000</v>
      </c>
      <c r="CE222" s="38">
        <f t="shared" si="178"/>
        <v>-480000</v>
      </c>
      <c r="CF222" s="38">
        <f t="shared" si="179"/>
        <v>1</v>
      </c>
      <c r="CG222" s="38">
        <f>MAX(0,MIN(Inputs!$D$36,CL221,CH222+CI222+CJ222+Inputs!$D$6-CK221))</f>
        <v>0</v>
      </c>
      <c r="CH222" s="38">
        <f>Inputs!$D$27*(1+Inputs!$D$28)^($A222/12)*IF(Inputs!$B$72=1,$G222,1)*(1-Inputs!$C$72*$H222*(1-Inputs!$E$54*Inputs!$B$72))*(1+$I222)*IF(Inputs!$D$29=0,1,(MAX(CK221,0)/Inputs!$D$6)^Inputs!$D$29)</f>
        <v>0</v>
      </c>
      <c r="CI222" s="38">
        <f>Inputs!$D$32*CK221/Inputs!$D$6</f>
        <v>0</v>
      </c>
      <c r="CJ222" s="38">
        <f>Inputs!$D$33</f>
        <v>1500</v>
      </c>
      <c r="CK222" s="38">
        <f t="shared" si="180"/>
        <v>0</v>
      </c>
      <c r="CL222" s="38">
        <f t="shared" si="181"/>
        <v>0</v>
      </c>
      <c r="CM222" s="38">
        <f>Inputs!$D$19*(1-Inputs!$C$72*$H222)+Inputs!$D$21+Inputs!$B$72*$J222</f>
        <v>392150</v>
      </c>
      <c r="CN222" s="38">
        <f t="shared" si="182"/>
        <v>-392150</v>
      </c>
      <c r="CO222" s="38">
        <f t="shared" si="183"/>
        <v>1</v>
      </c>
      <c r="CP222" s="38">
        <f>MAX(0,MIN(Inputs!$B$36,CU221,CQ222+CR222+CS222+Inputs!$B$6-CT221))</f>
        <v>0</v>
      </c>
      <c r="CQ222" s="38">
        <f>Inputs!$B$27*(1+Inputs!$B$28)^($A222/12)*IF(Inputs!$B$73=1,$G222,1)*(1-Inputs!$C$73*$H222*(1-Inputs!$E$54*Inputs!$B$73))*(1+$I222)*IF(Inputs!$B$29=0,1,(MAX(CT221,0)/Inputs!$B$6)^Inputs!$B$29)</f>
        <v>29874.360676684701</v>
      </c>
      <c r="CR222" s="38">
        <f>Inputs!$B$32*CT221/Inputs!$B$6</f>
        <v>0</v>
      </c>
      <c r="CS222" s="38">
        <f>Inputs!$B$33</f>
        <v>2500</v>
      </c>
      <c r="CT222" s="38">
        <f t="shared" si="184"/>
        <v>0</v>
      </c>
      <c r="CU222" s="38">
        <f t="shared" si="185"/>
        <v>0</v>
      </c>
      <c r="CV222" s="38">
        <f>Inputs!$B$19*(1-Inputs!$C$73*$H222)+Inputs!$B$21+Inputs!$B$73*$J222</f>
        <v>583500</v>
      </c>
      <c r="CW222" s="38">
        <f t="shared" si="186"/>
        <v>-583500</v>
      </c>
      <c r="CX222" s="38">
        <f t="shared" si="187"/>
        <v>1</v>
      </c>
      <c r="CY222" s="38">
        <f>MAX(0,MIN(Inputs!$C$36,DD221,CZ222+DA222+DB222+Inputs!$C$6-DC221))</f>
        <v>0</v>
      </c>
      <c r="CZ222" s="38">
        <f>Inputs!$C$27*(1+Inputs!$C$28)^($A222/12)*IF(Inputs!$B$73=1,$G222,1)*(1-Inputs!$C$73*$H222*(1-Inputs!$E$54*Inputs!$B$73))*(1+$I222)*IF(Inputs!$C$29=0,1,(MAX(DC221,0)/Inputs!$C$6)^Inputs!$C$29)</f>
        <v>0</v>
      </c>
      <c r="DA222" s="38">
        <f>Inputs!$C$32*DC221/Inputs!$C$6</f>
        <v>0</v>
      </c>
      <c r="DB222" s="38">
        <f>Inputs!$C$33</f>
        <v>2000</v>
      </c>
      <c r="DC222" s="38">
        <f t="shared" si="188"/>
        <v>0</v>
      </c>
      <c r="DD222" s="38">
        <f t="shared" si="189"/>
        <v>0</v>
      </c>
      <c r="DE222" s="38">
        <f>Inputs!$C$19*(1-Inputs!$C$73*$H222)+Inputs!$C$21+Inputs!$B$73*$J222</f>
        <v>486000</v>
      </c>
      <c r="DF222" s="38">
        <f t="shared" si="190"/>
        <v>-486000</v>
      </c>
      <c r="DG222" s="38">
        <f t="shared" si="191"/>
        <v>1</v>
      </c>
      <c r="DH222" s="38">
        <f>MAX(0,MIN(Inputs!$D$36,DM221,DI222+DJ222+DK222+Inputs!$D$6-DL221))</f>
        <v>0</v>
      </c>
      <c r="DI222" s="38">
        <f>Inputs!$D$27*(1+Inputs!$D$28)^($A222/12)*IF(Inputs!$B$73=1,$G222,1)*(1-Inputs!$C$73*$H222*(1-Inputs!$E$54*Inputs!$B$73))*(1+$I222)*IF(Inputs!$D$29=0,1,(MAX(DL221,0)/Inputs!$D$6)^Inputs!$D$29)</f>
        <v>428.38918987832983</v>
      </c>
      <c r="DJ222" s="38">
        <f>Inputs!$D$32*DL221/Inputs!$D$6</f>
        <v>72.530527045262929</v>
      </c>
      <c r="DK222" s="38">
        <f>Inputs!$D$33</f>
        <v>1500</v>
      </c>
      <c r="DL222" s="38">
        <f t="shared" si="192"/>
        <v>13195.952616369592</v>
      </c>
      <c r="DM222" s="38">
        <f t="shared" si="193"/>
        <v>0</v>
      </c>
      <c r="DN222" s="38">
        <f>Inputs!$D$19*(1-Inputs!$C$73*$H222)+Inputs!$D$21+Inputs!$B$73*$J222</f>
        <v>398150</v>
      </c>
      <c r="DO222" s="38">
        <f t="shared" si="194"/>
        <v>-384954.04738363042</v>
      </c>
      <c r="DP222" s="38">
        <f t="shared" si="195"/>
        <v>1</v>
      </c>
    </row>
    <row r="223" spans="1:120" x14ac:dyDescent="0.35">
      <c r="A223" s="29">
        <v>218</v>
      </c>
      <c r="B223" s="34">
        <f>EDATE(Inputs!$B$67,$A223)</f>
        <v>52902</v>
      </c>
      <c r="C223" s="35">
        <f>IF(Inputs!$E$47&lt;=0,Inputs!$E$46,Inputs!$E$44+(Inputs!$E$46-Inputs!$E$44)*MIN($A223/Inputs!$E$47,1))</f>
        <v>0.7</v>
      </c>
      <c r="D223" s="35">
        <f>MIN(Inputs!$E$57,Inputs!$E$55*(1+Inputs!$E$56)^($A223/12))*Inputs!$E$58*(1+Inputs!$E$59)^($A223/12)/Inputs!$E$45</f>
        <v>1.5</v>
      </c>
      <c r="E223" s="35">
        <f>MAX(Inputs!$E$44,MIN(C223,D223))</f>
        <v>0.7</v>
      </c>
      <c r="F223" s="35">
        <f>IF(Inputs!$E$50&lt;=0,Inputs!$E$49,Inputs!$E$48+(Inputs!$E$49-Inputs!$E$48)*MIN($A223/Inputs!$E$50,1))</f>
        <v>0.12</v>
      </c>
      <c r="G223" s="36">
        <f>(Inputs!$E$41*(1-E223*Inputs!$E$51)+Inputs!$E$42*(1-F223*Inputs!$E$51))/(Inputs!$E$41*(1-Inputs!$E$44*Inputs!$E$51)+Inputs!$E$42*(1-Inputs!$E$48*Inputs!$E$51))</f>
        <v>0.8423127463863338</v>
      </c>
      <c r="H223" s="35">
        <f>IF(Inputs!$E$53&lt;=0,Inputs!$E$52,Inputs!$E$52*MIN($A223/Inputs!$E$53,1))</f>
        <v>0.1</v>
      </c>
      <c r="I223" s="35">
        <f>IF(Inputs!$E$64&lt;=0,Inputs!$E$63,Inputs!$E$62+(Inputs!$E$63-Inputs!$E$62)*MIN($A223/Inputs!$E$64,1))</f>
        <v>0.03</v>
      </c>
      <c r="J223" s="37">
        <f>(E223-Inputs!$E$44)*Inputs!$E$45/Inputs!$E$60*Inputs!$E$61</f>
        <v>5999.9999999999991</v>
      </c>
      <c r="K223" s="29">
        <f t="shared" si="147"/>
        <v>0</v>
      </c>
      <c r="L223" s="29"/>
      <c r="M223" s="38">
        <f>MAX(0,MIN(Inputs!$B$36,R222,N223+O223+P223+Inputs!$B$6-Q222))</f>
        <v>0</v>
      </c>
      <c r="N223" s="38">
        <f>Inputs!$B$27*(1+Inputs!$B$28)^($A223/12)*IF(Inputs!$B$70=1,$G223,1)*(1-Inputs!$C$70*$H223*(1-Inputs!$E$54*Inputs!$B$70))*(1+$I223)*IF(Inputs!$B$29=0,1,(MAX(Q222,0)/Inputs!$B$6)^Inputs!$B$29)</f>
        <v>37485.854647753644</v>
      </c>
      <c r="O223" s="38">
        <f>Inputs!$B$32*Q222/Inputs!$B$6</f>
        <v>0</v>
      </c>
      <c r="P223" s="38">
        <f>Inputs!$B$33</f>
        <v>2500</v>
      </c>
      <c r="Q223" s="38">
        <f t="shared" si="148"/>
        <v>0</v>
      </c>
      <c r="R223" s="38">
        <f t="shared" si="149"/>
        <v>0</v>
      </c>
      <c r="S223" s="38">
        <f>Inputs!$B$19*(1-Inputs!$C$70*$H223)+Inputs!$B$21+Inputs!$B$70*$J223</f>
        <v>595000</v>
      </c>
      <c r="T223" s="38">
        <f t="shared" si="150"/>
        <v>-595000</v>
      </c>
      <c r="U223" s="38">
        <f t="shared" si="151"/>
        <v>1</v>
      </c>
      <c r="V223" s="38">
        <f>MAX(0,MIN(Inputs!$C$36,AA222,W223+X223+Y223+Inputs!$C$6-Z222))</f>
        <v>0</v>
      </c>
      <c r="W223" s="38">
        <f>Inputs!$C$27*(1+Inputs!$C$28)^($A223/12)*IF(Inputs!$B$70=1,$G223,1)*(1-Inputs!$C$70*$H223*(1-Inputs!$E$54*Inputs!$B$70))*(1+$I223)*IF(Inputs!$C$29=0,1,(MAX(Z222,0)/Inputs!$C$6)^Inputs!$C$29)</f>
        <v>0</v>
      </c>
      <c r="X223" s="38">
        <f>Inputs!$C$32*Z222/Inputs!$C$6</f>
        <v>0</v>
      </c>
      <c r="Y223" s="38">
        <f>Inputs!$C$33</f>
        <v>2000</v>
      </c>
      <c r="Z223" s="38">
        <f t="shared" si="152"/>
        <v>0</v>
      </c>
      <c r="AA223" s="38">
        <f t="shared" si="153"/>
        <v>0</v>
      </c>
      <c r="AB223" s="38">
        <f>Inputs!$C$19*(1-Inputs!$C$70*$H223)+Inputs!$C$21+Inputs!$B$70*$J223</f>
        <v>495000</v>
      </c>
      <c r="AC223" s="38">
        <f t="shared" si="154"/>
        <v>-495000</v>
      </c>
      <c r="AD223" s="38">
        <f t="shared" si="155"/>
        <v>1</v>
      </c>
      <c r="AE223" s="38">
        <f>MAX(0,MIN(Inputs!$D$36,AJ222,AF223+AG223+AH223+Inputs!$D$6-AI222))</f>
        <v>0</v>
      </c>
      <c r="AF223" s="38">
        <f>Inputs!$D$27*(1+Inputs!$D$28)^($A223/12)*IF(Inputs!$B$70=1,$G223,1)*(1-Inputs!$C$70*$H223*(1-Inputs!$E$54*Inputs!$B$70))*(1+$I223)*IF(Inputs!$D$29=0,1,(MAX(AI222,0)/Inputs!$D$6)^Inputs!$D$29)</f>
        <v>0</v>
      </c>
      <c r="AG223" s="38">
        <f>Inputs!$D$32*AI222/Inputs!$D$6</f>
        <v>0</v>
      </c>
      <c r="AH223" s="38">
        <f>Inputs!$D$33</f>
        <v>1500</v>
      </c>
      <c r="AI223" s="38">
        <f t="shared" si="156"/>
        <v>0</v>
      </c>
      <c r="AJ223" s="38">
        <f t="shared" si="157"/>
        <v>0</v>
      </c>
      <c r="AK223" s="38">
        <f>Inputs!$D$19*(1-Inputs!$C$70*$H223)+Inputs!$D$21+Inputs!$B$70*$J223</f>
        <v>404800</v>
      </c>
      <c r="AL223" s="38">
        <f t="shared" si="158"/>
        <v>-404800</v>
      </c>
      <c r="AM223" s="38">
        <f t="shared" si="159"/>
        <v>1</v>
      </c>
      <c r="AN223" s="38">
        <f>MAX(0,MIN(Inputs!$B$36,AS222,AO223+AP223+AQ223+Inputs!$B$6-AR222))</f>
        <v>0</v>
      </c>
      <c r="AO223" s="38">
        <f>Inputs!$B$27*(1+Inputs!$B$28)^($A223/12)*IF(Inputs!$B$71=1,$G223,1)*(1-Inputs!$C$71*$H223*(1-Inputs!$E$54*Inputs!$B$71))*(1+$I223)*IF(Inputs!$B$29=0,1,(MAX(AR222,0)/Inputs!$B$6)^Inputs!$B$29)</f>
        <v>31574.813178988286</v>
      </c>
      <c r="AP223" s="38">
        <f>Inputs!$B$32*AR222/Inputs!$B$6</f>
        <v>0</v>
      </c>
      <c r="AQ223" s="38">
        <f>Inputs!$B$33</f>
        <v>2500</v>
      </c>
      <c r="AR223" s="38">
        <f t="shared" si="160"/>
        <v>0</v>
      </c>
      <c r="AS223" s="38">
        <f t="shared" si="161"/>
        <v>0</v>
      </c>
      <c r="AT223" s="38">
        <f>Inputs!$B$19*(1-Inputs!$C$71*$H223)+Inputs!$B$21+Inputs!$B$71*$J223</f>
        <v>601000</v>
      </c>
      <c r="AU223" s="38">
        <f t="shared" si="162"/>
        <v>-601000</v>
      </c>
      <c r="AV223" s="38">
        <f t="shared" si="163"/>
        <v>1</v>
      </c>
      <c r="AW223" s="38">
        <f>MAX(0,MIN(Inputs!$C$36,BB222,AX223+AY223+AZ223+Inputs!$C$6-BA222))</f>
        <v>0</v>
      </c>
      <c r="AX223" s="38">
        <f>Inputs!$C$27*(1+Inputs!$C$28)^($A223/12)*IF(Inputs!$B$71=1,$G223,1)*(1-Inputs!$C$71*$H223*(1-Inputs!$E$54*Inputs!$B$71))*(1+$I223)*IF(Inputs!$C$29=0,1,(MAX(BA222,0)/Inputs!$C$6)^Inputs!$C$29)</f>
        <v>0</v>
      </c>
      <c r="AY223" s="38">
        <f>Inputs!$C$32*BA222/Inputs!$C$6</f>
        <v>0</v>
      </c>
      <c r="AZ223" s="38">
        <f>Inputs!$C$33</f>
        <v>2000</v>
      </c>
      <c r="BA223" s="38">
        <f t="shared" si="164"/>
        <v>0</v>
      </c>
      <c r="BB223" s="38">
        <f t="shared" si="165"/>
        <v>0</v>
      </c>
      <c r="BC223" s="38">
        <f>Inputs!$C$19*(1-Inputs!$C$71*$H223)+Inputs!$C$21+Inputs!$B$71*$J223</f>
        <v>501000</v>
      </c>
      <c r="BD223" s="38">
        <f t="shared" si="166"/>
        <v>-501000</v>
      </c>
      <c r="BE223" s="38">
        <f t="shared" si="167"/>
        <v>1</v>
      </c>
      <c r="BF223" s="38">
        <f>MAX(0,MIN(Inputs!$D$36,BK222,BG223+BH223+BI223+Inputs!$D$6-BJ222))</f>
        <v>0</v>
      </c>
      <c r="BG223" s="38">
        <f>Inputs!$D$27*(1+Inputs!$D$28)^($A223/12)*IF(Inputs!$B$71=1,$G223,1)*(1-Inputs!$C$71*$H223*(1-Inputs!$E$54*Inputs!$B$71))*(1+$I223)*IF(Inputs!$D$29=0,1,(MAX(BJ222,0)/Inputs!$D$6)^Inputs!$D$29)</f>
        <v>181.159809323243</v>
      </c>
      <c r="BH223" s="38">
        <f>Inputs!$D$32*BJ222/Inputs!$D$6</f>
        <v>11.806671496649692</v>
      </c>
      <c r="BI223" s="38">
        <f>Inputs!$D$33</f>
        <v>1500</v>
      </c>
      <c r="BJ223" s="38">
        <f t="shared" si="168"/>
        <v>780.81230895432827</v>
      </c>
      <c r="BK223" s="38">
        <f t="shared" si="169"/>
        <v>0</v>
      </c>
      <c r="BL223" s="38">
        <f>Inputs!$D$19*(1-Inputs!$C$71*$H223)+Inputs!$D$21+Inputs!$B$71*$J223</f>
        <v>410800</v>
      </c>
      <c r="BM223" s="38">
        <f t="shared" si="170"/>
        <v>-410019.18769104569</v>
      </c>
      <c r="BN223" s="38">
        <f t="shared" si="171"/>
        <v>1</v>
      </c>
      <c r="BO223" s="38">
        <f>MAX(0,MIN(Inputs!$B$36,BT222,BP223+BQ223+BR223+Inputs!$B$6-BS222))</f>
        <v>0</v>
      </c>
      <c r="BP223" s="38">
        <f>Inputs!$B$27*(1+Inputs!$B$28)^($A223/12)*IF(Inputs!$B$72=1,$G223,1)*(1-Inputs!$C$72*$H223*(1-Inputs!$E$54*Inputs!$B$72))*(1+$I223)*IF(Inputs!$B$29=0,1,(MAX(BS222,0)/Inputs!$B$6)^Inputs!$B$29)</f>
        <v>33737.269182978285</v>
      </c>
      <c r="BQ223" s="38">
        <f>Inputs!$B$32*BS222/Inputs!$B$6</f>
        <v>0</v>
      </c>
      <c r="BR223" s="38">
        <f>Inputs!$B$33</f>
        <v>2500</v>
      </c>
      <c r="BS223" s="38">
        <f t="shared" si="172"/>
        <v>0</v>
      </c>
      <c r="BT223" s="38">
        <f t="shared" si="173"/>
        <v>0</v>
      </c>
      <c r="BU223" s="38">
        <f>Inputs!$B$19*(1-Inputs!$C$72*$H223)+Inputs!$B$21+Inputs!$B$72*$J223</f>
        <v>577500</v>
      </c>
      <c r="BV223" s="38">
        <f t="shared" si="174"/>
        <v>-577500</v>
      </c>
      <c r="BW223" s="38">
        <f t="shared" si="175"/>
        <v>1</v>
      </c>
      <c r="BX223" s="38">
        <f>MAX(0,MIN(Inputs!$C$36,CC222,BY223+BZ223+CA223+Inputs!$C$6-CB222))</f>
        <v>0</v>
      </c>
      <c r="BY223" s="38">
        <f>Inputs!$C$27*(1+Inputs!$C$28)^($A223/12)*IF(Inputs!$B$72=1,$G223,1)*(1-Inputs!$C$72*$H223*(1-Inputs!$E$54*Inputs!$B$72))*(1+$I223)*IF(Inputs!$C$29=0,1,(MAX(CB222,0)/Inputs!$C$6)^Inputs!$C$29)</f>
        <v>0</v>
      </c>
      <c r="BZ223" s="38">
        <f>Inputs!$C$32*CB222/Inputs!$C$6</f>
        <v>0</v>
      </c>
      <c r="CA223" s="38">
        <f>Inputs!$C$33</f>
        <v>2000</v>
      </c>
      <c r="CB223" s="38">
        <f t="shared" si="176"/>
        <v>0</v>
      </c>
      <c r="CC223" s="38">
        <f t="shared" si="177"/>
        <v>0</v>
      </c>
      <c r="CD223" s="38">
        <f>Inputs!$C$19*(1-Inputs!$C$72*$H223)+Inputs!$C$21+Inputs!$B$72*$J223</f>
        <v>480000</v>
      </c>
      <c r="CE223" s="38">
        <f t="shared" si="178"/>
        <v>-480000</v>
      </c>
      <c r="CF223" s="38">
        <f t="shared" si="179"/>
        <v>1</v>
      </c>
      <c r="CG223" s="38">
        <f>MAX(0,MIN(Inputs!$D$36,CL222,CH223+CI223+CJ223+Inputs!$D$6-CK222))</f>
        <v>0</v>
      </c>
      <c r="CH223" s="38">
        <f>Inputs!$D$27*(1+Inputs!$D$28)^($A223/12)*IF(Inputs!$B$72=1,$G223,1)*(1-Inputs!$C$72*$H223*(1-Inputs!$E$54*Inputs!$B$72))*(1+$I223)*IF(Inputs!$D$29=0,1,(MAX(CK222,0)/Inputs!$D$6)^Inputs!$D$29)</f>
        <v>0</v>
      </c>
      <c r="CI223" s="38">
        <f>Inputs!$D$32*CK222/Inputs!$D$6</f>
        <v>0</v>
      </c>
      <c r="CJ223" s="38">
        <f>Inputs!$D$33</f>
        <v>1500</v>
      </c>
      <c r="CK223" s="38">
        <f t="shared" si="180"/>
        <v>0</v>
      </c>
      <c r="CL223" s="38">
        <f t="shared" si="181"/>
        <v>0</v>
      </c>
      <c r="CM223" s="38">
        <f>Inputs!$D$19*(1-Inputs!$C$72*$H223)+Inputs!$D$21+Inputs!$B$72*$J223</f>
        <v>392150</v>
      </c>
      <c r="CN223" s="38">
        <f t="shared" si="182"/>
        <v>-392150</v>
      </c>
      <c r="CO223" s="38">
        <f t="shared" si="183"/>
        <v>1</v>
      </c>
      <c r="CP223" s="38">
        <f>MAX(0,MIN(Inputs!$B$36,CU222,CQ223+CR223+CS223+Inputs!$B$6-CT222))</f>
        <v>0</v>
      </c>
      <c r="CQ223" s="38">
        <f>Inputs!$B$27*(1+Inputs!$B$28)^($A223/12)*IF(Inputs!$B$73=1,$G223,1)*(1-Inputs!$C$73*$H223*(1-Inputs!$E$54*Inputs!$B$73))*(1+$I223)*IF(Inputs!$B$29=0,1,(MAX(CT222,0)/Inputs!$B$6)^Inputs!$B$29)</f>
        <v>29996.07252003887</v>
      </c>
      <c r="CR223" s="38">
        <f>Inputs!$B$32*CT222/Inputs!$B$6</f>
        <v>0</v>
      </c>
      <c r="CS223" s="38">
        <f>Inputs!$B$33</f>
        <v>2500</v>
      </c>
      <c r="CT223" s="38">
        <f t="shared" si="184"/>
        <v>0</v>
      </c>
      <c r="CU223" s="38">
        <f t="shared" si="185"/>
        <v>0</v>
      </c>
      <c r="CV223" s="38">
        <f>Inputs!$B$19*(1-Inputs!$C$73*$H223)+Inputs!$B$21+Inputs!$B$73*$J223</f>
        <v>583500</v>
      </c>
      <c r="CW223" s="38">
        <f t="shared" si="186"/>
        <v>-583500</v>
      </c>
      <c r="CX223" s="38">
        <f t="shared" si="187"/>
        <v>1</v>
      </c>
      <c r="CY223" s="38">
        <f>MAX(0,MIN(Inputs!$C$36,DD222,CZ223+DA223+DB223+Inputs!$C$6-DC222))</f>
        <v>0</v>
      </c>
      <c r="CZ223" s="38">
        <f>Inputs!$C$27*(1+Inputs!$C$28)^($A223/12)*IF(Inputs!$B$73=1,$G223,1)*(1-Inputs!$C$73*$H223*(1-Inputs!$E$54*Inputs!$B$73))*(1+$I223)*IF(Inputs!$C$29=0,1,(MAX(DC222,0)/Inputs!$C$6)^Inputs!$C$29)</f>
        <v>0</v>
      </c>
      <c r="DA223" s="38">
        <f>Inputs!$C$32*DC222/Inputs!$C$6</f>
        <v>0</v>
      </c>
      <c r="DB223" s="38">
        <f>Inputs!$C$33</f>
        <v>2000</v>
      </c>
      <c r="DC223" s="38">
        <f t="shared" si="188"/>
        <v>0</v>
      </c>
      <c r="DD223" s="38">
        <f t="shared" si="189"/>
        <v>0</v>
      </c>
      <c r="DE223" s="38">
        <f>Inputs!$C$19*(1-Inputs!$C$73*$H223)+Inputs!$C$21+Inputs!$B$73*$J223</f>
        <v>486000</v>
      </c>
      <c r="DF223" s="38">
        <f t="shared" si="190"/>
        <v>-486000</v>
      </c>
      <c r="DG223" s="38">
        <f t="shared" si="191"/>
        <v>1</v>
      </c>
      <c r="DH223" s="38">
        <f>MAX(0,MIN(Inputs!$D$36,DM222,DI223+DJ223+DK223+Inputs!$D$6-DL222))</f>
        <v>0</v>
      </c>
      <c r="DI223" s="38">
        <f>Inputs!$D$27*(1+Inputs!$D$28)^($A223/12)*IF(Inputs!$B$73=1,$G223,1)*(1-Inputs!$C$73*$H223*(1-Inputs!$E$54*Inputs!$B$73))*(1+$I223)*IF(Inputs!$D$29=0,1,(MAX(DL222,0)/Inputs!$D$6)^Inputs!$D$29)</f>
        <v>397.48926406200559</v>
      </c>
      <c r="DJ223" s="38">
        <f>Inputs!$D$32*DL222/Inputs!$D$6</f>
        <v>62.980682941763959</v>
      </c>
      <c r="DK223" s="38">
        <f>Inputs!$D$33</f>
        <v>1500</v>
      </c>
      <c r="DL223" s="38">
        <f t="shared" si="192"/>
        <v>11235.482669365821</v>
      </c>
      <c r="DM223" s="38">
        <f t="shared" si="193"/>
        <v>0</v>
      </c>
      <c r="DN223" s="38">
        <f>Inputs!$D$19*(1-Inputs!$C$73*$H223)+Inputs!$D$21+Inputs!$B$73*$J223</f>
        <v>398150</v>
      </c>
      <c r="DO223" s="38">
        <f t="shared" si="194"/>
        <v>-386914.51733063417</v>
      </c>
      <c r="DP223" s="38">
        <f t="shared" si="195"/>
        <v>1</v>
      </c>
    </row>
    <row r="224" spans="1:120" x14ac:dyDescent="0.35">
      <c r="A224" s="29">
        <v>219</v>
      </c>
      <c r="B224" s="34">
        <f>EDATE(Inputs!$B$67,$A224)</f>
        <v>52932</v>
      </c>
      <c r="C224" s="35">
        <f>IF(Inputs!$E$47&lt;=0,Inputs!$E$46,Inputs!$E$44+(Inputs!$E$46-Inputs!$E$44)*MIN($A224/Inputs!$E$47,1))</f>
        <v>0.7</v>
      </c>
      <c r="D224" s="35">
        <f>MIN(Inputs!$E$57,Inputs!$E$55*(1+Inputs!$E$56)^($A224/12))*Inputs!$E$58*(1+Inputs!$E$59)^($A224/12)/Inputs!$E$45</f>
        <v>1.5</v>
      </c>
      <c r="E224" s="35">
        <f>MAX(Inputs!$E$44,MIN(C224,D224))</f>
        <v>0.7</v>
      </c>
      <c r="F224" s="35">
        <f>IF(Inputs!$E$50&lt;=0,Inputs!$E$49,Inputs!$E$48+(Inputs!$E$49-Inputs!$E$48)*MIN($A224/Inputs!$E$50,1))</f>
        <v>0.12</v>
      </c>
      <c r="G224" s="36">
        <f>(Inputs!$E$41*(1-E224*Inputs!$E$51)+Inputs!$E$42*(1-F224*Inputs!$E$51))/(Inputs!$E$41*(1-Inputs!$E$44*Inputs!$E$51)+Inputs!$E$42*(1-Inputs!$E$48*Inputs!$E$51))</f>
        <v>0.8423127463863338</v>
      </c>
      <c r="H224" s="35">
        <f>IF(Inputs!$E$53&lt;=0,Inputs!$E$52,Inputs!$E$52*MIN($A224/Inputs!$E$53,1))</f>
        <v>0.1</v>
      </c>
      <c r="I224" s="35">
        <f>IF(Inputs!$E$64&lt;=0,Inputs!$E$63,Inputs!$E$62+(Inputs!$E$63-Inputs!$E$62)*MIN($A224/Inputs!$E$64,1))</f>
        <v>0.03</v>
      </c>
      <c r="J224" s="37">
        <f>(E224-Inputs!$E$44)*Inputs!$E$45/Inputs!$E$60*Inputs!$E$61</f>
        <v>5999.9999999999991</v>
      </c>
      <c r="K224" s="29">
        <f t="shared" si="147"/>
        <v>0</v>
      </c>
      <c r="L224" s="29"/>
      <c r="M224" s="38">
        <f>MAX(0,MIN(Inputs!$B$36,R223,N224+O224+P224+Inputs!$B$6-Q223))</f>
        <v>0</v>
      </c>
      <c r="N224" s="38">
        <f>Inputs!$B$27*(1+Inputs!$B$28)^($A224/12)*IF(Inputs!$B$70=1,$G224,1)*(1-Inputs!$C$70*$H224*(1-Inputs!$E$54*Inputs!$B$70))*(1+$I224)*IF(Inputs!$B$29=0,1,(MAX(Q223,0)/Inputs!$B$6)^Inputs!$B$29)</f>
        <v>37638.576659724444</v>
      </c>
      <c r="O224" s="38">
        <f>Inputs!$B$32*Q223/Inputs!$B$6</f>
        <v>0</v>
      </c>
      <c r="P224" s="38">
        <f>Inputs!$B$33</f>
        <v>2500</v>
      </c>
      <c r="Q224" s="38">
        <f t="shared" si="148"/>
        <v>0</v>
      </c>
      <c r="R224" s="38">
        <f t="shared" si="149"/>
        <v>0</v>
      </c>
      <c r="S224" s="38">
        <f>Inputs!$B$19*(1-Inputs!$C$70*$H224)+Inputs!$B$21+Inputs!$B$70*$J224</f>
        <v>595000</v>
      </c>
      <c r="T224" s="38">
        <f t="shared" si="150"/>
        <v>-595000</v>
      </c>
      <c r="U224" s="38">
        <f t="shared" si="151"/>
        <v>1</v>
      </c>
      <c r="V224" s="38">
        <f>MAX(0,MIN(Inputs!$C$36,AA223,W224+X224+Y224+Inputs!$C$6-Z223))</f>
        <v>0</v>
      </c>
      <c r="W224" s="38">
        <f>Inputs!$C$27*(1+Inputs!$C$28)^($A224/12)*IF(Inputs!$B$70=1,$G224,1)*(1-Inputs!$C$70*$H224*(1-Inputs!$E$54*Inputs!$B$70))*(1+$I224)*IF(Inputs!$C$29=0,1,(MAX(Z223,0)/Inputs!$C$6)^Inputs!$C$29)</f>
        <v>0</v>
      </c>
      <c r="X224" s="38">
        <f>Inputs!$C$32*Z223/Inputs!$C$6</f>
        <v>0</v>
      </c>
      <c r="Y224" s="38">
        <f>Inputs!$C$33</f>
        <v>2000</v>
      </c>
      <c r="Z224" s="38">
        <f t="shared" si="152"/>
        <v>0</v>
      </c>
      <c r="AA224" s="38">
        <f t="shared" si="153"/>
        <v>0</v>
      </c>
      <c r="AB224" s="38">
        <f>Inputs!$C$19*(1-Inputs!$C$70*$H224)+Inputs!$C$21+Inputs!$B$70*$J224</f>
        <v>495000</v>
      </c>
      <c r="AC224" s="38">
        <f t="shared" si="154"/>
        <v>-495000</v>
      </c>
      <c r="AD224" s="38">
        <f t="shared" si="155"/>
        <v>1</v>
      </c>
      <c r="AE224" s="38">
        <f>MAX(0,MIN(Inputs!$D$36,AJ223,AF224+AG224+AH224+Inputs!$D$6-AI223))</f>
        <v>0</v>
      </c>
      <c r="AF224" s="38">
        <f>Inputs!$D$27*(1+Inputs!$D$28)^($A224/12)*IF(Inputs!$B$70=1,$G224,1)*(1-Inputs!$C$70*$H224*(1-Inputs!$E$54*Inputs!$B$70))*(1+$I224)*IF(Inputs!$D$29=0,1,(MAX(AI223,0)/Inputs!$D$6)^Inputs!$D$29)</f>
        <v>0</v>
      </c>
      <c r="AG224" s="38">
        <f>Inputs!$D$32*AI223/Inputs!$D$6</f>
        <v>0</v>
      </c>
      <c r="AH224" s="38">
        <f>Inputs!$D$33</f>
        <v>1500</v>
      </c>
      <c r="AI224" s="38">
        <f t="shared" si="156"/>
        <v>0</v>
      </c>
      <c r="AJ224" s="38">
        <f t="shared" si="157"/>
        <v>0</v>
      </c>
      <c r="AK224" s="38">
        <f>Inputs!$D$19*(1-Inputs!$C$70*$H224)+Inputs!$D$21+Inputs!$B$70*$J224</f>
        <v>404800</v>
      </c>
      <c r="AL224" s="38">
        <f t="shared" si="158"/>
        <v>-404800</v>
      </c>
      <c r="AM224" s="38">
        <f t="shared" si="159"/>
        <v>1</v>
      </c>
      <c r="AN224" s="38">
        <f>MAX(0,MIN(Inputs!$B$36,AS223,AO224+AP224+AQ224+Inputs!$B$6-AR223))</f>
        <v>0</v>
      </c>
      <c r="AO224" s="38">
        <f>Inputs!$B$27*(1+Inputs!$B$28)^($A224/12)*IF(Inputs!$B$71=1,$G224,1)*(1-Inputs!$C$71*$H224*(1-Inputs!$E$54*Inputs!$B$71))*(1+$I224)*IF(Inputs!$B$29=0,1,(MAX(AR223,0)/Inputs!$B$6)^Inputs!$B$29)</f>
        <v>31703.452876325056</v>
      </c>
      <c r="AP224" s="38">
        <f>Inputs!$B$32*AR223/Inputs!$B$6</f>
        <v>0</v>
      </c>
      <c r="AQ224" s="38">
        <f>Inputs!$B$33</f>
        <v>2500</v>
      </c>
      <c r="AR224" s="38">
        <f t="shared" si="160"/>
        <v>0</v>
      </c>
      <c r="AS224" s="38">
        <f t="shared" si="161"/>
        <v>0</v>
      </c>
      <c r="AT224" s="38">
        <f>Inputs!$B$19*(1-Inputs!$C$71*$H224)+Inputs!$B$21+Inputs!$B$71*$J224</f>
        <v>601000</v>
      </c>
      <c r="AU224" s="38">
        <f t="shared" si="162"/>
        <v>-601000</v>
      </c>
      <c r="AV224" s="38">
        <f t="shared" si="163"/>
        <v>1</v>
      </c>
      <c r="AW224" s="38">
        <f>MAX(0,MIN(Inputs!$C$36,BB223,AX224+AY224+AZ224+Inputs!$C$6-BA223))</f>
        <v>0</v>
      </c>
      <c r="AX224" s="38">
        <f>Inputs!$C$27*(1+Inputs!$C$28)^($A224/12)*IF(Inputs!$B$71=1,$G224,1)*(1-Inputs!$C$71*$H224*(1-Inputs!$E$54*Inputs!$B$71))*(1+$I224)*IF(Inputs!$C$29=0,1,(MAX(BA223,0)/Inputs!$C$6)^Inputs!$C$29)</f>
        <v>0</v>
      </c>
      <c r="AY224" s="38">
        <f>Inputs!$C$32*BA223/Inputs!$C$6</f>
        <v>0</v>
      </c>
      <c r="AZ224" s="38">
        <f>Inputs!$C$33</f>
        <v>2000</v>
      </c>
      <c r="BA224" s="38">
        <f t="shared" si="164"/>
        <v>0</v>
      </c>
      <c r="BB224" s="38">
        <f t="shared" si="165"/>
        <v>0</v>
      </c>
      <c r="BC224" s="38">
        <f>Inputs!$C$19*(1-Inputs!$C$71*$H224)+Inputs!$C$21+Inputs!$B$71*$J224</f>
        <v>501000</v>
      </c>
      <c r="BD224" s="38">
        <f t="shared" si="166"/>
        <v>-501000</v>
      </c>
      <c r="BE224" s="38">
        <f t="shared" si="167"/>
        <v>1</v>
      </c>
      <c r="BF224" s="38">
        <f>MAX(0,MIN(Inputs!$D$36,BK223,BG224+BH224+BI224+Inputs!$D$6-BJ223))</f>
        <v>0</v>
      </c>
      <c r="BG224" s="38">
        <f>Inputs!$D$27*(1+Inputs!$D$28)^($A224/12)*IF(Inputs!$B$71=1,$G224,1)*(1-Inputs!$C$71*$H224*(1-Inputs!$E$54*Inputs!$B$71))*(1+$I224)*IF(Inputs!$D$29=0,1,(MAX(BJ223,0)/Inputs!$D$6)^Inputs!$D$29)</f>
        <v>101.34407974547236</v>
      </c>
      <c r="BH224" s="38">
        <f>Inputs!$D$32*BJ223/Inputs!$D$6</f>
        <v>3.7266042018274761</v>
      </c>
      <c r="BI224" s="38">
        <f>Inputs!$D$33</f>
        <v>1500</v>
      </c>
      <c r="BJ224" s="38">
        <f t="shared" si="168"/>
        <v>0</v>
      </c>
      <c r="BK224" s="38">
        <f t="shared" si="169"/>
        <v>0</v>
      </c>
      <c r="BL224" s="38">
        <f>Inputs!$D$19*(1-Inputs!$C$71*$H224)+Inputs!$D$21+Inputs!$B$71*$J224</f>
        <v>410800</v>
      </c>
      <c r="BM224" s="38">
        <f t="shared" si="170"/>
        <v>-410800</v>
      </c>
      <c r="BN224" s="38">
        <f t="shared" si="171"/>
        <v>1</v>
      </c>
      <c r="BO224" s="38">
        <f>MAX(0,MIN(Inputs!$B$36,BT223,BP224+BQ224+BR224+Inputs!$B$6-BS223))</f>
        <v>0</v>
      </c>
      <c r="BP224" s="38">
        <f>Inputs!$B$27*(1+Inputs!$B$28)^($A224/12)*IF(Inputs!$B$72=1,$G224,1)*(1-Inputs!$C$72*$H224*(1-Inputs!$E$54*Inputs!$B$72))*(1+$I224)*IF(Inputs!$B$29=0,1,(MAX(BS223,0)/Inputs!$B$6)^Inputs!$B$29)</f>
        <v>33874.718993752002</v>
      </c>
      <c r="BQ224" s="38">
        <f>Inputs!$B$32*BS223/Inputs!$B$6</f>
        <v>0</v>
      </c>
      <c r="BR224" s="38">
        <f>Inputs!$B$33</f>
        <v>2500</v>
      </c>
      <c r="BS224" s="38">
        <f t="shared" si="172"/>
        <v>0</v>
      </c>
      <c r="BT224" s="38">
        <f t="shared" si="173"/>
        <v>0</v>
      </c>
      <c r="BU224" s="38">
        <f>Inputs!$B$19*(1-Inputs!$C$72*$H224)+Inputs!$B$21+Inputs!$B$72*$J224</f>
        <v>577500</v>
      </c>
      <c r="BV224" s="38">
        <f t="shared" si="174"/>
        <v>-577500</v>
      </c>
      <c r="BW224" s="38">
        <f t="shared" si="175"/>
        <v>1</v>
      </c>
      <c r="BX224" s="38">
        <f>MAX(0,MIN(Inputs!$C$36,CC223,BY224+BZ224+CA224+Inputs!$C$6-CB223))</f>
        <v>0</v>
      </c>
      <c r="BY224" s="38">
        <f>Inputs!$C$27*(1+Inputs!$C$28)^($A224/12)*IF(Inputs!$B$72=1,$G224,1)*(1-Inputs!$C$72*$H224*(1-Inputs!$E$54*Inputs!$B$72))*(1+$I224)*IF(Inputs!$C$29=0,1,(MAX(CB223,0)/Inputs!$C$6)^Inputs!$C$29)</f>
        <v>0</v>
      </c>
      <c r="BZ224" s="38">
        <f>Inputs!$C$32*CB223/Inputs!$C$6</f>
        <v>0</v>
      </c>
      <c r="CA224" s="38">
        <f>Inputs!$C$33</f>
        <v>2000</v>
      </c>
      <c r="CB224" s="38">
        <f t="shared" si="176"/>
        <v>0</v>
      </c>
      <c r="CC224" s="38">
        <f t="shared" si="177"/>
        <v>0</v>
      </c>
      <c r="CD224" s="38">
        <f>Inputs!$C$19*(1-Inputs!$C$72*$H224)+Inputs!$C$21+Inputs!$B$72*$J224</f>
        <v>480000</v>
      </c>
      <c r="CE224" s="38">
        <f t="shared" si="178"/>
        <v>-480000</v>
      </c>
      <c r="CF224" s="38">
        <f t="shared" si="179"/>
        <v>1</v>
      </c>
      <c r="CG224" s="38">
        <f>MAX(0,MIN(Inputs!$D$36,CL223,CH224+CI224+CJ224+Inputs!$D$6-CK223))</f>
        <v>0</v>
      </c>
      <c r="CH224" s="38">
        <f>Inputs!$D$27*(1+Inputs!$D$28)^($A224/12)*IF(Inputs!$B$72=1,$G224,1)*(1-Inputs!$C$72*$H224*(1-Inputs!$E$54*Inputs!$B$72))*(1+$I224)*IF(Inputs!$D$29=0,1,(MAX(CK223,0)/Inputs!$D$6)^Inputs!$D$29)</f>
        <v>0</v>
      </c>
      <c r="CI224" s="38">
        <f>Inputs!$D$32*CK223/Inputs!$D$6</f>
        <v>0</v>
      </c>
      <c r="CJ224" s="38">
        <f>Inputs!$D$33</f>
        <v>1500</v>
      </c>
      <c r="CK224" s="38">
        <f t="shared" si="180"/>
        <v>0</v>
      </c>
      <c r="CL224" s="38">
        <f t="shared" si="181"/>
        <v>0</v>
      </c>
      <c r="CM224" s="38">
        <f>Inputs!$D$19*(1-Inputs!$C$72*$H224)+Inputs!$D$21+Inputs!$B$72*$J224</f>
        <v>392150</v>
      </c>
      <c r="CN224" s="38">
        <f t="shared" si="182"/>
        <v>-392150</v>
      </c>
      <c r="CO224" s="38">
        <f t="shared" si="183"/>
        <v>1</v>
      </c>
      <c r="CP224" s="38">
        <f>MAX(0,MIN(Inputs!$B$36,CU223,CQ224+CR224+CS224+Inputs!$B$6-CT223))</f>
        <v>0</v>
      </c>
      <c r="CQ224" s="38">
        <f>Inputs!$B$27*(1+Inputs!$B$28)^($A224/12)*IF(Inputs!$B$73=1,$G224,1)*(1-Inputs!$C$73*$H224*(1-Inputs!$E$54*Inputs!$B$73))*(1+$I224)*IF(Inputs!$B$29=0,1,(MAX(CT223,0)/Inputs!$B$6)^Inputs!$B$29)</f>
        <v>30118.280232508801</v>
      </c>
      <c r="CR224" s="38">
        <f>Inputs!$B$32*CT223/Inputs!$B$6</f>
        <v>0</v>
      </c>
      <c r="CS224" s="38">
        <f>Inputs!$B$33</f>
        <v>2500</v>
      </c>
      <c r="CT224" s="38">
        <f t="shared" si="184"/>
        <v>0</v>
      </c>
      <c r="CU224" s="38">
        <f t="shared" si="185"/>
        <v>0</v>
      </c>
      <c r="CV224" s="38">
        <f>Inputs!$B$19*(1-Inputs!$C$73*$H224)+Inputs!$B$21+Inputs!$B$73*$J224</f>
        <v>583500</v>
      </c>
      <c r="CW224" s="38">
        <f t="shared" si="186"/>
        <v>-583500</v>
      </c>
      <c r="CX224" s="38">
        <f t="shared" si="187"/>
        <v>1</v>
      </c>
      <c r="CY224" s="38">
        <f>MAX(0,MIN(Inputs!$C$36,DD223,CZ224+DA224+DB224+Inputs!$C$6-DC223))</f>
        <v>0</v>
      </c>
      <c r="CZ224" s="38">
        <f>Inputs!$C$27*(1+Inputs!$C$28)^($A224/12)*IF(Inputs!$B$73=1,$G224,1)*(1-Inputs!$C$73*$H224*(1-Inputs!$E$54*Inputs!$B$73))*(1+$I224)*IF(Inputs!$C$29=0,1,(MAX(DC223,0)/Inputs!$C$6)^Inputs!$C$29)</f>
        <v>0</v>
      </c>
      <c r="DA224" s="38">
        <f>Inputs!$C$32*DC223/Inputs!$C$6</f>
        <v>0</v>
      </c>
      <c r="DB224" s="38">
        <f>Inputs!$C$33</f>
        <v>2000</v>
      </c>
      <c r="DC224" s="38">
        <f t="shared" si="188"/>
        <v>0</v>
      </c>
      <c r="DD224" s="38">
        <f t="shared" si="189"/>
        <v>0</v>
      </c>
      <c r="DE224" s="38">
        <f>Inputs!$C$19*(1-Inputs!$C$73*$H224)+Inputs!$C$21+Inputs!$B$73*$J224</f>
        <v>486000</v>
      </c>
      <c r="DF224" s="38">
        <f t="shared" si="190"/>
        <v>-486000</v>
      </c>
      <c r="DG224" s="38">
        <f t="shared" si="191"/>
        <v>1</v>
      </c>
      <c r="DH224" s="38">
        <f>MAX(0,MIN(Inputs!$D$36,DM223,DI224+DJ224+DK224+Inputs!$D$6-DL223))</f>
        <v>0</v>
      </c>
      <c r="DI224" s="38">
        <f>Inputs!$D$27*(1+Inputs!$D$28)^($A224/12)*IF(Inputs!$B$73=1,$G224,1)*(1-Inputs!$C$73*$H224*(1-Inputs!$E$54*Inputs!$B$73))*(1+$I224)*IF(Inputs!$D$29=0,1,(MAX(DL223,0)/Inputs!$D$6)^Inputs!$D$29)</f>
        <v>365.21157221340167</v>
      </c>
      <c r="DJ224" s="38">
        <f>Inputs!$D$32*DL223/Inputs!$D$6</f>
        <v>53.623894558336872</v>
      </c>
      <c r="DK224" s="38">
        <f>Inputs!$D$33</f>
        <v>1500</v>
      </c>
      <c r="DL224" s="38">
        <f t="shared" si="192"/>
        <v>9316.647202594082</v>
      </c>
      <c r="DM224" s="38">
        <f t="shared" si="193"/>
        <v>0</v>
      </c>
      <c r="DN224" s="38">
        <f>Inputs!$D$19*(1-Inputs!$C$73*$H224)+Inputs!$D$21+Inputs!$B$73*$J224</f>
        <v>398150</v>
      </c>
      <c r="DO224" s="38">
        <f t="shared" si="194"/>
        <v>-388833.35279740591</v>
      </c>
      <c r="DP224" s="38">
        <f t="shared" si="195"/>
        <v>1</v>
      </c>
    </row>
    <row r="225" spans="1:120" x14ac:dyDescent="0.35">
      <c r="A225" s="29">
        <v>220</v>
      </c>
      <c r="B225" s="34">
        <f>EDATE(Inputs!$B$67,$A225)</f>
        <v>52963</v>
      </c>
      <c r="C225" s="35">
        <f>IF(Inputs!$E$47&lt;=0,Inputs!$E$46,Inputs!$E$44+(Inputs!$E$46-Inputs!$E$44)*MIN($A225/Inputs!$E$47,1))</f>
        <v>0.7</v>
      </c>
      <c r="D225" s="35">
        <f>MIN(Inputs!$E$57,Inputs!$E$55*(1+Inputs!$E$56)^($A225/12))*Inputs!$E$58*(1+Inputs!$E$59)^($A225/12)/Inputs!$E$45</f>
        <v>1.5</v>
      </c>
      <c r="E225" s="35">
        <f>MAX(Inputs!$E$44,MIN(C225,D225))</f>
        <v>0.7</v>
      </c>
      <c r="F225" s="35">
        <f>IF(Inputs!$E$50&lt;=0,Inputs!$E$49,Inputs!$E$48+(Inputs!$E$49-Inputs!$E$48)*MIN($A225/Inputs!$E$50,1))</f>
        <v>0.12</v>
      </c>
      <c r="G225" s="36">
        <f>(Inputs!$E$41*(1-E225*Inputs!$E$51)+Inputs!$E$42*(1-F225*Inputs!$E$51))/(Inputs!$E$41*(1-Inputs!$E$44*Inputs!$E$51)+Inputs!$E$42*(1-Inputs!$E$48*Inputs!$E$51))</f>
        <v>0.8423127463863338</v>
      </c>
      <c r="H225" s="35">
        <f>IF(Inputs!$E$53&lt;=0,Inputs!$E$52,Inputs!$E$52*MIN($A225/Inputs!$E$53,1))</f>
        <v>0.1</v>
      </c>
      <c r="I225" s="35">
        <f>IF(Inputs!$E$64&lt;=0,Inputs!$E$63,Inputs!$E$62+(Inputs!$E$63-Inputs!$E$62)*MIN($A225/Inputs!$E$64,1))</f>
        <v>0.03</v>
      </c>
      <c r="J225" s="37">
        <f>(E225-Inputs!$E$44)*Inputs!$E$45/Inputs!$E$60*Inputs!$E$61</f>
        <v>5999.9999999999991</v>
      </c>
      <c r="K225" s="29">
        <f t="shared" si="147"/>
        <v>0</v>
      </c>
      <c r="L225" s="29"/>
      <c r="M225" s="38">
        <f>MAX(0,MIN(Inputs!$B$36,R224,N225+O225+P225+Inputs!$B$6-Q224))</f>
        <v>0</v>
      </c>
      <c r="N225" s="38">
        <f>Inputs!$B$27*(1+Inputs!$B$28)^($A225/12)*IF(Inputs!$B$70=1,$G225,1)*(1-Inputs!$C$70*$H225*(1-Inputs!$E$54*Inputs!$B$70))*(1+$I225)*IF(Inputs!$B$29=0,1,(MAX(Q224,0)/Inputs!$B$6)^Inputs!$B$29)</f>
        <v>37791.92088007649</v>
      </c>
      <c r="O225" s="38">
        <f>Inputs!$B$32*Q224/Inputs!$B$6</f>
        <v>0</v>
      </c>
      <c r="P225" s="38">
        <f>Inputs!$B$33</f>
        <v>2500</v>
      </c>
      <c r="Q225" s="38">
        <f t="shared" si="148"/>
        <v>0</v>
      </c>
      <c r="R225" s="38">
        <f t="shared" si="149"/>
        <v>0</v>
      </c>
      <c r="S225" s="38">
        <f>Inputs!$B$19*(1-Inputs!$C$70*$H225)+Inputs!$B$21+Inputs!$B$70*$J225</f>
        <v>595000</v>
      </c>
      <c r="T225" s="38">
        <f t="shared" si="150"/>
        <v>-595000</v>
      </c>
      <c r="U225" s="38">
        <f t="shared" si="151"/>
        <v>1</v>
      </c>
      <c r="V225" s="38">
        <f>MAX(0,MIN(Inputs!$C$36,AA224,W225+X225+Y225+Inputs!$C$6-Z224))</f>
        <v>0</v>
      </c>
      <c r="W225" s="38">
        <f>Inputs!$C$27*(1+Inputs!$C$28)^($A225/12)*IF(Inputs!$B$70=1,$G225,1)*(1-Inputs!$C$70*$H225*(1-Inputs!$E$54*Inputs!$B$70))*(1+$I225)*IF(Inputs!$C$29=0,1,(MAX(Z224,0)/Inputs!$C$6)^Inputs!$C$29)</f>
        <v>0</v>
      </c>
      <c r="X225" s="38">
        <f>Inputs!$C$32*Z224/Inputs!$C$6</f>
        <v>0</v>
      </c>
      <c r="Y225" s="38">
        <f>Inputs!$C$33</f>
        <v>2000</v>
      </c>
      <c r="Z225" s="38">
        <f t="shared" si="152"/>
        <v>0</v>
      </c>
      <c r="AA225" s="38">
        <f t="shared" si="153"/>
        <v>0</v>
      </c>
      <c r="AB225" s="38">
        <f>Inputs!$C$19*(1-Inputs!$C$70*$H225)+Inputs!$C$21+Inputs!$B$70*$J225</f>
        <v>495000</v>
      </c>
      <c r="AC225" s="38">
        <f t="shared" si="154"/>
        <v>-495000</v>
      </c>
      <c r="AD225" s="38">
        <f t="shared" si="155"/>
        <v>1</v>
      </c>
      <c r="AE225" s="38">
        <f>MAX(0,MIN(Inputs!$D$36,AJ224,AF225+AG225+AH225+Inputs!$D$6-AI224))</f>
        <v>0</v>
      </c>
      <c r="AF225" s="38">
        <f>Inputs!$D$27*(1+Inputs!$D$28)^($A225/12)*IF(Inputs!$B$70=1,$G225,1)*(1-Inputs!$C$70*$H225*(1-Inputs!$E$54*Inputs!$B$70))*(1+$I225)*IF(Inputs!$D$29=0,1,(MAX(AI224,0)/Inputs!$D$6)^Inputs!$D$29)</f>
        <v>0</v>
      </c>
      <c r="AG225" s="38">
        <f>Inputs!$D$32*AI224/Inputs!$D$6</f>
        <v>0</v>
      </c>
      <c r="AH225" s="38">
        <f>Inputs!$D$33</f>
        <v>1500</v>
      </c>
      <c r="AI225" s="38">
        <f t="shared" si="156"/>
        <v>0</v>
      </c>
      <c r="AJ225" s="38">
        <f t="shared" si="157"/>
        <v>0</v>
      </c>
      <c r="AK225" s="38">
        <f>Inputs!$D$19*(1-Inputs!$C$70*$H225)+Inputs!$D$21+Inputs!$B$70*$J225</f>
        <v>404800</v>
      </c>
      <c r="AL225" s="38">
        <f t="shared" si="158"/>
        <v>-404800</v>
      </c>
      <c r="AM225" s="38">
        <f t="shared" si="159"/>
        <v>1</v>
      </c>
      <c r="AN225" s="38">
        <f>MAX(0,MIN(Inputs!$B$36,AS224,AO225+AP225+AQ225+Inputs!$B$6-AR224))</f>
        <v>0</v>
      </c>
      <c r="AO225" s="38">
        <f>Inputs!$B$27*(1+Inputs!$B$28)^($A225/12)*IF(Inputs!$B$71=1,$G225,1)*(1-Inputs!$C$71*$H225*(1-Inputs!$E$54*Inputs!$B$71))*(1+$I225)*IF(Inputs!$B$29=0,1,(MAX(AR224,0)/Inputs!$B$6)^Inputs!$B$29)</f>
        <v>31832.61666771226</v>
      </c>
      <c r="AP225" s="38">
        <f>Inputs!$B$32*AR224/Inputs!$B$6</f>
        <v>0</v>
      </c>
      <c r="AQ225" s="38">
        <f>Inputs!$B$33</f>
        <v>2500</v>
      </c>
      <c r="AR225" s="38">
        <f t="shared" si="160"/>
        <v>0</v>
      </c>
      <c r="AS225" s="38">
        <f t="shared" si="161"/>
        <v>0</v>
      </c>
      <c r="AT225" s="38">
        <f>Inputs!$B$19*(1-Inputs!$C$71*$H225)+Inputs!$B$21+Inputs!$B$71*$J225</f>
        <v>601000</v>
      </c>
      <c r="AU225" s="38">
        <f t="shared" si="162"/>
        <v>-601000</v>
      </c>
      <c r="AV225" s="38">
        <f t="shared" si="163"/>
        <v>1</v>
      </c>
      <c r="AW225" s="38">
        <f>MAX(0,MIN(Inputs!$C$36,BB224,AX225+AY225+AZ225+Inputs!$C$6-BA224))</f>
        <v>0</v>
      </c>
      <c r="AX225" s="38">
        <f>Inputs!$C$27*(1+Inputs!$C$28)^($A225/12)*IF(Inputs!$B$71=1,$G225,1)*(1-Inputs!$C$71*$H225*(1-Inputs!$E$54*Inputs!$B$71))*(1+$I225)*IF(Inputs!$C$29=0,1,(MAX(BA224,0)/Inputs!$C$6)^Inputs!$C$29)</f>
        <v>0</v>
      </c>
      <c r="AY225" s="38">
        <f>Inputs!$C$32*BA224/Inputs!$C$6</f>
        <v>0</v>
      </c>
      <c r="AZ225" s="38">
        <f>Inputs!$C$33</f>
        <v>2000</v>
      </c>
      <c r="BA225" s="38">
        <f t="shared" si="164"/>
        <v>0</v>
      </c>
      <c r="BB225" s="38">
        <f t="shared" si="165"/>
        <v>0</v>
      </c>
      <c r="BC225" s="38">
        <f>Inputs!$C$19*(1-Inputs!$C$71*$H225)+Inputs!$C$21+Inputs!$B$71*$J225</f>
        <v>501000</v>
      </c>
      <c r="BD225" s="38">
        <f t="shared" si="166"/>
        <v>-501000</v>
      </c>
      <c r="BE225" s="38">
        <f t="shared" si="167"/>
        <v>1</v>
      </c>
      <c r="BF225" s="38">
        <f>MAX(0,MIN(Inputs!$D$36,BK224,BG225+BH225+BI225+Inputs!$D$6-BJ224))</f>
        <v>0</v>
      </c>
      <c r="BG225" s="38">
        <f>Inputs!$D$27*(1+Inputs!$D$28)^($A225/12)*IF(Inputs!$B$71=1,$G225,1)*(1-Inputs!$C$71*$H225*(1-Inputs!$E$54*Inputs!$B$71))*(1+$I225)*IF(Inputs!$D$29=0,1,(MAX(BJ224,0)/Inputs!$D$6)^Inputs!$D$29)</f>
        <v>0</v>
      </c>
      <c r="BH225" s="38">
        <f>Inputs!$D$32*BJ224/Inputs!$D$6</f>
        <v>0</v>
      </c>
      <c r="BI225" s="38">
        <f>Inputs!$D$33</f>
        <v>1500</v>
      </c>
      <c r="BJ225" s="38">
        <f t="shared" si="168"/>
        <v>0</v>
      </c>
      <c r="BK225" s="38">
        <f t="shared" si="169"/>
        <v>0</v>
      </c>
      <c r="BL225" s="38">
        <f>Inputs!$D$19*(1-Inputs!$C$71*$H225)+Inputs!$D$21+Inputs!$B$71*$J225</f>
        <v>410800</v>
      </c>
      <c r="BM225" s="38">
        <f t="shared" si="170"/>
        <v>-410800</v>
      </c>
      <c r="BN225" s="38">
        <f t="shared" si="171"/>
        <v>1</v>
      </c>
      <c r="BO225" s="38">
        <f>MAX(0,MIN(Inputs!$B$36,BT224,BP225+BQ225+BR225+Inputs!$B$6-BS224))</f>
        <v>0</v>
      </c>
      <c r="BP225" s="38">
        <f>Inputs!$B$27*(1+Inputs!$B$28)^($A225/12)*IF(Inputs!$B$72=1,$G225,1)*(1-Inputs!$C$72*$H225*(1-Inputs!$E$54*Inputs!$B$72))*(1+$I225)*IF(Inputs!$B$29=0,1,(MAX(BS224,0)/Inputs!$B$6)^Inputs!$B$29)</f>
        <v>34012.72879206884</v>
      </c>
      <c r="BQ225" s="38">
        <f>Inputs!$B$32*BS224/Inputs!$B$6</f>
        <v>0</v>
      </c>
      <c r="BR225" s="38">
        <f>Inputs!$B$33</f>
        <v>2500</v>
      </c>
      <c r="BS225" s="38">
        <f t="shared" si="172"/>
        <v>0</v>
      </c>
      <c r="BT225" s="38">
        <f t="shared" si="173"/>
        <v>0</v>
      </c>
      <c r="BU225" s="38">
        <f>Inputs!$B$19*(1-Inputs!$C$72*$H225)+Inputs!$B$21+Inputs!$B$72*$J225</f>
        <v>577500</v>
      </c>
      <c r="BV225" s="38">
        <f t="shared" si="174"/>
        <v>-577500</v>
      </c>
      <c r="BW225" s="38">
        <f t="shared" si="175"/>
        <v>1</v>
      </c>
      <c r="BX225" s="38">
        <f>MAX(0,MIN(Inputs!$C$36,CC224,BY225+BZ225+CA225+Inputs!$C$6-CB224))</f>
        <v>0</v>
      </c>
      <c r="BY225" s="38">
        <f>Inputs!$C$27*(1+Inputs!$C$28)^($A225/12)*IF(Inputs!$B$72=1,$G225,1)*(1-Inputs!$C$72*$H225*(1-Inputs!$E$54*Inputs!$B$72))*(1+$I225)*IF(Inputs!$C$29=0,1,(MAX(CB224,0)/Inputs!$C$6)^Inputs!$C$29)</f>
        <v>0</v>
      </c>
      <c r="BZ225" s="38">
        <f>Inputs!$C$32*CB224/Inputs!$C$6</f>
        <v>0</v>
      </c>
      <c r="CA225" s="38">
        <f>Inputs!$C$33</f>
        <v>2000</v>
      </c>
      <c r="CB225" s="38">
        <f t="shared" si="176"/>
        <v>0</v>
      </c>
      <c r="CC225" s="38">
        <f t="shared" si="177"/>
        <v>0</v>
      </c>
      <c r="CD225" s="38">
        <f>Inputs!$C$19*(1-Inputs!$C$72*$H225)+Inputs!$C$21+Inputs!$B$72*$J225</f>
        <v>480000</v>
      </c>
      <c r="CE225" s="38">
        <f t="shared" si="178"/>
        <v>-480000</v>
      </c>
      <c r="CF225" s="38">
        <f t="shared" si="179"/>
        <v>1</v>
      </c>
      <c r="CG225" s="38">
        <f>MAX(0,MIN(Inputs!$D$36,CL224,CH225+CI225+CJ225+Inputs!$D$6-CK224))</f>
        <v>0</v>
      </c>
      <c r="CH225" s="38">
        <f>Inputs!$D$27*(1+Inputs!$D$28)^($A225/12)*IF(Inputs!$B$72=1,$G225,1)*(1-Inputs!$C$72*$H225*(1-Inputs!$E$54*Inputs!$B$72))*(1+$I225)*IF(Inputs!$D$29=0,1,(MAX(CK224,0)/Inputs!$D$6)^Inputs!$D$29)</f>
        <v>0</v>
      </c>
      <c r="CI225" s="38">
        <f>Inputs!$D$32*CK224/Inputs!$D$6</f>
        <v>0</v>
      </c>
      <c r="CJ225" s="38">
        <f>Inputs!$D$33</f>
        <v>1500</v>
      </c>
      <c r="CK225" s="38">
        <f t="shared" si="180"/>
        <v>0</v>
      </c>
      <c r="CL225" s="38">
        <f t="shared" si="181"/>
        <v>0</v>
      </c>
      <c r="CM225" s="38">
        <f>Inputs!$D$19*(1-Inputs!$C$72*$H225)+Inputs!$D$21+Inputs!$B$72*$J225</f>
        <v>392150</v>
      </c>
      <c r="CN225" s="38">
        <f t="shared" si="182"/>
        <v>-392150</v>
      </c>
      <c r="CO225" s="38">
        <f t="shared" si="183"/>
        <v>1</v>
      </c>
      <c r="CP225" s="38">
        <f>MAX(0,MIN(Inputs!$B$36,CU224,CQ225+CR225+CS225+Inputs!$B$6-CT224))</f>
        <v>0</v>
      </c>
      <c r="CQ225" s="38">
        <f>Inputs!$B$27*(1+Inputs!$B$28)^($A225/12)*IF(Inputs!$B$73=1,$G225,1)*(1-Inputs!$C$73*$H225*(1-Inputs!$E$54*Inputs!$B$73))*(1+$I225)*IF(Inputs!$B$29=0,1,(MAX(CT224,0)/Inputs!$B$6)^Inputs!$B$29)</f>
        <v>30240.985834326646</v>
      </c>
      <c r="CR225" s="38">
        <f>Inputs!$B$32*CT224/Inputs!$B$6</f>
        <v>0</v>
      </c>
      <c r="CS225" s="38">
        <f>Inputs!$B$33</f>
        <v>2500</v>
      </c>
      <c r="CT225" s="38">
        <f t="shared" si="184"/>
        <v>0</v>
      </c>
      <c r="CU225" s="38">
        <f t="shared" si="185"/>
        <v>0</v>
      </c>
      <c r="CV225" s="38">
        <f>Inputs!$B$19*(1-Inputs!$C$73*$H225)+Inputs!$B$21+Inputs!$B$73*$J225</f>
        <v>583500</v>
      </c>
      <c r="CW225" s="38">
        <f t="shared" si="186"/>
        <v>-583500</v>
      </c>
      <c r="CX225" s="38">
        <f t="shared" si="187"/>
        <v>1</v>
      </c>
      <c r="CY225" s="38">
        <f>MAX(0,MIN(Inputs!$C$36,DD224,CZ225+DA225+DB225+Inputs!$C$6-DC224))</f>
        <v>0</v>
      </c>
      <c r="CZ225" s="38">
        <f>Inputs!$C$27*(1+Inputs!$C$28)^($A225/12)*IF(Inputs!$B$73=1,$G225,1)*(1-Inputs!$C$73*$H225*(1-Inputs!$E$54*Inputs!$B$73))*(1+$I225)*IF(Inputs!$C$29=0,1,(MAX(DC224,0)/Inputs!$C$6)^Inputs!$C$29)</f>
        <v>0</v>
      </c>
      <c r="DA225" s="38">
        <f>Inputs!$C$32*DC224/Inputs!$C$6</f>
        <v>0</v>
      </c>
      <c r="DB225" s="38">
        <f>Inputs!$C$33</f>
        <v>2000</v>
      </c>
      <c r="DC225" s="38">
        <f t="shared" si="188"/>
        <v>0</v>
      </c>
      <c r="DD225" s="38">
        <f t="shared" si="189"/>
        <v>0</v>
      </c>
      <c r="DE225" s="38">
        <f>Inputs!$C$19*(1-Inputs!$C$73*$H225)+Inputs!$C$21+Inputs!$B$73*$J225</f>
        <v>486000</v>
      </c>
      <c r="DF225" s="38">
        <f t="shared" si="190"/>
        <v>-486000</v>
      </c>
      <c r="DG225" s="38">
        <f t="shared" si="191"/>
        <v>1</v>
      </c>
      <c r="DH225" s="38">
        <f>MAX(0,MIN(Inputs!$D$36,DM224,DI225+DJ225+DK225+Inputs!$D$6-DL224))</f>
        <v>0</v>
      </c>
      <c r="DI225" s="38">
        <f>Inputs!$D$27*(1+Inputs!$D$28)^($A225/12)*IF(Inputs!$B$73=1,$G225,1)*(1-Inputs!$C$73*$H225*(1-Inputs!$E$54*Inputs!$B$73))*(1+$I225)*IF(Inputs!$D$29=0,1,(MAX(DL224,0)/Inputs!$D$6)^Inputs!$D$29)</f>
        <v>331.14798904216133</v>
      </c>
      <c r="DJ225" s="38">
        <f>Inputs!$D$32*DL224/Inputs!$D$6</f>
        <v>44.465816194199029</v>
      </c>
      <c r="DK225" s="38">
        <f>Inputs!$D$33</f>
        <v>1500</v>
      </c>
      <c r="DL225" s="38">
        <f t="shared" si="192"/>
        <v>7441.0333973577217</v>
      </c>
      <c r="DM225" s="38">
        <f t="shared" si="193"/>
        <v>0</v>
      </c>
      <c r="DN225" s="38">
        <f>Inputs!$D$19*(1-Inputs!$C$73*$H225)+Inputs!$D$21+Inputs!$B$73*$J225</f>
        <v>398150</v>
      </c>
      <c r="DO225" s="38">
        <f t="shared" si="194"/>
        <v>-390708.96660264226</v>
      </c>
      <c r="DP225" s="38">
        <f t="shared" si="195"/>
        <v>1</v>
      </c>
    </row>
    <row r="226" spans="1:120" x14ac:dyDescent="0.35">
      <c r="A226" s="29">
        <v>221</v>
      </c>
      <c r="B226" s="34">
        <f>EDATE(Inputs!$B$67,$A226)</f>
        <v>52994</v>
      </c>
      <c r="C226" s="35">
        <f>IF(Inputs!$E$47&lt;=0,Inputs!$E$46,Inputs!$E$44+(Inputs!$E$46-Inputs!$E$44)*MIN($A226/Inputs!$E$47,1))</f>
        <v>0.7</v>
      </c>
      <c r="D226" s="35">
        <f>MIN(Inputs!$E$57,Inputs!$E$55*(1+Inputs!$E$56)^($A226/12))*Inputs!$E$58*(1+Inputs!$E$59)^($A226/12)/Inputs!$E$45</f>
        <v>1.5</v>
      </c>
      <c r="E226" s="35">
        <f>MAX(Inputs!$E$44,MIN(C226,D226))</f>
        <v>0.7</v>
      </c>
      <c r="F226" s="35">
        <f>IF(Inputs!$E$50&lt;=0,Inputs!$E$49,Inputs!$E$48+(Inputs!$E$49-Inputs!$E$48)*MIN($A226/Inputs!$E$50,1))</f>
        <v>0.12</v>
      </c>
      <c r="G226" s="36">
        <f>(Inputs!$E$41*(1-E226*Inputs!$E$51)+Inputs!$E$42*(1-F226*Inputs!$E$51))/(Inputs!$E$41*(1-Inputs!$E$44*Inputs!$E$51)+Inputs!$E$42*(1-Inputs!$E$48*Inputs!$E$51))</f>
        <v>0.8423127463863338</v>
      </c>
      <c r="H226" s="35">
        <f>IF(Inputs!$E$53&lt;=0,Inputs!$E$52,Inputs!$E$52*MIN($A226/Inputs!$E$53,1))</f>
        <v>0.1</v>
      </c>
      <c r="I226" s="35">
        <f>IF(Inputs!$E$64&lt;=0,Inputs!$E$63,Inputs!$E$62+(Inputs!$E$63-Inputs!$E$62)*MIN($A226/Inputs!$E$64,1))</f>
        <v>0.03</v>
      </c>
      <c r="J226" s="37">
        <f>(E226-Inputs!$E$44)*Inputs!$E$45/Inputs!$E$60*Inputs!$E$61</f>
        <v>5999.9999999999991</v>
      </c>
      <c r="K226" s="29">
        <f t="shared" si="147"/>
        <v>0</v>
      </c>
      <c r="L226" s="29"/>
      <c r="M226" s="38">
        <f>MAX(0,MIN(Inputs!$B$36,R225,N226+O226+P226+Inputs!$B$6-Q225))</f>
        <v>0</v>
      </c>
      <c r="N226" s="38">
        <f>Inputs!$B$27*(1+Inputs!$B$28)^($A226/12)*IF(Inputs!$B$70=1,$G226,1)*(1-Inputs!$C$70*$H226*(1-Inputs!$E$54*Inputs!$B$70))*(1+$I226)*IF(Inputs!$B$29=0,1,(MAX(Q225,0)/Inputs!$B$6)^Inputs!$B$29)</f>
        <v>37945.889843763769</v>
      </c>
      <c r="O226" s="38">
        <f>Inputs!$B$32*Q225/Inputs!$B$6</f>
        <v>0</v>
      </c>
      <c r="P226" s="38">
        <f>Inputs!$B$33</f>
        <v>2500</v>
      </c>
      <c r="Q226" s="38">
        <f t="shared" si="148"/>
        <v>0</v>
      </c>
      <c r="R226" s="38">
        <f t="shared" si="149"/>
        <v>0</v>
      </c>
      <c r="S226" s="38">
        <f>Inputs!$B$19*(1-Inputs!$C$70*$H226)+Inputs!$B$21+Inputs!$B$70*$J226</f>
        <v>595000</v>
      </c>
      <c r="T226" s="38">
        <f t="shared" si="150"/>
        <v>-595000</v>
      </c>
      <c r="U226" s="38">
        <f t="shared" si="151"/>
        <v>1</v>
      </c>
      <c r="V226" s="38">
        <f>MAX(0,MIN(Inputs!$C$36,AA225,W226+X226+Y226+Inputs!$C$6-Z225))</f>
        <v>0</v>
      </c>
      <c r="W226" s="38">
        <f>Inputs!$C$27*(1+Inputs!$C$28)^($A226/12)*IF(Inputs!$B$70=1,$G226,1)*(1-Inputs!$C$70*$H226*(1-Inputs!$E$54*Inputs!$B$70))*(1+$I226)*IF(Inputs!$C$29=0,1,(MAX(Z225,0)/Inputs!$C$6)^Inputs!$C$29)</f>
        <v>0</v>
      </c>
      <c r="X226" s="38">
        <f>Inputs!$C$32*Z225/Inputs!$C$6</f>
        <v>0</v>
      </c>
      <c r="Y226" s="38">
        <f>Inputs!$C$33</f>
        <v>2000</v>
      </c>
      <c r="Z226" s="38">
        <f t="shared" si="152"/>
        <v>0</v>
      </c>
      <c r="AA226" s="38">
        <f t="shared" si="153"/>
        <v>0</v>
      </c>
      <c r="AB226" s="38">
        <f>Inputs!$C$19*(1-Inputs!$C$70*$H226)+Inputs!$C$21+Inputs!$B$70*$J226</f>
        <v>495000</v>
      </c>
      <c r="AC226" s="38">
        <f t="shared" si="154"/>
        <v>-495000</v>
      </c>
      <c r="AD226" s="38">
        <f t="shared" si="155"/>
        <v>1</v>
      </c>
      <c r="AE226" s="38">
        <f>MAX(0,MIN(Inputs!$D$36,AJ225,AF226+AG226+AH226+Inputs!$D$6-AI225))</f>
        <v>0</v>
      </c>
      <c r="AF226" s="38">
        <f>Inputs!$D$27*(1+Inputs!$D$28)^($A226/12)*IF(Inputs!$B$70=1,$G226,1)*(1-Inputs!$C$70*$H226*(1-Inputs!$E$54*Inputs!$B$70))*(1+$I226)*IF(Inputs!$D$29=0,1,(MAX(AI225,0)/Inputs!$D$6)^Inputs!$D$29)</f>
        <v>0</v>
      </c>
      <c r="AG226" s="38">
        <f>Inputs!$D$32*AI225/Inputs!$D$6</f>
        <v>0</v>
      </c>
      <c r="AH226" s="38">
        <f>Inputs!$D$33</f>
        <v>1500</v>
      </c>
      <c r="AI226" s="38">
        <f t="shared" si="156"/>
        <v>0</v>
      </c>
      <c r="AJ226" s="38">
        <f t="shared" si="157"/>
        <v>0</v>
      </c>
      <c r="AK226" s="38">
        <f>Inputs!$D$19*(1-Inputs!$C$70*$H226)+Inputs!$D$21+Inputs!$B$70*$J226</f>
        <v>404800</v>
      </c>
      <c r="AL226" s="38">
        <f t="shared" si="158"/>
        <v>-404800</v>
      </c>
      <c r="AM226" s="38">
        <f t="shared" si="159"/>
        <v>1</v>
      </c>
      <c r="AN226" s="38">
        <f>MAX(0,MIN(Inputs!$B$36,AS225,AO226+AP226+AQ226+Inputs!$B$6-AR225))</f>
        <v>0</v>
      </c>
      <c r="AO226" s="38">
        <f>Inputs!$B$27*(1+Inputs!$B$28)^($A226/12)*IF(Inputs!$B$71=1,$G226,1)*(1-Inputs!$C$71*$H226*(1-Inputs!$E$54*Inputs!$B$71))*(1+$I226)*IF(Inputs!$B$29=0,1,(MAX(AR225,0)/Inputs!$B$6)^Inputs!$B$29)</f>
        <v>31962.306688373952</v>
      </c>
      <c r="AP226" s="38">
        <f>Inputs!$B$32*AR225/Inputs!$B$6</f>
        <v>0</v>
      </c>
      <c r="AQ226" s="38">
        <f>Inputs!$B$33</f>
        <v>2500</v>
      </c>
      <c r="AR226" s="38">
        <f t="shared" si="160"/>
        <v>0</v>
      </c>
      <c r="AS226" s="38">
        <f t="shared" si="161"/>
        <v>0</v>
      </c>
      <c r="AT226" s="38">
        <f>Inputs!$B$19*(1-Inputs!$C$71*$H226)+Inputs!$B$21+Inputs!$B$71*$J226</f>
        <v>601000</v>
      </c>
      <c r="AU226" s="38">
        <f t="shared" si="162"/>
        <v>-601000</v>
      </c>
      <c r="AV226" s="38">
        <f t="shared" si="163"/>
        <v>1</v>
      </c>
      <c r="AW226" s="38">
        <f>MAX(0,MIN(Inputs!$C$36,BB225,AX226+AY226+AZ226+Inputs!$C$6-BA225))</f>
        <v>0</v>
      </c>
      <c r="AX226" s="38">
        <f>Inputs!$C$27*(1+Inputs!$C$28)^($A226/12)*IF(Inputs!$B$71=1,$G226,1)*(1-Inputs!$C$71*$H226*(1-Inputs!$E$54*Inputs!$B$71))*(1+$I226)*IF(Inputs!$C$29=0,1,(MAX(BA225,0)/Inputs!$C$6)^Inputs!$C$29)</f>
        <v>0</v>
      </c>
      <c r="AY226" s="38">
        <f>Inputs!$C$32*BA225/Inputs!$C$6</f>
        <v>0</v>
      </c>
      <c r="AZ226" s="38">
        <f>Inputs!$C$33</f>
        <v>2000</v>
      </c>
      <c r="BA226" s="38">
        <f t="shared" si="164"/>
        <v>0</v>
      </c>
      <c r="BB226" s="38">
        <f t="shared" si="165"/>
        <v>0</v>
      </c>
      <c r="BC226" s="38">
        <f>Inputs!$C$19*(1-Inputs!$C$71*$H226)+Inputs!$C$21+Inputs!$B$71*$J226</f>
        <v>501000</v>
      </c>
      <c r="BD226" s="38">
        <f t="shared" si="166"/>
        <v>-501000</v>
      </c>
      <c r="BE226" s="38">
        <f t="shared" si="167"/>
        <v>1</v>
      </c>
      <c r="BF226" s="38">
        <f>MAX(0,MIN(Inputs!$D$36,BK225,BG226+BH226+BI226+Inputs!$D$6-BJ225))</f>
        <v>0</v>
      </c>
      <c r="BG226" s="38">
        <f>Inputs!$D$27*(1+Inputs!$D$28)^($A226/12)*IF(Inputs!$B$71=1,$G226,1)*(1-Inputs!$C$71*$H226*(1-Inputs!$E$54*Inputs!$B$71))*(1+$I226)*IF(Inputs!$D$29=0,1,(MAX(BJ225,0)/Inputs!$D$6)^Inputs!$D$29)</f>
        <v>0</v>
      </c>
      <c r="BH226" s="38">
        <f>Inputs!$D$32*BJ225/Inputs!$D$6</f>
        <v>0</v>
      </c>
      <c r="BI226" s="38">
        <f>Inputs!$D$33</f>
        <v>1500</v>
      </c>
      <c r="BJ226" s="38">
        <f t="shared" si="168"/>
        <v>0</v>
      </c>
      <c r="BK226" s="38">
        <f t="shared" si="169"/>
        <v>0</v>
      </c>
      <c r="BL226" s="38">
        <f>Inputs!$D$19*(1-Inputs!$C$71*$H226)+Inputs!$D$21+Inputs!$B$71*$J226</f>
        <v>410800</v>
      </c>
      <c r="BM226" s="38">
        <f t="shared" si="170"/>
        <v>-410800</v>
      </c>
      <c r="BN226" s="38">
        <f t="shared" si="171"/>
        <v>1</v>
      </c>
      <c r="BO226" s="38">
        <f>MAX(0,MIN(Inputs!$B$36,BT225,BP226+BQ226+BR226+Inputs!$B$6-BS225))</f>
        <v>0</v>
      </c>
      <c r="BP226" s="38">
        <f>Inputs!$B$27*(1+Inputs!$B$28)^($A226/12)*IF(Inputs!$B$72=1,$G226,1)*(1-Inputs!$C$72*$H226*(1-Inputs!$E$54*Inputs!$B$72))*(1+$I226)*IF(Inputs!$B$29=0,1,(MAX(BS225,0)/Inputs!$B$6)^Inputs!$B$29)</f>
        <v>34151.300859387396</v>
      </c>
      <c r="BQ226" s="38">
        <f>Inputs!$B$32*BS225/Inputs!$B$6</f>
        <v>0</v>
      </c>
      <c r="BR226" s="38">
        <f>Inputs!$B$33</f>
        <v>2500</v>
      </c>
      <c r="BS226" s="38">
        <f t="shared" si="172"/>
        <v>0</v>
      </c>
      <c r="BT226" s="38">
        <f t="shared" si="173"/>
        <v>0</v>
      </c>
      <c r="BU226" s="38">
        <f>Inputs!$B$19*(1-Inputs!$C$72*$H226)+Inputs!$B$21+Inputs!$B$72*$J226</f>
        <v>577500</v>
      </c>
      <c r="BV226" s="38">
        <f t="shared" si="174"/>
        <v>-577500</v>
      </c>
      <c r="BW226" s="38">
        <f t="shared" si="175"/>
        <v>1</v>
      </c>
      <c r="BX226" s="38">
        <f>MAX(0,MIN(Inputs!$C$36,CC225,BY226+BZ226+CA226+Inputs!$C$6-CB225))</f>
        <v>0</v>
      </c>
      <c r="BY226" s="38">
        <f>Inputs!$C$27*(1+Inputs!$C$28)^($A226/12)*IF(Inputs!$B$72=1,$G226,1)*(1-Inputs!$C$72*$H226*(1-Inputs!$E$54*Inputs!$B$72))*(1+$I226)*IF(Inputs!$C$29=0,1,(MAX(CB225,0)/Inputs!$C$6)^Inputs!$C$29)</f>
        <v>0</v>
      </c>
      <c r="BZ226" s="38">
        <f>Inputs!$C$32*CB225/Inputs!$C$6</f>
        <v>0</v>
      </c>
      <c r="CA226" s="38">
        <f>Inputs!$C$33</f>
        <v>2000</v>
      </c>
      <c r="CB226" s="38">
        <f t="shared" si="176"/>
        <v>0</v>
      </c>
      <c r="CC226" s="38">
        <f t="shared" si="177"/>
        <v>0</v>
      </c>
      <c r="CD226" s="38">
        <f>Inputs!$C$19*(1-Inputs!$C$72*$H226)+Inputs!$C$21+Inputs!$B$72*$J226</f>
        <v>480000</v>
      </c>
      <c r="CE226" s="38">
        <f t="shared" si="178"/>
        <v>-480000</v>
      </c>
      <c r="CF226" s="38">
        <f t="shared" si="179"/>
        <v>1</v>
      </c>
      <c r="CG226" s="38">
        <f>MAX(0,MIN(Inputs!$D$36,CL225,CH226+CI226+CJ226+Inputs!$D$6-CK225))</f>
        <v>0</v>
      </c>
      <c r="CH226" s="38">
        <f>Inputs!$D$27*(1+Inputs!$D$28)^($A226/12)*IF(Inputs!$B$72=1,$G226,1)*(1-Inputs!$C$72*$H226*(1-Inputs!$E$54*Inputs!$B$72))*(1+$I226)*IF(Inputs!$D$29=0,1,(MAX(CK225,0)/Inputs!$D$6)^Inputs!$D$29)</f>
        <v>0</v>
      </c>
      <c r="CI226" s="38">
        <f>Inputs!$D$32*CK225/Inputs!$D$6</f>
        <v>0</v>
      </c>
      <c r="CJ226" s="38">
        <f>Inputs!$D$33</f>
        <v>1500</v>
      </c>
      <c r="CK226" s="38">
        <f t="shared" si="180"/>
        <v>0</v>
      </c>
      <c r="CL226" s="38">
        <f t="shared" si="181"/>
        <v>0</v>
      </c>
      <c r="CM226" s="38">
        <f>Inputs!$D$19*(1-Inputs!$C$72*$H226)+Inputs!$D$21+Inputs!$B$72*$J226</f>
        <v>392150</v>
      </c>
      <c r="CN226" s="38">
        <f t="shared" si="182"/>
        <v>-392150</v>
      </c>
      <c r="CO226" s="38">
        <f t="shared" si="183"/>
        <v>1</v>
      </c>
      <c r="CP226" s="38">
        <f>MAX(0,MIN(Inputs!$B$36,CU225,CQ226+CR226+CS226+Inputs!$B$6-CT225))</f>
        <v>0</v>
      </c>
      <c r="CQ226" s="38">
        <f>Inputs!$B$27*(1+Inputs!$B$28)^($A226/12)*IF(Inputs!$B$73=1,$G226,1)*(1-Inputs!$C$73*$H226*(1-Inputs!$E$54*Inputs!$B$73))*(1+$I226)*IF(Inputs!$B$29=0,1,(MAX(CT225,0)/Inputs!$B$6)^Inputs!$B$29)</f>
        <v>30364.191353955252</v>
      </c>
      <c r="CR226" s="38">
        <f>Inputs!$B$32*CT225/Inputs!$B$6</f>
        <v>0</v>
      </c>
      <c r="CS226" s="38">
        <f>Inputs!$B$33</f>
        <v>2500</v>
      </c>
      <c r="CT226" s="38">
        <f t="shared" si="184"/>
        <v>0</v>
      </c>
      <c r="CU226" s="38">
        <f t="shared" si="185"/>
        <v>0</v>
      </c>
      <c r="CV226" s="38">
        <f>Inputs!$B$19*(1-Inputs!$C$73*$H226)+Inputs!$B$21+Inputs!$B$73*$J226</f>
        <v>583500</v>
      </c>
      <c r="CW226" s="38">
        <f t="shared" si="186"/>
        <v>-583500</v>
      </c>
      <c r="CX226" s="38">
        <f t="shared" si="187"/>
        <v>1</v>
      </c>
      <c r="CY226" s="38">
        <f>MAX(0,MIN(Inputs!$C$36,DD225,CZ226+DA226+DB226+Inputs!$C$6-DC225))</f>
        <v>0</v>
      </c>
      <c r="CZ226" s="38">
        <f>Inputs!$C$27*(1+Inputs!$C$28)^($A226/12)*IF(Inputs!$B$73=1,$G226,1)*(1-Inputs!$C$73*$H226*(1-Inputs!$E$54*Inputs!$B$73))*(1+$I226)*IF(Inputs!$C$29=0,1,(MAX(DC225,0)/Inputs!$C$6)^Inputs!$C$29)</f>
        <v>0</v>
      </c>
      <c r="DA226" s="38">
        <f>Inputs!$C$32*DC225/Inputs!$C$6</f>
        <v>0</v>
      </c>
      <c r="DB226" s="38">
        <f>Inputs!$C$33</f>
        <v>2000</v>
      </c>
      <c r="DC226" s="38">
        <f t="shared" si="188"/>
        <v>0</v>
      </c>
      <c r="DD226" s="38">
        <f t="shared" si="189"/>
        <v>0</v>
      </c>
      <c r="DE226" s="38">
        <f>Inputs!$C$19*(1-Inputs!$C$73*$H226)+Inputs!$C$21+Inputs!$B$73*$J226</f>
        <v>486000</v>
      </c>
      <c r="DF226" s="38">
        <f t="shared" si="190"/>
        <v>-486000</v>
      </c>
      <c r="DG226" s="38">
        <f t="shared" si="191"/>
        <v>1</v>
      </c>
      <c r="DH226" s="38">
        <f>MAX(0,MIN(Inputs!$D$36,DM225,DI226+DJ226+DK226+Inputs!$D$6-DL225))</f>
        <v>0</v>
      </c>
      <c r="DI226" s="38">
        <f>Inputs!$D$27*(1+Inputs!$D$28)^($A226/12)*IF(Inputs!$B$73=1,$G226,1)*(1-Inputs!$C$73*$H226*(1-Inputs!$E$54*Inputs!$B$73))*(1+$I226)*IF(Inputs!$D$29=0,1,(MAX(DL225,0)/Inputs!$D$6)^Inputs!$D$29)</f>
        <v>294.68128678629023</v>
      </c>
      <c r="DJ226" s="38">
        <f>Inputs!$D$32*DL225/Inputs!$D$6</f>
        <v>35.514023032843674</v>
      </c>
      <c r="DK226" s="38">
        <f>Inputs!$D$33</f>
        <v>1500</v>
      </c>
      <c r="DL226" s="38">
        <f t="shared" si="192"/>
        <v>5610.8380875385883</v>
      </c>
      <c r="DM226" s="38">
        <f t="shared" si="193"/>
        <v>0</v>
      </c>
      <c r="DN226" s="38">
        <f>Inputs!$D$19*(1-Inputs!$C$73*$H226)+Inputs!$D$21+Inputs!$B$73*$J226</f>
        <v>398150</v>
      </c>
      <c r="DO226" s="38">
        <f t="shared" si="194"/>
        <v>-392539.16191246139</v>
      </c>
      <c r="DP226" s="38">
        <f t="shared" si="195"/>
        <v>1</v>
      </c>
    </row>
    <row r="227" spans="1:120" x14ac:dyDescent="0.35">
      <c r="A227" s="29">
        <v>222</v>
      </c>
      <c r="B227" s="34">
        <f>EDATE(Inputs!$B$67,$A227)</f>
        <v>53022</v>
      </c>
      <c r="C227" s="35">
        <f>IF(Inputs!$E$47&lt;=0,Inputs!$E$46,Inputs!$E$44+(Inputs!$E$46-Inputs!$E$44)*MIN($A227/Inputs!$E$47,1))</f>
        <v>0.7</v>
      </c>
      <c r="D227" s="35">
        <f>MIN(Inputs!$E$57,Inputs!$E$55*(1+Inputs!$E$56)^($A227/12))*Inputs!$E$58*(1+Inputs!$E$59)^($A227/12)/Inputs!$E$45</f>
        <v>1.5</v>
      </c>
      <c r="E227" s="35">
        <f>MAX(Inputs!$E$44,MIN(C227,D227))</f>
        <v>0.7</v>
      </c>
      <c r="F227" s="35">
        <f>IF(Inputs!$E$50&lt;=0,Inputs!$E$49,Inputs!$E$48+(Inputs!$E$49-Inputs!$E$48)*MIN($A227/Inputs!$E$50,1))</f>
        <v>0.12</v>
      </c>
      <c r="G227" s="36">
        <f>(Inputs!$E$41*(1-E227*Inputs!$E$51)+Inputs!$E$42*(1-F227*Inputs!$E$51))/(Inputs!$E$41*(1-Inputs!$E$44*Inputs!$E$51)+Inputs!$E$42*(1-Inputs!$E$48*Inputs!$E$51))</f>
        <v>0.8423127463863338</v>
      </c>
      <c r="H227" s="35">
        <f>IF(Inputs!$E$53&lt;=0,Inputs!$E$52,Inputs!$E$52*MIN($A227/Inputs!$E$53,1))</f>
        <v>0.1</v>
      </c>
      <c r="I227" s="35">
        <f>IF(Inputs!$E$64&lt;=0,Inputs!$E$63,Inputs!$E$62+(Inputs!$E$63-Inputs!$E$62)*MIN($A227/Inputs!$E$64,1))</f>
        <v>0.03</v>
      </c>
      <c r="J227" s="37">
        <f>(E227-Inputs!$E$44)*Inputs!$E$45/Inputs!$E$60*Inputs!$E$61</f>
        <v>5999.9999999999991</v>
      </c>
      <c r="K227" s="29">
        <f t="shared" si="147"/>
        <v>0</v>
      </c>
      <c r="L227" s="29"/>
      <c r="M227" s="38">
        <f>MAX(0,MIN(Inputs!$B$36,R226,N227+O227+P227+Inputs!$B$6-Q226))</f>
        <v>0</v>
      </c>
      <c r="N227" s="38">
        <f>Inputs!$B$27*(1+Inputs!$B$28)^($A227/12)*IF(Inputs!$B$70=1,$G227,1)*(1-Inputs!$C$70*$H227*(1-Inputs!$E$54*Inputs!$B$70))*(1+$I227)*IF(Inputs!$B$29=0,1,(MAX(Q226,0)/Inputs!$B$6)^Inputs!$B$29)</f>
        <v>38100.486096067943</v>
      </c>
      <c r="O227" s="38">
        <f>Inputs!$B$32*Q226/Inputs!$B$6</f>
        <v>0</v>
      </c>
      <c r="P227" s="38">
        <f>Inputs!$B$33</f>
        <v>2500</v>
      </c>
      <c r="Q227" s="38">
        <f t="shared" si="148"/>
        <v>0</v>
      </c>
      <c r="R227" s="38">
        <f t="shared" si="149"/>
        <v>0</v>
      </c>
      <c r="S227" s="38">
        <f>Inputs!$B$19*(1-Inputs!$C$70*$H227)+Inputs!$B$21+Inputs!$B$70*$J227</f>
        <v>595000</v>
      </c>
      <c r="T227" s="38">
        <f t="shared" si="150"/>
        <v>-595000</v>
      </c>
      <c r="U227" s="38">
        <f t="shared" si="151"/>
        <v>1</v>
      </c>
      <c r="V227" s="38">
        <f>MAX(0,MIN(Inputs!$C$36,AA226,W227+X227+Y227+Inputs!$C$6-Z226))</f>
        <v>0</v>
      </c>
      <c r="W227" s="38">
        <f>Inputs!$C$27*(1+Inputs!$C$28)^($A227/12)*IF(Inputs!$B$70=1,$G227,1)*(1-Inputs!$C$70*$H227*(1-Inputs!$E$54*Inputs!$B$70))*(1+$I227)*IF(Inputs!$C$29=0,1,(MAX(Z226,0)/Inputs!$C$6)^Inputs!$C$29)</f>
        <v>0</v>
      </c>
      <c r="X227" s="38">
        <f>Inputs!$C$32*Z226/Inputs!$C$6</f>
        <v>0</v>
      </c>
      <c r="Y227" s="38">
        <f>Inputs!$C$33</f>
        <v>2000</v>
      </c>
      <c r="Z227" s="38">
        <f t="shared" si="152"/>
        <v>0</v>
      </c>
      <c r="AA227" s="38">
        <f t="shared" si="153"/>
        <v>0</v>
      </c>
      <c r="AB227" s="38">
        <f>Inputs!$C$19*(1-Inputs!$C$70*$H227)+Inputs!$C$21+Inputs!$B$70*$J227</f>
        <v>495000</v>
      </c>
      <c r="AC227" s="38">
        <f t="shared" si="154"/>
        <v>-495000</v>
      </c>
      <c r="AD227" s="38">
        <f t="shared" si="155"/>
        <v>1</v>
      </c>
      <c r="AE227" s="38">
        <f>MAX(0,MIN(Inputs!$D$36,AJ226,AF227+AG227+AH227+Inputs!$D$6-AI226))</f>
        <v>0</v>
      </c>
      <c r="AF227" s="38">
        <f>Inputs!$D$27*(1+Inputs!$D$28)^($A227/12)*IF(Inputs!$B$70=1,$G227,1)*(1-Inputs!$C$70*$H227*(1-Inputs!$E$54*Inputs!$B$70))*(1+$I227)*IF(Inputs!$D$29=0,1,(MAX(AI226,0)/Inputs!$D$6)^Inputs!$D$29)</f>
        <v>0</v>
      </c>
      <c r="AG227" s="38">
        <f>Inputs!$D$32*AI226/Inputs!$D$6</f>
        <v>0</v>
      </c>
      <c r="AH227" s="38">
        <f>Inputs!$D$33</f>
        <v>1500</v>
      </c>
      <c r="AI227" s="38">
        <f t="shared" si="156"/>
        <v>0</v>
      </c>
      <c r="AJ227" s="38">
        <f t="shared" si="157"/>
        <v>0</v>
      </c>
      <c r="AK227" s="38">
        <f>Inputs!$D$19*(1-Inputs!$C$70*$H227)+Inputs!$D$21+Inputs!$B$70*$J227</f>
        <v>404800</v>
      </c>
      <c r="AL227" s="38">
        <f t="shared" si="158"/>
        <v>-404800</v>
      </c>
      <c r="AM227" s="38">
        <f t="shared" si="159"/>
        <v>1</v>
      </c>
      <c r="AN227" s="38">
        <f>MAX(0,MIN(Inputs!$B$36,AS226,AO227+AP227+AQ227+Inputs!$B$6-AR226))</f>
        <v>0</v>
      </c>
      <c r="AO227" s="38">
        <f>Inputs!$B$27*(1+Inputs!$B$28)^($A227/12)*IF(Inputs!$B$71=1,$G227,1)*(1-Inputs!$C$71*$H227*(1-Inputs!$E$54*Inputs!$B$71))*(1+$I227)*IF(Inputs!$B$29=0,1,(MAX(AR226,0)/Inputs!$B$6)^Inputs!$B$29)</f>
        <v>32092.525082233315</v>
      </c>
      <c r="AP227" s="38">
        <f>Inputs!$B$32*AR226/Inputs!$B$6</f>
        <v>0</v>
      </c>
      <c r="AQ227" s="38">
        <f>Inputs!$B$33</f>
        <v>2500</v>
      </c>
      <c r="AR227" s="38">
        <f t="shared" si="160"/>
        <v>0</v>
      </c>
      <c r="AS227" s="38">
        <f t="shared" si="161"/>
        <v>0</v>
      </c>
      <c r="AT227" s="38">
        <f>Inputs!$B$19*(1-Inputs!$C$71*$H227)+Inputs!$B$21+Inputs!$B$71*$J227</f>
        <v>601000</v>
      </c>
      <c r="AU227" s="38">
        <f t="shared" si="162"/>
        <v>-601000</v>
      </c>
      <c r="AV227" s="38">
        <f t="shared" si="163"/>
        <v>1</v>
      </c>
      <c r="AW227" s="38">
        <f>MAX(0,MIN(Inputs!$C$36,BB226,AX227+AY227+AZ227+Inputs!$C$6-BA226))</f>
        <v>0</v>
      </c>
      <c r="AX227" s="38">
        <f>Inputs!$C$27*(1+Inputs!$C$28)^($A227/12)*IF(Inputs!$B$71=1,$G227,1)*(1-Inputs!$C$71*$H227*(1-Inputs!$E$54*Inputs!$B$71))*(1+$I227)*IF(Inputs!$C$29=0,1,(MAX(BA226,0)/Inputs!$C$6)^Inputs!$C$29)</f>
        <v>0</v>
      </c>
      <c r="AY227" s="38">
        <f>Inputs!$C$32*BA226/Inputs!$C$6</f>
        <v>0</v>
      </c>
      <c r="AZ227" s="38">
        <f>Inputs!$C$33</f>
        <v>2000</v>
      </c>
      <c r="BA227" s="38">
        <f t="shared" si="164"/>
        <v>0</v>
      </c>
      <c r="BB227" s="38">
        <f t="shared" si="165"/>
        <v>0</v>
      </c>
      <c r="BC227" s="38">
        <f>Inputs!$C$19*(1-Inputs!$C$71*$H227)+Inputs!$C$21+Inputs!$B$71*$J227</f>
        <v>501000</v>
      </c>
      <c r="BD227" s="38">
        <f t="shared" si="166"/>
        <v>-501000</v>
      </c>
      <c r="BE227" s="38">
        <f t="shared" si="167"/>
        <v>1</v>
      </c>
      <c r="BF227" s="38">
        <f>MAX(0,MIN(Inputs!$D$36,BK226,BG227+BH227+BI227+Inputs!$D$6-BJ226))</f>
        <v>0</v>
      </c>
      <c r="BG227" s="38">
        <f>Inputs!$D$27*(1+Inputs!$D$28)^($A227/12)*IF(Inputs!$B$71=1,$G227,1)*(1-Inputs!$C$71*$H227*(1-Inputs!$E$54*Inputs!$B$71))*(1+$I227)*IF(Inputs!$D$29=0,1,(MAX(BJ226,0)/Inputs!$D$6)^Inputs!$D$29)</f>
        <v>0</v>
      </c>
      <c r="BH227" s="38">
        <f>Inputs!$D$32*BJ226/Inputs!$D$6</f>
        <v>0</v>
      </c>
      <c r="BI227" s="38">
        <f>Inputs!$D$33</f>
        <v>1500</v>
      </c>
      <c r="BJ227" s="38">
        <f t="shared" si="168"/>
        <v>0</v>
      </c>
      <c r="BK227" s="38">
        <f t="shared" si="169"/>
        <v>0</v>
      </c>
      <c r="BL227" s="38">
        <f>Inputs!$D$19*(1-Inputs!$C$71*$H227)+Inputs!$D$21+Inputs!$B$71*$J227</f>
        <v>410800</v>
      </c>
      <c r="BM227" s="38">
        <f t="shared" si="170"/>
        <v>-410800</v>
      </c>
      <c r="BN227" s="38">
        <f t="shared" si="171"/>
        <v>1</v>
      </c>
      <c r="BO227" s="38">
        <f>MAX(0,MIN(Inputs!$B$36,BT226,BP227+BQ227+BR227+Inputs!$B$6-BS226))</f>
        <v>0</v>
      </c>
      <c r="BP227" s="38">
        <f>Inputs!$B$27*(1+Inputs!$B$28)^($A227/12)*IF(Inputs!$B$72=1,$G227,1)*(1-Inputs!$C$72*$H227*(1-Inputs!$E$54*Inputs!$B$72))*(1+$I227)*IF(Inputs!$B$29=0,1,(MAX(BS226,0)/Inputs!$B$6)^Inputs!$B$29)</f>
        <v>34290.437486461153</v>
      </c>
      <c r="BQ227" s="38">
        <f>Inputs!$B$32*BS226/Inputs!$B$6</f>
        <v>0</v>
      </c>
      <c r="BR227" s="38">
        <f>Inputs!$B$33</f>
        <v>2500</v>
      </c>
      <c r="BS227" s="38">
        <f t="shared" si="172"/>
        <v>0</v>
      </c>
      <c r="BT227" s="38">
        <f t="shared" si="173"/>
        <v>0</v>
      </c>
      <c r="BU227" s="38">
        <f>Inputs!$B$19*(1-Inputs!$C$72*$H227)+Inputs!$B$21+Inputs!$B$72*$J227</f>
        <v>577500</v>
      </c>
      <c r="BV227" s="38">
        <f t="shared" si="174"/>
        <v>-577500</v>
      </c>
      <c r="BW227" s="38">
        <f t="shared" si="175"/>
        <v>1</v>
      </c>
      <c r="BX227" s="38">
        <f>MAX(0,MIN(Inputs!$C$36,CC226,BY227+BZ227+CA227+Inputs!$C$6-CB226))</f>
        <v>0</v>
      </c>
      <c r="BY227" s="38">
        <f>Inputs!$C$27*(1+Inputs!$C$28)^($A227/12)*IF(Inputs!$B$72=1,$G227,1)*(1-Inputs!$C$72*$H227*(1-Inputs!$E$54*Inputs!$B$72))*(1+$I227)*IF(Inputs!$C$29=0,1,(MAX(CB226,0)/Inputs!$C$6)^Inputs!$C$29)</f>
        <v>0</v>
      </c>
      <c r="BZ227" s="38">
        <f>Inputs!$C$32*CB226/Inputs!$C$6</f>
        <v>0</v>
      </c>
      <c r="CA227" s="38">
        <f>Inputs!$C$33</f>
        <v>2000</v>
      </c>
      <c r="CB227" s="38">
        <f t="shared" si="176"/>
        <v>0</v>
      </c>
      <c r="CC227" s="38">
        <f t="shared" si="177"/>
        <v>0</v>
      </c>
      <c r="CD227" s="38">
        <f>Inputs!$C$19*(1-Inputs!$C$72*$H227)+Inputs!$C$21+Inputs!$B$72*$J227</f>
        <v>480000</v>
      </c>
      <c r="CE227" s="38">
        <f t="shared" si="178"/>
        <v>-480000</v>
      </c>
      <c r="CF227" s="38">
        <f t="shared" si="179"/>
        <v>1</v>
      </c>
      <c r="CG227" s="38">
        <f>MAX(0,MIN(Inputs!$D$36,CL226,CH227+CI227+CJ227+Inputs!$D$6-CK226))</f>
        <v>0</v>
      </c>
      <c r="CH227" s="38">
        <f>Inputs!$D$27*(1+Inputs!$D$28)^($A227/12)*IF(Inputs!$B$72=1,$G227,1)*(1-Inputs!$C$72*$H227*(1-Inputs!$E$54*Inputs!$B$72))*(1+$I227)*IF(Inputs!$D$29=0,1,(MAX(CK226,0)/Inputs!$D$6)^Inputs!$D$29)</f>
        <v>0</v>
      </c>
      <c r="CI227" s="38">
        <f>Inputs!$D$32*CK226/Inputs!$D$6</f>
        <v>0</v>
      </c>
      <c r="CJ227" s="38">
        <f>Inputs!$D$33</f>
        <v>1500</v>
      </c>
      <c r="CK227" s="38">
        <f t="shared" si="180"/>
        <v>0</v>
      </c>
      <c r="CL227" s="38">
        <f t="shared" si="181"/>
        <v>0</v>
      </c>
      <c r="CM227" s="38">
        <f>Inputs!$D$19*(1-Inputs!$C$72*$H227)+Inputs!$D$21+Inputs!$B$72*$J227</f>
        <v>392150</v>
      </c>
      <c r="CN227" s="38">
        <f t="shared" si="182"/>
        <v>-392150</v>
      </c>
      <c r="CO227" s="38">
        <f t="shared" si="183"/>
        <v>1</v>
      </c>
      <c r="CP227" s="38">
        <f>MAX(0,MIN(Inputs!$B$36,CU226,CQ227+CR227+CS227+Inputs!$B$6-CT226))</f>
        <v>0</v>
      </c>
      <c r="CQ227" s="38">
        <f>Inputs!$B$27*(1+Inputs!$B$28)^($A227/12)*IF(Inputs!$B$73=1,$G227,1)*(1-Inputs!$C$73*$H227*(1-Inputs!$E$54*Inputs!$B$73))*(1+$I227)*IF(Inputs!$B$29=0,1,(MAX(CT226,0)/Inputs!$B$6)^Inputs!$B$29)</f>
        <v>30487.898828121644</v>
      </c>
      <c r="CR227" s="38">
        <f>Inputs!$B$32*CT226/Inputs!$B$6</f>
        <v>0</v>
      </c>
      <c r="CS227" s="38">
        <f>Inputs!$B$33</f>
        <v>2500</v>
      </c>
      <c r="CT227" s="38">
        <f t="shared" si="184"/>
        <v>0</v>
      </c>
      <c r="CU227" s="38">
        <f t="shared" si="185"/>
        <v>0</v>
      </c>
      <c r="CV227" s="38">
        <f>Inputs!$B$19*(1-Inputs!$C$73*$H227)+Inputs!$B$21+Inputs!$B$73*$J227</f>
        <v>583500</v>
      </c>
      <c r="CW227" s="38">
        <f t="shared" si="186"/>
        <v>-583500</v>
      </c>
      <c r="CX227" s="38">
        <f t="shared" si="187"/>
        <v>1</v>
      </c>
      <c r="CY227" s="38">
        <f>MAX(0,MIN(Inputs!$C$36,DD226,CZ227+DA227+DB227+Inputs!$C$6-DC226))</f>
        <v>0</v>
      </c>
      <c r="CZ227" s="38">
        <f>Inputs!$C$27*(1+Inputs!$C$28)^($A227/12)*IF(Inputs!$B$73=1,$G227,1)*(1-Inputs!$C$73*$H227*(1-Inputs!$E$54*Inputs!$B$73))*(1+$I227)*IF(Inputs!$C$29=0,1,(MAX(DC226,0)/Inputs!$C$6)^Inputs!$C$29)</f>
        <v>0</v>
      </c>
      <c r="DA227" s="38">
        <f>Inputs!$C$32*DC226/Inputs!$C$6</f>
        <v>0</v>
      </c>
      <c r="DB227" s="38">
        <f>Inputs!$C$33</f>
        <v>2000</v>
      </c>
      <c r="DC227" s="38">
        <f t="shared" si="188"/>
        <v>0</v>
      </c>
      <c r="DD227" s="38">
        <f t="shared" si="189"/>
        <v>0</v>
      </c>
      <c r="DE227" s="38">
        <f>Inputs!$C$19*(1-Inputs!$C$73*$H227)+Inputs!$C$21+Inputs!$B$73*$J227</f>
        <v>486000</v>
      </c>
      <c r="DF227" s="38">
        <f t="shared" si="190"/>
        <v>-486000</v>
      </c>
      <c r="DG227" s="38">
        <f t="shared" si="191"/>
        <v>1</v>
      </c>
      <c r="DH227" s="38">
        <f>MAX(0,MIN(Inputs!$D$36,DM226,DI227+DJ227+DK227+Inputs!$D$6-DL226))</f>
        <v>0</v>
      </c>
      <c r="DI227" s="38">
        <f>Inputs!$D$27*(1+Inputs!$D$28)^($A227/12)*IF(Inputs!$B$73=1,$G227,1)*(1-Inputs!$C$73*$H227*(1-Inputs!$E$54*Inputs!$B$73))*(1+$I227)*IF(Inputs!$D$29=0,1,(MAX(DL226,0)/Inputs!$D$6)^Inputs!$D$29)</f>
        <v>254.79648514303594</v>
      </c>
      <c r="DJ227" s="38">
        <f>Inputs!$D$32*DL226/Inputs!$D$6</f>
        <v>26.778999963252353</v>
      </c>
      <c r="DK227" s="38">
        <f>Inputs!$D$33</f>
        <v>1500</v>
      </c>
      <c r="DL227" s="38">
        <f t="shared" si="192"/>
        <v>3829.2626024322999</v>
      </c>
      <c r="DM227" s="38">
        <f t="shared" si="193"/>
        <v>0</v>
      </c>
      <c r="DN227" s="38">
        <f>Inputs!$D$19*(1-Inputs!$C$73*$H227)+Inputs!$D$21+Inputs!$B$73*$J227</f>
        <v>398150</v>
      </c>
      <c r="DO227" s="38">
        <f t="shared" si="194"/>
        <v>-394320.73739756772</v>
      </c>
      <c r="DP227" s="38">
        <f t="shared" si="195"/>
        <v>1</v>
      </c>
    </row>
    <row r="228" spans="1:120" x14ac:dyDescent="0.35">
      <c r="A228" s="29">
        <v>223</v>
      </c>
      <c r="B228" s="34">
        <f>EDATE(Inputs!$B$67,$A228)</f>
        <v>53053</v>
      </c>
      <c r="C228" s="35">
        <f>IF(Inputs!$E$47&lt;=0,Inputs!$E$46,Inputs!$E$44+(Inputs!$E$46-Inputs!$E$44)*MIN($A228/Inputs!$E$47,1))</f>
        <v>0.7</v>
      </c>
      <c r="D228" s="35">
        <f>MIN(Inputs!$E$57,Inputs!$E$55*(1+Inputs!$E$56)^($A228/12))*Inputs!$E$58*(1+Inputs!$E$59)^($A228/12)/Inputs!$E$45</f>
        <v>1.5</v>
      </c>
      <c r="E228" s="35">
        <f>MAX(Inputs!$E$44,MIN(C228,D228))</f>
        <v>0.7</v>
      </c>
      <c r="F228" s="35">
        <f>IF(Inputs!$E$50&lt;=0,Inputs!$E$49,Inputs!$E$48+(Inputs!$E$49-Inputs!$E$48)*MIN($A228/Inputs!$E$50,1))</f>
        <v>0.12</v>
      </c>
      <c r="G228" s="36">
        <f>(Inputs!$E$41*(1-E228*Inputs!$E$51)+Inputs!$E$42*(1-F228*Inputs!$E$51))/(Inputs!$E$41*(1-Inputs!$E$44*Inputs!$E$51)+Inputs!$E$42*(1-Inputs!$E$48*Inputs!$E$51))</f>
        <v>0.8423127463863338</v>
      </c>
      <c r="H228" s="35">
        <f>IF(Inputs!$E$53&lt;=0,Inputs!$E$52,Inputs!$E$52*MIN($A228/Inputs!$E$53,1))</f>
        <v>0.1</v>
      </c>
      <c r="I228" s="35">
        <f>IF(Inputs!$E$64&lt;=0,Inputs!$E$63,Inputs!$E$62+(Inputs!$E$63-Inputs!$E$62)*MIN($A228/Inputs!$E$64,1))</f>
        <v>0.03</v>
      </c>
      <c r="J228" s="37">
        <f>(E228-Inputs!$E$44)*Inputs!$E$45/Inputs!$E$60*Inputs!$E$61</f>
        <v>5999.9999999999991</v>
      </c>
      <c r="K228" s="29">
        <f t="shared" si="147"/>
        <v>0</v>
      </c>
      <c r="L228" s="29"/>
      <c r="M228" s="38">
        <f>MAX(0,MIN(Inputs!$B$36,R227,N228+O228+P228+Inputs!$B$6-Q227))</f>
        <v>0</v>
      </c>
      <c r="N228" s="38">
        <f>Inputs!$B$27*(1+Inputs!$B$28)^($A228/12)*IF(Inputs!$B$70=1,$G228,1)*(1-Inputs!$C$70*$H228*(1-Inputs!$E$54*Inputs!$B$70))*(1+$I228)*IF(Inputs!$B$29=0,1,(MAX(Q227,0)/Inputs!$B$6)^Inputs!$B$29)</f>
        <v>38255.712192640494</v>
      </c>
      <c r="O228" s="38">
        <f>Inputs!$B$32*Q227/Inputs!$B$6</f>
        <v>0</v>
      </c>
      <c r="P228" s="38">
        <f>Inputs!$B$33</f>
        <v>2500</v>
      </c>
      <c r="Q228" s="38">
        <f t="shared" si="148"/>
        <v>0</v>
      </c>
      <c r="R228" s="38">
        <f t="shared" si="149"/>
        <v>0</v>
      </c>
      <c r="S228" s="38">
        <f>Inputs!$B$19*(1-Inputs!$C$70*$H228)+Inputs!$B$21+Inputs!$B$70*$J228</f>
        <v>595000</v>
      </c>
      <c r="T228" s="38">
        <f t="shared" si="150"/>
        <v>-595000</v>
      </c>
      <c r="U228" s="38">
        <f t="shared" si="151"/>
        <v>1</v>
      </c>
      <c r="V228" s="38">
        <f>MAX(0,MIN(Inputs!$C$36,AA227,W228+X228+Y228+Inputs!$C$6-Z227))</f>
        <v>0</v>
      </c>
      <c r="W228" s="38">
        <f>Inputs!$C$27*(1+Inputs!$C$28)^($A228/12)*IF(Inputs!$B$70=1,$G228,1)*(1-Inputs!$C$70*$H228*(1-Inputs!$E$54*Inputs!$B$70))*(1+$I228)*IF(Inputs!$C$29=0,1,(MAX(Z227,0)/Inputs!$C$6)^Inputs!$C$29)</f>
        <v>0</v>
      </c>
      <c r="X228" s="38">
        <f>Inputs!$C$32*Z227/Inputs!$C$6</f>
        <v>0</v>
      </c>
      <c r="Y228" s="38">
        <f>Inputs!$C$33</f>
        <v>2000</v>
      </c>
      <c r="Z228" s="38">
        <f t="shared" si="152"/>
        <v>0</v>
      </c>
      <c r="AA228" s="38">
        <f t="shared" si="153"/>
        <v>0</v>
      </c>
      <c r="AB228" s="38">
        <f>Inputs!$C$19*(1-Inputs!$C$70*$H228)+Inputs!$C$21+Inputs!$B$70*$J228</f>
        <v>495000</v>
      </c>
      <c r="AC228" s="38">
        <f t="shared" si="154"/>
        <v>-495000</v>
      </c>
      <c r="AD228" s="38">
        <f t="shared" si="155"/>
        <v>1</v>
      </c>
      <c r="AE228" s="38">
        <f>MAX(0,MIN(Inputs!$D$36,AJ227,AF228+AG228+AH228+Inputs!$D$6-AI227))</f>
        <v>0</v>
      </c>
      <c r="AF228" s="38">
        <f>Inputs!$D$27*(1+Inputs!$D$28)^($A228/12)*IF(Inputs!$B$70=1,$G228,1)*(1-Inputs!$C$70*$H228*(1-Inputs!$E$54*Inputs!$B$70))*(1+$I228)*IF(Inputs!$D$29=0,1,(MAX(AI227,0)/Inputs!$D$6)^Inputs!$D$29)</f>
        <v>0</v>
      </c>
      <c r="AG228" s="38">
        <f>Inputs!$D$32*AI227/Inputs!$D$6</f>
        <v>0</v>
      </c>
      <c r="AH228" s="38">
        <f>Inputs!$D$33</f>
        <v>1500</v>
      </c>
      <c r="AI228" s="38">
        <f t="shared" si="156"/>
        <v>0</v>
      </c>
      <c r="AJ228" s="38">
        <f t="shared" si="157"/>
        <v>0</v>
      </c>
      <c r="AK228" s="38">
        <f>Inputs!$D$19*(1-Inputs!$C$70*$H228)+Inputs!$D$21+Inputs!$B$70*$J228</f>
        <v>404800</v>
      </c>
      <c r="AL228" s="38">
        <f t="shared" si="158"/>
        <v>-404800</v>
      </c>
      <c r="AM228" s="38">
        <f t="shared" si="159"/>
        <v>1</v>
      </c>
      <c r="AN228" s="38">
        <f>MAX(0,MIN(Inputs!$B$36,AS227,AO228+AP228+AQ228+Inputs!$B$6-AR227))</f>
        <v>0</v>
      </c>
      <c r="AO228" s="38">
        <f>Inputs!$B$27*(1+Inputs!$B$28)^($A228/12)*IF(Inputs!$B$71=1,$G228,1)*(1-Inputs!$C$71*$H228*(1-Inputs!$E$54*Inputs!$B$71))*(1+$I228)*IF(Inputs!$B$29=0,1,(MAX(AR227,0)/Inputs!$B$6)^Inputs!$B$29)</f>
        <v>32223.274001948172</v>
      </c>
      <c r="AP228" s="38">
        <f>Inputs!$B$32*AR227/Inputs!$B$6</f>
        <v>0</v>
      </c>
      <c r="AQ228" s="38">
        <f>Inputs!$B$33</f>
        <v>2500</v>
      </c>
      <c r="AR228" s="38">
        <f t="shared" si="160"/>
        <v>0</v>
      </c>
      <c r="AS228" s="38">
        <f t="shared" si="161"/>
        <v>0</v>
      </c>
      <c r="AT228" s="38">
        <f>Inputs!$B$19*(1-Inputs!$C$71*$H228)+Inputs!$B$21+Inputs!$B$71*$J228</f>
        <v>601000</v>
      </c>
      <c r="AU228" s="38">
        <f t="shared" si="162"/>
        <v>-601000</v>
      </c>
      <c r="AV228" s="38">
        <f t="shared" si="163"/>
        <v>1</v>
      </c>
      <c r="AW228" s="38">
        <f>MAX(0,MIN(Inputs!$C$36,BB227,AX228+AY228+AZ228+Inputs!$C$6-BA227))</f>
        <v>0</v>
      </c>
      <c r="AX228" s="38">
        <f>Inputs!$C$27*(1+Inputs!$C$28)^($A228/12)*IF(Inputs!$B$71=1,$G228,1)*(1-Inputs!$C$71*$H228*(1-Inputs!$E$54*Inputs!$B$71))*(1+$I228)*IF(Inputs!$C$29=0,1,(MAX(BA227,0)/Inputs!$C$6)^Inputs!$C$29)</f>
        <v>0</v>
      </c>
      <c r="AY228" s="38">
        <f>Inputs!$C$32*BA227/Inputs!$C$6</f>
        <v>0</v>
      </c>
      <c r="AZ228" s="38">
        <f>Inputs!$C$33</f>
        <v>2000</v>
      </c>
      <c r="BA228" s="38">
        <f t="shared" si="164"/>
        <v>0</v>
      </c>
      <c r="BB228" s="38">
        <f t="shared" si="165"/>
        <v>0</v>
      </c>
      <c r="BC228" s="38">
        <f>Inputs!$C$19*(1-Inputs!$C$71*$H228)+Inputs!$C$21+Inputs!$B$71*$J228</f>
        <v>501000</v>
      </c>
      <c r="BD228" s="38">
        <f t="shared" si="166"/>
        <v>-501000</v>
      </c>
      <c r="BE228" s="38">
        <f t="shared" si="167"/>
        <v>1</v>
      </c>
      <c r="BF228" s="38">
        <f>MAX(0,MIN(Inputs!$D$36,BK227,BG228+BH228+BI228+Inputs!$D$6-BJ227))</f>
        <v>0</v>
      </c>
      <c r="BG228" s="38">
        <f>Inputs!$D$27*(1+Inputs!$D$28)^($A228/12)*IF(Inputs!$B$71=1,$G228,1)*(1-Inputs!$C$71*$H228*(1-Inputs!$E$54*Inputs!$B$71))*(1+$I228)*IF(Inputs!$D$29=0,1,(MAX(BJ227,0)/Inputs!$D$6)^Inputs!$D$29)</f>
        <v>0</v>
      </c>
      <c r="BH228" s="38">
        <f>Inputs!$D$32*BJ227/Inputs!$D$6</f>
        <v>0</v>
      </c>
      <c r="BI228" s="38">
        <f>Inputs!$D$33</f>
        <v>1500</v>
      </c>
      <c r="BJ228" s="38">
        <f t="shared" si="168"/>
        <v>0</v>
      </c>
      <c r="BK228" s="38">
        <f t="shared" si="169"/>
        <v>0</v>
      </c>
      <c r="BL228" s="38">
        <f>Inputs!$D$19*(1-Inputs!$C$71*$H228)+Inputs!$D$21+Inputs!$B$71*$J228</f>
        <v>410800</v>
      </c>
      <c r="BM228" s="38">
        <f t="shared" si="170"/>
        <v>-410800</v>
      </c>
      <c r="BN228" s="38">
        <f t="shared" si="171"/>
        <v>1</v>
      </c>
      <c r="BO228" s="38">
        <f>MAX(0,MIN(Inputs!$B$36,BT227,BP228+BQ228+BR228+Inputs!$B$6-BS227))</f>
        <v>0</v>
      </c>
      <c r="BP228" s="38">
        <f>Inputs!$B$27*(1+Inputs!$B$28)^($A228/12)*IF(Inputs!$B$72=1,$G228,1)*(1-Inputs!$C$72*$H228*(1-Inputs!$E$54*Inputs!$B$72))*(1+$I228)*IF(Inputs!$B$29=0,1,(MAX(BS227,0)/Inputs!$B$6)^Inputs!$B$29)</f>
        <v>34430.140973376452</v>
      </c>
      <c r="BQ228" s="38">
        <f>Inputs!$B$32*BS227/Inputs!$B$6</f>
        <v>0</v>
      </c>
      <c r="BR228" s="38">
        <f>Inputs!$B$33</f>
        <v>2500</v>
      </c>
      <c r="BS228" s="38">
        <f t="shared" si="172"/>
        <v>0</v>
      </c>
      <c r="BT228" s="38">
        <f t="shared" si="173"/>
        <v>0</v>
      </c>
      <c r="BU228" s="38">
        <f>Inputs!$B$19*(1-Inputs!$C$72*$H228)+Inputs!$B$21+Inputs!$B$72*$J228</f>
        <v>577500</v>
      </c>
      <c r="BV228" s="38">
        <f t="shared" si="174"/>
        <v>-577500</v>
      </c>
      <c r="BW228" s="38">
        <f t="shared" si="175"/>
        <v>1</v>
      </c>
      <c r="BX228" s="38">
        <f>MAX(0,MIN(Inputs!$C$36,CC227,BY228+BZ228+CA228+Inputs!$C$6-CB227))</f>
        <v>0</v>
      </c>
      <c r="BY228" s="38">
        <f>Inputs!$C$27*(1+Inputs!$C$28)^($A228/12)*IF(Inputs!$B$72=1,$G228,1)*(1-Inputs!$C$72*$H228*(1-Inputs!$E$54*Inputs!$B$72))*(1+$I228)*IF(Inputs!$C$29=0,1,(MAX(CB227,0)/Inputs!$C$6)^Inputs!$C$29)</f>
        <v>0</v>
      </c>
      <c r="BZ228" s="38">
        <f>Inputs!$C$32*CB227/Inputs!$C$6</f>
        <v>0</v>
      </c>
      <c r="CA228" s="38">
        <f>Inputs!$C$33</f>
        <v>2000</v>
      </c>
      <c r="CB228" s="38">
        <f t="shared" si="176"/>
        <v>0</v>
      </c>
      <c r="CC228" s="38">
        <f t="shared" si="177"/>
        <v>0</v>
      </c>
      <c r="CD228" s="38">
        <f>Inputs!$C$19*(1-Inputs!$C$72*$H228)+Inputs!$C$21+Inputs!$B$72*$J228</f>
        <v>480000</v>
      </c>
      <c r="CE228" s="38">
        <f t="shared" si="178"/>
        <v>-480000</v>
      </c>
      <c r="CF228" s="38">
        <f t="shared" si="179"/>
        <v>1</v>
      </c>
      <c r="CG228" s="38">
        <f>MAX(0,MIN(Inputs!$D$36,CL227,CH228+CI228+CJ228+Inputs!$D$6-CK227))</f>
        <v>0</v>
      </c>
      <c r="CH228" s="38">
        <f>Inputs!$D$27*(1+Inputs!$D$28)^($A228/12)*IF(Inputs!$B$72=1,$G228,1)*(1-Inputs!$C$72*$H228*(1-Inputs!$E$54*Inputs!$B$72))*(1+$I228)*IF(Inputs!$D$29=0,1,(MAX(CK227,0)/Inputs!$D$6)^Inputs!$D$29)</f>
        <v>0</v>
      </c>
      <c r="CI228" s="38">
        <f>Inputs!$D$32*CK227/Inputs!$D$6</f>
        <v>0</v>
      </c>
      <c r="CJ228" s="38">
        <f>Inputs!$D$33</f>
        <v>1500</v>
      </c>
      <c r="CK228" s="38">
        <f t="shared" si="180"/>
        <v>0</v>
      </c>
      <c r="CL228" s="38">
        <f t="shared" si="181"/>
        <v>0</v>
      </c>
      <c r="CM228" s="38">
        <f>Inputs!$D$19*(1-Inputs!$C$72*$H228)+Inputs!$D$21+Inputs!$B$72*$J228</f>
        <v>392150</v>
      </c>
      <c r="CN228" s="38">
        <f t="shared" si="182"/>
        <v>-392150</v>
      </c>
      <c r="CO228" s="38">
        <f t="shared" si="183"/>
        <v>1</v>
      </c>
      <c r="CP228" s="38">
        <f>MAX(0,MIN(Inputs!$B$36,CU227,CQ228+CR228+CS228+Inputs!$B$6-CT227))</f>
        <v>0</v>
      </c>
      <c r="CQ228" s="38">
        <f>Inputs!$B$27*(1+Inputs!$B$28)^($A228/12)*IF(Inputs!$B$73=1,$G228,1)*(1-Inputs!$C$73*$H228*(1-Inputs!$E$54*Inputs!$B$73))*(1+$I228)*IF(Inputs!$B$29=0,1,(MAX(CT227,0)/Inputs!$B$6)^Inputs!$B$29)</f>
        <v>30612.110301850764</v>
      </c>
      <c r="CR228" s="38">
        <f>Inputs!$B$32*CT227/Inputs!$B$6</f>
        <v>0</v>
      </c>
      <c r="CS228" s="38">
        <f>Inputs!$B$33</f>
        <v>2500</v>
      </c>
      <c r="CT228" s="38">
        <f t="shared" si="184"/>
        <v>0</v>
      </c>
      <c r="CU228" s="38">
        <f t="shared" si="185"/>
        <v>0</v>
      </c>
      <c r="CV228" s="38">
        <f>Inputs!$B$19*(1-Inputs!$C$73*$H228)+Inputs!$B$21+Inputs!$B$73*$J228</f>
        <v>583500</v>
      </c>
      <c r="CW228" s="38">
        <f t="shared" si="186"/>
        <v>-583500</v>
      </c>
      <c r="CX228" s="38">
        <f t="shared" si="187"/>
        <v>1</v>
      </c>
      <c r="CY228" s="38">
        <f>MAX(0,MIN(Inputs!$C$36,DD227,CZ228+DA228+DB228+Inputs!$C$6-DC227))</f>
        <v>0</v>
      </c>
      <c r="CZ228" s="38">
        <f>Inputs!$C$27*(1+Inputs!$C$28)^($A228/12)*IF(Inputs!$B$73=1,$G228,1)*(1-Inputs!$C$73*$H228*(1-Inputs!$E$54*Inputs!$B$73))*(1+$I228)*IF(Inputs!$C$29=0,1,(MAX(DC227,0)/Inputs!$C$6)^Inputs!$C$29)</f>
        <v>0</v>
      </c>
      <c r="DA228" s="38">
        <f>Inputs!$C$32*DC227/Inputs!$C$6</f>
        <v>0</v>
      </c>
      <c r="DB228" s="38">
        <f>Inputs!$C$33</f>
        <v>2000</v>
      </c>
      <c r="DC228" s="38">
        <f t="shared" si="188"/>
        <v>0</v>
      </c>
      <c r="DD228" s="38">
        <f t="shared" si="189"/>
        <v>0</v>
      </c>
      <c r="DE228" s="38">
        <f>Inputs!$C$19*(1-Inputs!$C$73*$H228)+Inputs!$C$21+Inputs!$B$73*$J228</f>
        <v>486000</v>
      </c>
      <c r="DF228" s="38">
        <f t="shared" si="190"/>
        <v>-486000</v>
      </c>
      <c r="DG228" s="38">
        <f t="shared" si="191"/>
        <v>1</v>
      </c>
      <c r="DH228" s="38">
        <f>MAX(0,MIN(Inputs!$D$36,DM227,DI228+DJ228+DK228+Inputs!$D$6-DL227))</f>
        <v>0</v>
      </c>
      <c r="DI228" s="38">
        <f>Inputs!$D$27*(1+Inputs!$D$28)^($A228/12)*IF(Inputs!$B$73=1,$G228,1)*(1-Inputs!$C$73*$H228*(1-Inputs!$E$54*Inputs!$B$73))*(1+$I228)*IF(Inputs!$D$29=0,1,(MAX(DL227,0)/Inputs!$D$6)^Inputs!$D$29)</f>
        <v>209.59493018618181</v>
      </c>
      <c r="DJ228" s="38">
        <f>Inputs!$D$32*DL227/Inputs!$D$6</f>
        <v>18.276026057063252</v>
      </c>
      <c r="DK228" s="38">
        <f>Inputs!$D$33</f>
        <v>1500</v>
      </c>
      <c r="DL228" s="38">
        <f t="shared" si="192"/>
        <v>2101.3916461890549</v>
      </c>
      <c r="DM228" s="38">
        <f t="shared" si="193"/>
        <v>0</v>
      </c>
      <c r="DN228" s="38">
        <f>Inputs!$D$19*(1-Inputs!$C$73*$H228)+Inputs!$D$21+Inputs!$B$73*$J228</f>
        <v>398150</v>
      </c>
      <c r="DO228" s="38">
        <f t="shared" si="194"/>
        <v>-396048.60835381097</v>
      </c>
      <c r="DP228" s="38">
        <f t="shared" si="195"/>
        <v>1</v>
      </c>
    </row>
    <row r="229" spans="1:120" x14ac:dyDescent="0.35">
      <c r="A229" s="29">
        <v>224</v>
      </c>
      <c r="B229" s="34">
        <f>EDATE(Inputs!$B$67,$A229)</f>
        <v>53083</v>
      </c>
      <c r="C229" s="35">
        <f>IF(Inputs!$E$47&lt;=0,Inputs!$E$46,Inputs!$E$44+(Inputs!$E$46-Inputs!$E$44)*MIN($A229/Inputs!$E$47,1))</f>
        <v>0.7</v>
      </c>
      <c r="D229" s="35">
        <f>MIN(Inputs!$E$57,Inputs!$E$55*(1+Inputs!$E$56)^($A229/12))*Inputs!$E$58*(1+Inputs!$E$59)^($A229/12)/Inputs!$E$45</f>
        <v>1.5</v>
      </c>
      <c r="E229" s="35">
        <f>MAX(Inputs!$E$44,MIN(C229,D229))</f>
        <v>0.7</v>
      </c>
      <c r="F229" s="35">
        <f>IF(Inputs!$E$50&lt;=0,Inputs!$E$49,Inputs!$E$48+(Inputs!$E$49-Inputs!$E$48)*MIN($A229/Inputs!$E$50,1))</f>
        <v>0.12</v>
      </c>
      <c r="G229" s="36">
        <f>(Inputs!$E$41*(1-E229*Inputs!$E$51)+Inputs!$E$42*(1-F229*Inputs!$E$51))/(Inputs!$E$41*(1-Inputs!$E$44*Inputs!$E$51)+Inputs!$E$42*(1-Inputs!$E$48*Inputs!$E$51))</f>
        <v>0.8423127463863338</v>
      </c>
      <c r="H229" s="35">
        <f>IF(Inputs!$E$53&lt;=0,Inputs!$E$52,Inputs!$E$52*MIN($A229/Inputs!$E$53,1))</f>
        <v>0.1</v>
      </c>
      <c r="I229" s="35">
        <f>IF(Inputs!$E$64&lt;=0,Inputs!$E$63,Inputs!$E$62+(Inputs!$E$63-Inputs!$E$62)*MIN($A229/Inputs!$E$64,1))</f>
        <v>0.03</v>
      </c>
      <c r="J229" s="37">
        <f>(E229-Inputs!$E$44)*Inputs!$E$45/Inputs!$E$60*Inputs!$E$61</f>
        <v>5999.9999999999991</v>
      </c>
      <c r="K229" s="29">
        <f t="shared" si="147"/>
        <v>0</v>
      </c>
      <c r="L229" s="29"/>
      <c r="M229" s="38">
        <f>MAX(0,MIN(Inputs!$B$36,R228,N229+O229+P229+Inputs!$B$6-Q228))</f>
        <v>0</v>
      </c>
      <c r="N229" s="38">
        <f>Inputs!$B$27*(1+Inputs!$B$28)^($A229/12)*IF(Inputs!$B$70=1,$G229,1)*(1-Inputs!$C$70*$H229*(1-Inputs!$E$54*Inputs!$B$70))*(1+$I229)*IF(Inputs!$B$29=0,1,(MAX(Q228,0)/Inputs!$B$6)^Inputs!$B$29)</f>
        <v>38411.570699544936</v>
      </c>
      <c r="O229" s="38">
        <f>Inputs!$B$32*Q228/Inputs!$B$6</f>
        <v>0</v>
      </c>
      <c r="P229" s="38">
        <f>Inputs!$B$33</f>
        <v>2500</v>
      </c>
      <c r="Q229" s="38">
        <f t="shared" si="148"/>
        <v>0</v>
      </c>
      <c r="R229" s="38">
        <f t="shared" si="149"/>
        <v>0</v>
      </c>
      <c r="S229" s="38">
        <f>Inputs!$B$19*(1-Inputs!$C$70*$H229)+Inputs!$B$21+Inputs!$B$70*$J229</f>
        <v>595000</v>
      </c>
      <c r="T229" s="38">
        <f t="shared" si="150"/>
        <v>-595000</v>
      </c>
      <c r="U229" s="38">
        <f t="shared" si="151"/>
        <v>1</v>
      </c>
      <c r="V229" s="38">
        <f>MAX(0,MIN(Inputs!$C$36,AA228,W229+X229+Y229+Inputs!$C$6-Z228))</f>
        <v>0</v>
      </c>
      <c r="W229" s="38">
        <f>Inputs!$C$27*(1+Inputs!$C$28)^($A229/12)*IF(Inputs!$B$70=1,$G229,1)*(1-Inputs!$C$70*$H229*(1-Inputs!$E$54*Inputs!$B$70))*(1+$I229)*IF(Inputs!$C$29=0,1,(MAX(Z228,0)/Inputs!$C$6)^Inputs!$C$29)</f>
        <v>0</v>
      </c>
      <c r="X229" s="38">
        <f>Inputs!$C$32*Z228/Inputs!$C$6</f>
        <v>0</v>
      </c>
      <c r="Y229" s="38">
        <f>Inputs!$C$33</f>
        <v>2000</v>
      </c>
      <c r="Z229" s="38">
        <f t="shared" si="152"/>
        <v>0</v>
      </c>
      <c r="AA229" s="38">
        <f t="shared" si="153"/>
        <v>0</v>
      </c>
      <c r="AB229" s="38">
        <f>Inputs!$C$19*(1-Inputs!$C$70*$H229)+Inputs!$C$21+Inputs!$B$70*$J229</f>
        <v>495000</v>
      </c>
      <c r="AC229" s="38">
        <f t="shared" si="154"/>
        <v>-495000</v>
      </c>
      <c r="AD229" s="38">
        <f t="shared" si="155"/>
        <v>1</v>
      </c>
      <c r="AE229" s="38">
        <f>MAX(0,MIN(Inputs!$D$36,AJ228,AF229+AG229+AH229+Inputs!$D$6-AI228))</f>
        <v>0</v>
      </c>
      <c r="AF229" s="38">
        <f>Inputs!$D$27*(1+Inputs!$D$28)^($A229/12)*IF(Inputs!$B$70=1,$G229,1)*(1-Inputs!$C$70*$H229*(1-Inputs!$E$54*Inputs!$B$70))*(1+$I229)*IF(Inputs!$D$29=0,1,(MAX(AI228,0)/Inputs!$D$6)^Inputs!$D$29)</f>
        <v>0</v>
      </c>
      <c r="AG229" s="38">
        <f>Inputs!$D$32*AI228/Inputs!$D$6</f>
        <v>0</v>
      </c>
      <c r="AH229" s="38">
        <f>Inputs!$D$33</f>
        <v>1500</v>
      </c>
      <c r="AI229" s="38">
        <f t="shared" si="156"/>
        <v>0</v>
      </c>
      <c r="AJ229" s="38">
        <f t="shared" si="157"/>
        <v>0</v>
      </c>
      <c r="AK229" s="38">
        <f>Inputs!$D$19*(1-Inputs!$C$70*$H229)+Inputs!$D$21+Inputs!$B$70*$J229</f>
        <v>404800</v>
      </c>
      <c r="AL229" s="38">
        <f t="shared" si="158"/>
        <v>-404800</v>
      </c>
      <c r="AM229" s="38">
        <f t="shared" si="159"/>
        <v>1</v>
      </c>
      <c r="AN229" s="38">
        <f>MAX(0,MIN(Inputs!$B$36,AS228,AO229+AP229+AQ229+Inputs!$B$6-AR228))</f>
        <v>0</v>
      </c>
      <c r="AO229" s="38">
        <f>Inputs!$B$27*(1+Inputs!$B$28)^($A229/12)*IF(Inputs!$B$71=1,$G229,1)*(1-Inputs!$C$71*$H229*(1-Inputs!$E$54*Inputs!$B$71))*(1+$I229)*IF(Inputs!$B$29=0,1,(MAX(AR228,0)/Inputs!$B$6)^Inputs!$B$29)</f>
        <v>32354.555608946524</v>
      </c>
      <c r="AP229" s="38">
        <f>Inputs!$B$32*AR228/Inputs!$B$6</f>
        <v>0</v>
      </c>
      <c r="AQ229" s="38">
        <f>Inputs!$B$33</f>
        <v>2500</v>
      </c>
      <c r="AR229" s="38">
        <f t="shared" si="160"/>
        <v>0</v>
      </c>
      <c r="AS229" s="38">
        <f t="shared" si="161"/>
        <v>0</v>
      </c>
      <c r="AT229" s="38">
        <f>Inputs!$B$19*(1-Inputs!$C$71*$H229)+Inputs!$B$21+Inputs!$B$71*$J229</f>
        <v>601000</v>
      </c>
      <c r="AU229" s="38">
        <f t="shared" si="162"/>
        <v>-601000</v>
      </c>
      <c r="AV229" s="38">
        <f t="shared" si="163"/>
        <v>1</v>
      </c>
      <c r="AW229" s="38">
        <f>MAX(0,MIN(Inputs!$C$36,BB228,AX229+AY229+AZ229+Inputs!$C$6-BA228))</f>
        <v>0</v>
      </c>
      <c r="AX229" s="38">
        <f>Inputs!$C$27*(1+Inputs!$C$28)^($A229/12)*IF(Inputs!$B$71=1,$G229,1)*(1-Inputs!$C$71*$H229*(1-Inputs!$E$54*Inputs!$B$71))*(1+$I229)*IF(Inputs!$C$29=0,1,(MAX(BA228,0)/Inputs!$C$6)^Inputs!$C$29)</f>
        <v>0</v>
      </c>
      <c r="AY229" s="38">
        <f>Inputs!$C$32*BA228/Inputs!$C$6</f>
        <v>0</v>
      </c>
      <c r="AZ229" s="38">
        <f>Inputs!$C$33</f>
        <v>2000</v>
      </c>
      <c r="BA229" s="38">
        <f t="shared" si="164"/>
        <v>0</v>
      </c>
      <c r="BB229" s="38">
        <f t="shared" si="165"/>
        <v>0</v>
      </c>
      <c r="BC229" s="38">
        <f>Inputs!$C$19*(1-Inputs!$C$71*$H229)+Inputs!$C$21+Inputs!$B$71*$J229</f>
        <v>501000</v>
      </c>
      <c r="BD229" s="38">
        <f t="shared" si="166"/>
        <v>-501000</v>
      </c>
      <c r="BE229" s="38">
        <f t="shared" si="167"/>
        <v>1</v>
      </c>
      <c r="BF229" s="38">
        <f>MAX(0,MIN(Inputs!$D$36,BK228,BG229+BH229+BI229+Inputs!$D$6-BJ228))</f>
        <v>0</v>
      </c>
      <c r="BG229" s="38">
        <f>Inputs!$D$27*(1+Inputs!$D$28)^($A229/12)*IF(Inputs!$B$71=1,$G229,1)*(1-Inputs!$C$71*$H229*(1-Inputs!$E$54*Inputs!$B$71))*(1+$I229)*IF(Inputs!$D$29=0,1,(MAX(BJ228,0)/Inputs!$D$6)^Inputs!$D$29)</f>
        <v>0</v>
      </c>
      <c r="BH229" s="38">
        <f>Inputs!$D$32*BJ228/Inputs!$D$6</f>
        <v>0</v>
      </c>
      <c r="BI229" s="38">
        <f>Inputs!$D$33</f>
        <v>1500</v>
      </c>
      <c r="BJ229" s="38">
        <f t="shared" si="168"/>
        <v>0</v>
      </c>
      <c r="BK229" s="38">
        <f t="shared" si="169"/>
        <v>0</v>
      </c>
      <c r="BL229" s="38">
        <f>Inputs!$D$19*(1-Inputs!$C$71*$H229)+Inputs!$D$21+Inputs!$B$71*$J229</f>
        <v>410800</v>
      </c>
      <c r="BM229" s="38">
        <f t="shared" si="170"/>
        <v>-410800</v>
      </c>
      <c r="BN229" s="38">
        <f t="shared" si="171"/>
        <v>1</v>
      </c>
      <c r="BO229" s="38">
        <f>MAX(0,MIN(Inputs!$B$36,BT228,BP229+BQ229+BR229+Inputs!$B$6-BS228))</f>
        <v>0</v>
      </c>
      <c r="BP229" s="38">
        <f>Inputs!$B$27*(1+Inputs!$B$28)^($A229/12)*IF(Inputs!$B$72=1,$G229,1)*(1-Inputs!$C$72*$H229*(1-Inputs!$E$54*Inputs!$B$72))*(1+$I229)*IF(Inputs!$B$29=0,1,(MAX(BS228,0)/Inputs!$B$6)^Inputs!$B$29)</f>
        <v>34570.413629590439</v>
      </c>
      <c r="BQ229" s="38">
        <f>Inputs!$B$32*BS228/Inputs!$B$6</f>
        <v>0</v>
      </c>
      <c r="BR229" s="38">
        <f>Inputs!$B$33</f>
        <v>2500</v>
      </c>
      <c r="BS229" s="38">
        <f t="shared" si="172"/>
        <v>0</v>
      </c>
      <c r="BT229" s="38">
        <f t="shared" si="173"/>
        <v>0</v>
      </c>
      <c r="BU229" s="38">
        <f>Inputs!$B$19*(1-Inputs!$C$72*$H229)+Inputs!$B$21+Inputs!$B$72*$J229</f>
        <v>577500</v>
      </c>
      <c r="BV229" s="38">
        <f t="shared" si="174"/>
        <v>-577500</v>
      </c>
      <c r="BW229" s="38">
        <f t="shared" si="175"/>
        <v>1</v>
      </c>
      <c r="BX229" s="38">
        <f>MAX(0,MIN(Inputs!$C$36,CC228,BY229+BZ229+CA229+Inputs!$C$6-CB228))</f>
        <v>0</v>
      </c>
      <c r="BY229" s="38">
        <f>Inputs!$C$27*(1+Inputs!$C$28)^($A229/12)*IF(Inputs!$B$72=1,$G229,1)*(1-Inputs!$C$72*$H229*(1-Inputs!$E$54*Inputs!$B$72))*(1+$I229)*IF(Inputs!$C$29=0,1,(MAX(CB228,0)/Inputs!$C$6)^Inputs!$C$29)</f>
        <v>0</v>
      </c>
      <c r="BZ229" s="38">
        <f>Inputs!$C$32*CB228/Inputs!$C$6</f>
        <v>0</v>
      </c>
      <c r="CA229" s="38">
        <f>Inputs!$C$33</f>
        <v>2000</v>
      </c>
      <c r="CB229" s="38">
        <f t="shared" si="176"/>
        <v>0</v>
      </c>
      <c r="CC229" s="38">
        <f t="shared" si="177"/>
        <v>0</v>
      </c>
      <c r="CD229" s="38">
        <f>Inputs!$C$19*(1-Inputs!$C$72*$H229)+Inputs!$C$21+Inputs!$B$72*$J229</f>
        <v>480000</v>
      </c>
      <c r="CE229" s="38">
        <f t="shared" si="178"/>
        <v>-480000</v>
      </c>
      <c r="CF229" s="38">
        <f t="shared" si="179"/>
        <v>1</v>
      </c>
      <c r="CG229" s="38">
        <f>MAX(0,MIN(Inputs!$D$36,CL228,CH229+CI229+CJ229+Inputs!$D$6-CK228))</f>
        <v>0</v>
      </c>
      <c r="CH229" s="38">
        <f>Inputs!$D$27*(1+Inputs!$D$28)^($A229/12)*IF(Inputs!$B$72=1,$G229,1)*(1-Inputs!$C$72*$H229*(1-Inputs!$E$54*Inputs!$B$72))*(1+$I229)*IF(Inputs!$D$29=0,1,(MAX(CK228,0)/Inputs!$D$6)^Inputs!$D$29)</f>
        <v>0</v>
      </c>
      <c r="CI229" s="38">
        <f>Inputs!$D$32*CK228/Inputs!$D$6</f>
        <v>0</v>
      </c>
      <c r="CJ229" s="38">
        <f>Inputs!$D$33</f>
        <v>1500</v>
      </c>
      <c r="CK229" s="38">
        <f t="shared" si="180"/>
        <v>0</v>
      </c>
      <c r="CL229" s="38">
        <f t="shared" si="181"/>
        <v>0</v>
      </c>
      <c r="CM229" s="38">
        <f>Inputs!$D$19*(1-Inputs!$C$72*$H229)+Inputs!$D$21+Inputs!$B$72*$J229</f>
        <v>392150</v>
      </c>
      <c r="CN229" s="38">
        <f t="shared" si="182"/>
        <v>-392150</v>
      </c>
      <c r="CO229" s="38">
        <f t="shared" si="183"/>
        <v>1</v>
      </c>
      <c r="CP229" s="38">
        <f>MAX(0,MIN(Inputs!$B$36,CU228,CQ229+CR229+CS229+Inputs!$B$6-CT228))</f>
        <v>0</v>
      </c>
      <c r="CQ229" s="38">
        <f>Inputs!$B$27*(1+Inputs!$B$28)^($A229/12)*IF(Inputs!$B$73=1,$G229,1)*(1-Inputs!$C$73*$H229*(1-Inputs!$E$54*Inputs!$B$73))*(1+$I229)*IF(Inputs!$B$29=0,1,(MAX(CT228,0)/Inputs!$B$6)^Inputs!$B$29)</f>
        <v>30736.827828499194</v>
      </c>
      <c r="CR229" s="38">
        <f>Inputs!$B$32*CT228/Inputs!$B$6</f>
        <v>0</v>
      </c>
      <c r="CS229" s="38">
        <f>Inputs!$B$33</f>
        <v>2500</v>
      </c>
      <c r="CT229" s="38">
        <f t="shared" si="184"/>
        <v>0</v>
      </c>
      <c r="CU229" s="38">
        <f t="shared" si="185"/>
        <v>0</v>
      </c>
      <c r="CV229" s="38">
        <f>Inputs!$B$19*(1-Inputs!$C$73*$H229)+Inputs!$B$21+Inputs!$B$73*$J229</f>
        <v>583500</v>
      </c>
      <c r="CW229" s="38">
        <f t="shared" si="186"/>
        <v>-583500</v>
      </c>
      <c r="CX229" s="38">
        <f t="shared" si="187"/>
        <v>1</v>
      </c>
      <c r="CY229" s="38">
        <f>MAX(0,MIN(Inputs!$C$36,DD228,CZ229+DA229+DB229+Inputs!$C$6-DC228))</f>
        <v>0</v>
      </c>
      <c r="CZ229" s="38">
        <f>Inputs!$C$27*(1+Inputs!$C$28)^($A229/12)*IF(Inputs!$B$73=1,$G229,1)*(1-Inputs!$C$73*$H229*(1-Inputs!$E$54*Inputs!$B$73))*(1+$I229)*IF(Inputs!$C$29=0,1,(MAX(DC228,0)/Inputs!$C$6)^Inputs!$C$29)</f>
        <v>0</v>
      </c>
      <c r="DA229" s="38">
        <f>Inputs!$C$32*DC228/Inputs!$C$6</f>
        <v>0</v>
      </c>
      <c r="DB229" s="38">
        <f>Inputs!$C$33</f>
        <v>2000</v>
      </c>
      <c r="DC229" s="38">
        <f t="shared" si="188"/>
        <v>0</v>
      </c>
      <c r="DD229" s="38">
        <f t="shared" si="189"/>
        <v>0</v>
      </c>
      <c r="DE229" s="38">
        <f>Inputs!$C$19*(1-Inputs!$C$73*$H229)+Inputs!$C$21+Inputs!$B$73*$J229</f>
        <v>486000</v>
      </c>
      <c r="DF229" s="38">
        <f t="shared" si="190"/>
        <v>-486000</v>
      </c>
      <c r="DG229" s="38">
        <f t="shared" si="191"/>
        <v>1</v>
      </c>
      <c r="DH229" s="38">
        <f>MAX(0,MIN(Inputs!$D$36,DM228,DI229+DJ229+DK229+Inputs!$D$6-DL228))</f>
        <v>0</v>
      </c>
      <c r="DI229" s="38">
        <f>Inputs!$D$27*(1+Inputs!$D$28)^($A229/12)*IF(Inputs!$B$73=1,$G229,1)*(1-Inputs!$C$73*$H229*(1-Inputs!$E$54*Inputs!$B$73))*(1+$I229)*IF(Inputs!$D$29=0,1,(MAX(DL228,0)/Inputs!$D$6)^Inputs!$D$29)</f>
        <v>154.60386000620673</v>
      </c>
      <c r="DJ229" s="38">
        <f>Inputs!$D$32*DL228/Inputs!$D$6</f>
        <v>10.029369220447762</v>
      </c>
      <c r="DK229" s="38">
        <f>Inputs!$D$33</f>
        <v>1500</v>
      </c>
      <c r="DL229" s="38">
        <f t="shared" si="192"/>
        <v>436.75841696240036</v>
      </c>
      <c r="DM229" s="38">
        <f t="shared" si="193"/>
        <v>0</v>
      </c>
      <c r="DN229" s="38">
        <f>Inputs!$D$19*(1-Inputs!$C$73*$H229)+Inputs!$D$21+Inputs!$B$73*$J229</f>
        <v>398150</v>
      </c>
      <c r="DO229" s="38">
        <f t="shared" si="194"/>
        <v>-397713.2415830376</v>
      </c>
      <c r="DP229" s="38">
        <f t="shared" si="195"/>
        <v>1</v>
      </c>
    </row>
    <row r="230" spans="1:120" x14ac:dyDescent="0.35">
      <c r="A230" s="29">
        <v>225</v>
      </c>
      <c r="B230" s="34">
        <f>EDATE(Inputs!$B$67,$A230)</f>
        <v>53114</v>
      </c>
      <c r="C230" s="35">
        <f>IF(Inputs!$E$47&lt;=0,Inputs!$E$46,Inputs!$E$44+(Inputs!$E$46-Inputs!$E$44)*MIN($A230/Inputs!$E$47,1))</f>
        <v>0.7</v>
      </c>
      <c r="D230" s="35">
        <f>MIN(Inputs!$E$57,Inputs!$E$55*(1+Inputs!$E$56)^($A230/12))*Inputs!$E$58*(1+Inputs!$E$59)^($A230/12)/Inputs!$E$45</f>
        <v>1.5</v>
      </c>
      <c r="E230" s="35">
        <f>MAX(Inputs!$E$44,MIN(C230,D230))</f>
        <v>0.7</v>
      </c>
      <c r="F230" s="35">
        <f>IF(Inputs!$E$50&lt;=0,Inputs!$E$49,Inputs!$E$48+(Inputs!$E$49-Inputs!$E$48)*MIN($A230/Inputs!$E$50,1))</f>
        <v>0.12</v>
      </c>
      <c r="G230" s="36">
        <f>(Inputs!$E$41*(1-E230*Inputs!$E$51)+Inputs!$E$42*(1-F230*Inputs!$E$51))/(Inputs!$E$41*(1-Inputs!$E$44*Inputs!$E$51)+Inputs!$E$42*(1-Inputs!$E$48*Inputs!$E$51))</f>
        <v>0.8423127463863338</v>
      </c>
      <c r="H230" s="35">
        <f>IF(Inputs!$E$53&lt;=0,Inputs!$E$52,Inputs!$E$52*MIN($A230/Inputs!$E$53,1))</f>
        <v>0.1</v>
      </c>
      <c r="I230" s="35">
        <f>IF(Inputs!$E$64&lt;=0,Inputs!$E$63,Inputs!$E$62+(Inputs!$E$63-Inputs!$E$62)*MIN($A230/Inputs!$E$64,1))</f>
        <v>0.03</v>
      </c>
      <c r="J230" s="37">
        <f>(E230-Inputs!$E$44)*Inputs!$E$45/Inputs!$E$60*Inputs!$E$61</f>
        <v>5999.9999999999991</v>
      </c>
      <c r="K230" s="29">
        <f t="shared" si="147"/>
        <v>0</v>
      </c>
      <c r="L230" s="29"/>
      <c r="M230" s="38">
        <f>MAX(0,MIN(Inputs!$B$36,R229,N230+O230+P230+Inputs!$B$6-Q229))</f>
        <v>0</v>
      </c>
      <c r="N230" s="38">
        <f>Inputs!$B$27*(1+Inputs!$B$28)^($A230/12)*IF(Inputs!$B$70=1,$G230,1)*(1-Inputs!$C$70*$H230*(1-Inputs!$E$54*Inputs!$B$70))*(1+$I230)*IF(Inputs!$B$29=0,1,(MAX(Q229,0)/Inputs!$B$6)^Inputs!$B$29)</f>
        <v>38568.064193299237</v>
      </c>
      <c r="O230" s="38">
        <f>Inputs!$B$32*Q229/Inputs!$B$6</f>
        <v>0</v>
      </c>
      <c r="P230" s="38">
        <f>Inputs!$B$33</f>
        <v>2500</v>
      </c>
      <c r="Q230" s="38">
        <f t="shared" si="148"/>
        <v>0</v>
      </c>
      <c r="R230" s="38">
        <f t="shared" si="149"/>
        <v>0</v>
      </c>
      <c r="S230" s="38">
        <f>Inputs!$B$19*(1-Inputs!$C$70*$H230)+Inputs!$B$21+Inputs!$B$70*$J230</f>
        <v>595000</v>
      </c>
      <c r="T230" s="38">
        <f t="shared" si="150"/>
        <v>-595000</v>
      </c>
      <c r="U230" s="38">
        <f t="shared" si="151"/>
        <v>1</v>
      </c>
      <c r="V230" s="38">
        <f>MAX(0,MIN(Inputs!$C$36,AA229,W230+X230+Y230+Inputs!$C$6-Z229))</f>
        <v>0</v>
      </c>
      <c r="W230" s="38">
        <f>Inputs!$C$27*(1+Inputs!$C$28)^($A230/12)*IF(Inputs!$B$70=1,$G230,1)*(1-Inputs!$C$70*$H230*(1-Inputs!$E$54*Inputs!$B$70))*(1+$I230)*IF(Inputs!$C$29=0,1,(MAX(Z229,0)/Inputs!$C$6)^Inputs!$C$29)</f>
        <v>0</v>
      </c>
      <c r="X230" s="38">
        <f>Inputs!$C$32*Z229/Inputs!$C$6</f>
        <v>0</v>
      </c>
      <c r="Y230" s="38">
        <f>Inputs!$C$33</f>
        <v>2000</v>
      </c>
      <c r="Z230" s="38">
        <f t="shared" si="152"/>
        <v>0</v>
      </c>
      <c r="AA230" s="38">
        <f t="shared" si="153"/>
        <v>0</v>
      </c>
      <c r="AB230" s="38">
        <f>Inputs!$C$19*(1-Inputs!$C$70*$H230)+Inputs!$C$21+Inputs!$B$70*$J230</f>
        <v>495000</v>
      </c>
      <c r="AC230" s="38">
        <f t="shared" si="154"/>
        <v>-495000</v>
      </c>
      <c r="AD230" s="38">
        <f t="shared" si="155"/>
        <v>1</v>
      </c>
      <c r="AE230" s="38">
        <f>MAX(0,MIN(Inputs!$D$36,AJ229,AF230+AG230+AH230+Inputs!$D$6-AI229))</f>
        <v>0</v>
      </c>
      <c r="AF230" s="38">
        <f>Inputs!$D$27*(1+Inputs!$D$28)^($A230/12)*IF(Inputs!$B$70=1,$G230,1)*(1-Inputs!$C$70*$H230*(1-Inputs!$E$54*Inputs!$B$70))*(1+$I230)*IF(Inputs!$D$29=0,1,(MAX(AI229,0)/Inputs!$D$6)^Inputs!$D$29)</f>
        <v>0</v>
      </c>
      <c r="AG230" s="38">
        <f>Inputs!$D$32*AI229/Inputs!$D$6</f>
        <v>0</v>
      </c>
      <c r="AH230" s="38">
        <f>Inputs!$D$33</f>
        <v>1500</v>
      </c>
      <c r="AI230" s="38">
        <f t="shared" si="156"/>
        <v>0</v>
      </c>
      <c r="AJ230" s="38">
        <f t="shared" si="157"/>
        <v>0</v>
      </c>
      <c r="AK230" s="38">
        <f>Inputs!$D$19*(1-Inputs!$C$70*$H230)+Inputs!$D$21+Inputs!$B$70*$J230</f>
        <v>404800</v>
      </c>
      <c r="AL230" s="38">
        <f t="shared" si="158"/>
        <v>-404800</v>
      </c>
      <c r="AM230" s="38">
        <f t="shared" si="159"/>
        <v>1</v>
      </c>
      <c r="AN230" s="38">
        <f>MAX(0,MIN(Inputs!$B$36,AS229,AO230+AP230+AQ230+Inputs!$B$6-AR229))</f>
        <v>0</v>
      </c>
      <c r="AO230" s="38">
        <f>Inputs!$B$27*(1+Inputs!$B$28)^($A230/12)*IF(Inputs!$B$71=1,$G230,1)*(1-Inputs!$C$71*$H230*(1-Inputs!$E$54*Inputs!$B$71))*(1+$I230)*IF(Inputs!$B$29=0,1,(MAX(AR229,0)/Inputs!$B$6)^Inputs!$B$29)</f>
        <v>32486.372073462302</v>
      </c>
      <c r="AP230" s="38">
        <f>Inputs!$B$32*AR229/Inputs!$B$6</f>
        <v>0</v>
      </c>
      <c r="AQ230" s="38">
        <f>Inputs!$B$33</f>
        <v>2500</v>
      </c>
      <c r="AR230" s="38">
        <f t="shared" si="160"/>
        <v>0</v>
      </c>
      <c r="AS230" s="38">
        <f t="shared" si="161"/>
        <v>0</v>
      </c>
      <c r="AT230" s="38">
        <f>Inputs!$B$19*(1-Inputs!$C$71*$H230)+Inputs!$B$21+Inputs!$B$71*$J230</f>
        <v>601000</v>
      </c>
      <c r="AU230" s="38">
        <f t="shared" si="162"/>
        <v>-601000</v>
      </c>
      <c r="AV230" s="38">
        <f t="shared" si="163"/>
        <v>1</v>
      </c>
      <c r="AW230" s="38">
        <f>MAX(0,MIN(Inputs!$C$36,BB229,AX230+AY230+AZ230+Inputs!$C$6-BA229))</f>
        <v>0</v>
      </c>
      <c r="AX230" s="38">
        <f>Inputs!$C$27*(1+Inputs!$C$28)^($A230/12)*IF(Inputs!$B$71=1,$G230,1)*(1-Inputs!$C$71*$H230*(1-Inputs!$E$54*Inputs!$B$71))*(1+$I230)*IF(Inputs!$C$29=0,1,(MAX(BA229,0)/Inputs!$C$6)^Inputs!$C$29)</f>
        <v>0</v>
      </c>
      <c r="AY230" s="38">
        <f>Inputs!$C$32*BA229/Inputs!$C$6</f>
        <v>0</v>
      </c>
      <c r="AZ230" s="38">
        <f>Inputs!$C$33</f>
        <v>2000</v>
      </c>
      <c r="BA230" s="38">
        <f t="shared" si="164"/>
        <v>0</v>
      </c>
      <c r="BB230" s="38">
        <f t="shared" si="165"/>
        <v>0</v>
      </c>
      <c r="BC230" s="38">
        <f>Inputs!$C$19*(1-Inputs!$C$71*$H230)+Inputs!$C$21+Inputs!$B$71*$J230</f>
        <v>501000</v>
      </c>
      <c r="BD230" s="38">
        <f t="shared" si="166"/>
        <v>-501000</v>
      </c>
      <c r="BE230" s="38">
        <f t="shared" si="167"/>
        <v>1</v>
      </c>
      <c r="BF230" s="38">
        <f>MAX(0,MIN(Inputs!$D$36,BK229,BG230+BH230+BI230+Inputs!$D$6-BJ229))</f>
        <v>0</v>
      </c>
      <c r="BG230" s="38">
        <f>Inputs!$D$27*(1+Inputs!$D$28)^($A230/12)*IF(Inputs!$B$71=1,$G230,1)*(1-Inputs!$C$71*$H230*(1-Inputs!$E$54*Inputs!$B$71))*(1+$I230)*IF(Inputs!$D$29=0,1,(MAX(BJ229,0)/Inputs!$D$6)^Inputs!$D$29)</f>
        <v>0</v>
      </c>
      <c r="BH230" s="38">
        <f>Inputs!$D$32*BJ229/Inputs!$D$6</f>
        <v>0</v>
      </c>
      <c r="BI230" s="38">
        <f>Inputs!$D$33</f>
        <v>1500</v>
      </c>
      <c r="BJ230" s="38">
        <f t="shared" si="168"/>
        <v>0</v>
      </c>
      <c r="BK230" s="38">
        <f t="shared" si="169"/>
        <v>0</v>
      </c>
      <c r="BL230" s="38">
        <f>Inputs!$D$19*(1-Inputs!$C$71*$H230)+Inputs!$D$21+Inputs!$B$71*$J230</f>
        <v>410800</v>
      </c>
      <c r="BM230" s="38">
        <f t="shared" si="170"/>
        <v>-410800</v>
      </c>
      <c r="BN230" s="38">
        <f t="shared" si="171"/>
        <v>1</v>
      </c>
      <c r="BO230" s="38">
        <f>MAX(0,MIN(Inputs!$B$36,BT229,BP230+BQ230+BR230+Inputs!$B$6-BS229))</f>
        <v>0</v>
      </c>
      <c r="BP230" s="38">
        <f>Inputs!$B$27*(1+Inputs!$B$28)^($A230/12)*IF(Inputs!$B$72=1,$G230,1)*(1-Inputs!$C$72*$H230*(1-Inputs!$E$54*Inputs!$B$72))*(1+$I230)*IF(Inputs!$B$29=0,1,(MAX(BS229,0)/Inputs!$B$6)^Inputs!$B$29)</f>
        <v>34711.257773969315</v>
      </c>
      <c r="BQ230" s="38">
        <f>Inputs!$B$32*BS229/Inputs!$B$6</f>
        <v>0</v>
      </c>
      <c r="BR230" s="38">
        <f>Inputs!$B$33</f>
        <v>2500</v>
      </c>
      <c r="BS230" s="38">
        <f t="shared" si="172"/>
        <v>0</v>
      </c>
      <c r="BT230" s="38">
        <f t="shared" si="173"/>
        <v>0</v>
      </c>
      <c r="BU230" s="38">
        <f>Inputs!$B$19*(1-Inputs!$C$72*$H230)+Inputs!$B$21+Inputs!$B$72*$J230</f>
        <v>577500</v>
      </c>
      <c r="BV230" s="38">
        <f t="shared" si="174"/>
        <v>-577500</v>
      </c>
      <c r="BW230" s="38">
        <f t="shared" si="175"/>
        <v>1</v>
      </c>
      <c r="BX230" s="38">
        <f>MAX(0,MIN(Inputs!$C$36,CC229,BY230+BZ230+CA230+Inputs!$C$6-CB229))</f>
        <v>0</v>
      </c>
      <c r="BY230" s="38">
        <f>Inputs!$C$27*(1+Inputs!$C$28)^($A230/12)*IF(Inputs!$B$72=1,$G230,1)*(1-Inputs!$C$72*$H230*(1-Inputs!$E$54*Inputs!$B$72))*(1+$I230)*IF(Inputs!$C$29=0,1,(MAX(CB229,0)/Inputs!$C$6)^Inputs!$C$29)</f>
        <v>0</v>
      </c>
      <c r="BZ230" s="38">
        <f>Inputs!$C$32*CB229/Inputs!$C$6</f>
        <v>0</v>
      </c>
      <c r="CA230" s="38">
        <f>Inputs!$C$33</f>
        <v>2000</v>
      </c>
      <c r="CB230" s="38">
        <f t="shared" si="176"/>
        <v>0</v>
      </c>
      <c r="CC230" s="38">
        <f t="shared" si="177"/>
        <v>0</v>
      </c>
      <c r="CD230" s="38">
        <f>Inputs!$C$19*(1-Inputs!$C$72*$H230)+Inputs!$C$21+Inputs!$B$72*$J230</f>
        <v>480000</v>
      </c>
      <c r="CE230" s="38">
        <f t="shared" si="178"/>
        <v>-480000</v>
      </c>
      <c r="CF230" s="38">
        <f t="shared" si="179"/>
        <v>1</v>
      </c>
      <c r="CG230" s="38">
        <f>MAX(0,MIN(Inputs!$D$36,CL229,CH230+CI230+CJ230+Inputs!$D$6-CK229))</f>
        <v>0</v>
      </c>
      <c r="CH230" s="38">
        <f>Inputs!$D$27*(1+Inputs!$D$28)^($A230/12)*IF(Inputs!$B$72=1,$G230,1)*(1-Inputs!$C$72*$H230*(1-Inputs!$E$54*Inputs!$B$72))*(1+$I230)*IF(Inputs!$D$29=0,1,(MAX(CK229,0)/Inputs!$D$6)^Inputs!$D$29)</f>
        <v>0</v>
      </c>
      <c r="CI230" s="38">
        <f>Inputs!$D$32*CK229/Inputs!$D$6</f>
        <v>0</v>
      </c>
      <c r="CJ230" s="38">
        <f>Inputs!$D$33</f>
        <v>1500</v>
      </c>
      <c r="CK230" s="38">
        <f t="shared" si="180"/>
        <v>0</v>
      </c>
      <c r="CL230" s="38">
        <f t="shared" si="181"/>
        <v>0</v>
      </c>
      <c r="CM230" s="38">
        <f>Inputs!$D$19*(1-Inputs!$C$72*$H230)+Inputs!$D$21+Inputs!$B$72*$J230</f>
        <v>392150</v>
      </c>
      <c r="CN230" s="38">
        <f t="shared" si="182"/>
        <v>-392150</v>
      </c>
      <c r="CO230" s="38">
        <f t="shared" si="183"/>
        <v>1</v>
      </c>
      <c r="CP230" s="38">
        <f>MAX(0,MIN(Inputs!$B$36,CU229,CQ230+CR230+CS230+Inputs!$B$6-CT229))</f>
        <v>0</v>
      </c>
      <c r="CQ230" s="38">
        <f>Inputs!$B$27*(1+Inputs!$B$28)^($A230/12)*IF(Inputs!$B$73=1,$G230,1)*(1-Inputs!$C$73*$H230*(1-Inputs!$E$54*Inputs!$B$73))*(1+$I230)*IF(Inputs!$B$29=0,1,(MAX(CT229,0)/Inputs!$B$6)^Inputs!$B$29)</f>
        <v>30862.053469789185</v>
      </c>
      <c r="CR230" s="38">
        <f>Inputs!$B$32*CT229/Inputs!$B$6</f>
        <v>0</v>
      </c>
      <c r="CS230" s="38">
        <f>Inputs!$B$33</f>
        <v>2500</v>
      </c>
      <c r="CT230" s="38">
        <f t="shared" si="184"/>
        <v>0</v>
      </c>
      <c r="CU230" s="38">
        <f t="shared" si="185"/>
        <v>0</v>
      </c>
      <c r="CV230" s="38">
        <f>Inputs!$B$19*(1-Inputs!$C$73*$H230)+Inputs!$B$21+Inputs!$B$73*$J230</f>
        <v>583500</v>
      </c>
      <c r="CW230" s="38">
        <f t="shared" si="186"/>
        <v>-583500</v>
      </c>
      <c r="CX230" s="38">
        <f t="shared" si="187"/>
        <v>1</v>
      </c>
      <c r="CY230" s="38">
        <f>MAX(0,MIN(Inputs!$C$36,DD229,CZ230+DA230+DB230+Inputs!$C$6-DC229))</f>
        <v>0</v>
      </c>
      <c r="CZ230" s="38">
        <f>Inputs!$C$27*(1+Inputs!$C$28)^($A230/12)*IF(Inputs!$B$73=1,$G230,1)*(1-Inputs!$C$73*$H230*(1-Inputs!$E$54*Inputs!$B$73))*(1+$I230)*IF(Inputs!$C$29=0,1,(MAX(DC229,0)/Inputs!$C$6)^Inputs!$C$29)</f>
        <v>0</v>
      </c>
      <c r="DA230" s="38">
        <f>Inputs!$C$32*DC229/Inputs!$C$6</f>
        <v>0</v>
      </c>
      <c r="DB230" s="38">
        <f>Inputs!$C$33</f>
        <v>2000</v>
      </c>
      <c r="DC230" s="38">
        <f t="shared" si="188"/>
        <v>0</v>
      </c>
      <c r="DD230" s="38">
        <f t="shared" si="189"/>
        <v>0</v>
      </c>
      <c r="DE230" s="38">
        <f>Inputs!$C$19*(1-Inputs!$C$73*$H230)+Inputs!$C$21+Inputs!$B$73*$J230</f>
        <v>486000</v>
      </c>
      <c r="DF230" s="38">
        <f t="shared" si="190"/>
        <v>-486000</v>
      </c>
      <c r="DG230" s="38">
        <f t="shared" si="191"/>
        <v>1</v>
      </c>
      <c r="DH230" s="38">
        <f>MAX(0,MIN(Inputs!$D$36,DM229,DI230+DJ230+DK230+Inputs!$D$6-DL229))</f>
        <v>0</v>
      </c>
      <c r="DI230" s="38">
        <f>Inputs!$D$27*(1+Inputs!$D$28)^($A230/12)*IF(Inputs!$B$73=1,$G230,1)*(1-Inputs!$C$73*$H230*(1-Inputs!$E$54*Inputs!$B$73))*(1+$I230)*IF(Inputs!$D$29=0,1,(MAX(DL229,0)/Inputs!$D$6)^Inputs!$D$29)</f>
        <v>70.182867336783787</v>
      </c>
      <c r="DJ230" s="38">
        <f>Inputs!$D$32*DL229/Inputs!$D$6</f>
        <v>2.084528808229638</v>
      </c>
      <c r="DK230" s="38">
        <f>Inputs!$D$33</f>
        <v>1500</v>
      </c>
      <c r="DL230" s="38">
        <f t="shared" si="192"/>
        <v>0</v>
      </c>
      <c r="DM230" s="38">
        <f t="shared" si="193"/>
        <v>0</v>
      </c>
      <c r="DN230" s="38">
        <f>Inputs!$D$19*(1-Inputs!$C$73*$H230)+Inputs!$D$21+Inputs!$B$73*$J230</f>
        <v>398150</v>
      </c>
      <c r="DO230" s="38">
        <f t="shared" si="194"/>
        <v>-398150</v>
      </c>
      <c r="DP230" s="38">
        <f t="shared" si="195"/>
        <v>1</v>
      </c>
    </row>
    <row r="231" spans="1:120" x14ac:dyDescent="0.35">
      <c r="A231" s="29">
        <v>226</v>
      </c>
      <c r="B231" s="34">
        <f>EDATE(Inputs!$B$67,$A231)</f>
        <v>53144</v>
      </c>
      <c r="C231" s="35">
        <f>IF(Inputs!$E$47&lt;=0,Inputs!$E$46,Inputs!$E$44+(Inputs!$E$46-Inputs!$E$44)*MIN($A231/Inputs!$E$47,1))</f>
        <v>0.7</v>
      </c>
      <c r="D231" s="35">
        <f>MIN(Inputs!$E$57,Inputs!$E$55*(1+Inputs!$E$56)^($A231/12))*Inputs!$E$58*(1+Inputs!$E$59)^($A231/12)/Inputs!$E$45</f>
        <v>1.5</v>
      </c>
      <c r="E231" s="35">
        <f>MAX(Inputs!$E$44,MIN(C231,D231))</f>
        <v>0.7</v>
      </c>
      <c r="F231" s="35">
        <f>IF(Inputs!$E$50&lt;=0,Inputs!$E$49,Inputs!$E$48+(Inputs!$E$49-Inputs!$E$48)*MIN($A231/Inputs!$E$50,1))</f>
        <v>0.12</v>
      </c>
      <c r="G231" s="36">
        <f>(Inputs!$E$41*(1-E231*Inputs!$E$51)+Inputs!$E$42*(1-F231*Inputs!$E$51))/(Inputs!$E$41*(1-Inputs!$E$44*Inputs!$E$51)+Inputs!$E$42*(1-Inputs!$E$48*Inputs!$E$51))</f>
        <v>0.8423127463863338</v>
      </c>
      <c r="H231" s="35">
        <f>IF(Inputs!$E$53&lt;=0,Inputs!$E$52,Inputs!$E$52*MIN($A231/Inputs!$E$53,1))</f>
        <v>0.1</v>
      </c>
      <c r="I231" s="35">
        <f>IF(Inputs!$E$64&lt;=0,Inputs!$E$63,Inputs!$E$62+(Inputs!$E$63-Inputs!$E$62)*MIN($A231/Inputs!$E$64,1))</f>
        <v>0.03</v>
      </c>
      <c r="J231" s="37">
        <f>(E231-Inputs!$E$44)*Inputs!$E$45/Inputs!$E$60*Inputs!$E$61</f>
        <v>5999.9999999999991</v>
      </c>
      <c r="K231" s="29">
        <f t="shared" si="147"/>
        <v>0</v>
      </c>
      <c r="L231" s="29"/>
      <c r="M231" s="38">
        <f>MAX(0,MIN(Inputs!$B$36,R230,N231+O231+P231+Inputs!$B$6-Q230))</f>
        <v>0</v>
      </c>
      <c r="N231" s="38">
        <f>Inputs!$B$27*(1+Inputs!$B$28)^($A231/12)*IF(Inputs!$B$70=1,$G231,1)*(1-Inputs!$C$70*$H231*(1-Inputs!$E$54*Inputs!$B$70))*(1+$I231)*IF(Inputs!$B$29=0,1,(MAX(Q230,0)/Inputs!$B$6)^Inputs!$B$29)</f>
        <v>38725.195260918437</v>
      </c>
      <c r="O231" s="38">
        <f>Inputs!$B$32*Q230/Inputs!$B$6</f>
        <v>0</v>
      </c>
      <c r="P231" s="38">
        <f>Inputs!$B$33</f>
        <v>2500</v>
      </c>
      <c r="Q231" s="38">
        <f t="shared" si="148"/>
        <v>0</v>
      </c>
      <c r="R231" s="38">
        <f t="shared" si="149"/>
        <v>0</v>
      </c>
      <c r="S231" s="38">
        <f>Inputs!$B$19*(1-Inputs!$C$70*$H231)+Inputs!$B$21+Inputs!$B$70*$J231</f>
        <v>595000</v>
      </c>
      <c r="T231" s="38">
        <f t="shared" si="150"/>
        <v>-595000</v>
      </c>
      <c r="U231" s="38">
        <f t="shared" si="151"/>
        <v>1</v>
      </c>
      <c r="V231" s="38">
        <f>MAX(0,MIN(Inputs!$C$36,AA230,W231+X231+Y231+Inputs!$C$6-Z230))</f>
        <v>0</v>
      </c>
      <c r="W231" s="38">
        <f>Inputs!$C$27*(1+Inputs!$C$28)^($A231/12)*IF(Inputs!$B$70=1,$G231,1)*(1-Inputs!$C$70*$H231*(1-Inputs!$E$54*Inputs!$B$70))*(1+$I231)*IF(Inputs!$C$29=0,1,(MAX(Z230,0)/Inputs!$C$6)^Inputs!$C$29)</f>
        <v>0</v>
      </c>
      <c r="X231" s="38">
        <f>Inputs!$C$32*Z230/Inputs!$C$6</f>
        <v>0</v>
      </c>
      <c r="Y231" s="38">
        <f>Inputs!$C$33</f>
        <v>2000</v>
      </c>
      <c r="Z231" s="38">
        <f t="shared" si="152"/>
        <v>0</v>
      </c>
      <c r="AA231" s="38">
        <f t="shared" si="153"/>
        <v>0</v>
      </c>
      <c r="AB231" s="38">
        <f>Inputs!$C$19*(1-Inputs!$C$70*$H231)+Inputs!$C$21+Inputs!$B$70*$J231</f>
        <v>495000</v>
      </c>
      <c r="AC231" s="38">
        <f t="shared" si="154"/>
        <v>-495000</v>
      </c>
      <c r="AD231" s="38">
        <f t="shared" si="155"/>
        <v>1</v>
      </c>
      <c r="AE231" s="38">
        <f>MAX(0,MIN(Inputs!$D$36,AJ230,AF231+AG231+AH231+Inputs!$D$6-AI230))</f>
        <v>0</v>
      </c>
      <c r="AF231" s="38">
        <f>Inputs!$D$27*(1+Inputs!$D$28)^($A231/12)*IF(Inputs!$B$70=1,$G231,1)*(1-Inputs!$C$70*$H231*(1-Inputs!$E$54*Inputs!$B$70))*(1+$I231)*IF(Inputs!$D$29=0,1,(MAX(AI230,0)/Inputs!$D$6)^Inputs!$D$29)</f>
        <v>0</v>
      </c>
      <c r="AG231" s="38">
        <f>Inputs!$D$32*AI230/Inputs!$D$6</f>
        <v>0</v>
      </c>
      <c r="AH231" s="38">
        <f>Inputs!$D$33</f>
        <v>1500</v>
      </c>
      <c r="AI231" s="38">
        <f t="shared" si="156"/>
        <v>0</v>
      </c>
      <c r="AJ231" s="38">
        <f t="shared" si="157"/>
        <v>0</v>
      </c>
      <c r="AK231" s="38">
        <f>Inputs!$D$19*(1-Inputs!$C$70*$H231)+Inputs!$D$21+Inputs!$B$70*$J231</f>
        <v>404800</v>
      </c>
      <c r="AL231" s="38">
        <f t="shared" si="158"/>
        <v>-404800</v>
      </c>
      <c r="AM231" s="38">
        <f t="shared" si="159"/>
        <v>1</v>
      </c>
      <c r="AN231" s="38">
        <f>MAX(0,MIN(Inputs!$B$36,AS230,AO231+AP231+AQ231+Inputs!$B$6-AR230))</f>
        <v>0</v>
      </c>
      <c r="AO231" s="38">
        <f>Inputs!$B$27*(1+Inputs!$B$28)^($A231/12)*IF(Inputs!$B$71=1,$G231,1)*(1-Inputs!$C$71*$H231*(1-Inputs!$E$54*Inputs!$B$71))*(1+$I231)*IF(Inputs!$B$29=0,1,(MAX(AR230,0)/Inputs!$B$6)^Inputs!$B$29)</f>
        <v>32618.725574571246</v>
      </c>
      <c r="AP231" s="38">
        <f>Inputs!$B$32*AR230/Inputs!$B$6</f>
        <v>0</v>
      </c>
      <c r="AQ231" s="38">
        <f>Inputs!$B$33</f>
        <v>2500</v>
      </c>
      <c r="AR231" s="38">
        <f t="shared" si="160"/>
        <v>0</v>
      </c>
      <c r="AS231" s="38">
        <f t="shared" si="161"/>
        <v>0</v>
      </c>
      <c r="AT231" s="38">
        <f>Inputs!$B$19*(1-Inputs!$C$71*$H231)+Inputs!$B$21+Inputs!$B$71*$J231</f>
        <v>601000</v>
      </c>
      <c r="AU231" s="38">
        <f t="shared" si="162"/>
        <v>-601000</v>
      </c>
      <c r="AV231" s="38">
        <f t="shared" si="163"/>
        <v>1</v>
      </c>
      <c r="AW231" s="38">
        <f>MAX(0,MIN(Inputs!$C$36,BB230,AX231+AY231+AZ231+Inputs!$C$6-BA230))</f>
        <v>0</v>
      </c>
      <c r="AX231" s="38">
        <f>Inputs!$C$27*(1+Inputs!$C$28)^($A231/12)*IF(Inputs!$B$71=1,$G231,1)*(1-Inputs!$C$71*$H231*(1-Inputs!$E$54*Inputs!$B$71))*(1+$I231)*IF(Inputs!$C$29=0,1,(MAX(BA230,0)/Inputs!$C$6)^Inputs!$C$29)</f>
        <v>0</v>
      </c>
      <c r="AY231" s="38">
        <f>Inputs!$C$32*BA230/Inputs!$C$6</f>
        <v>0</v>
      </c>
      <c r="AZ231" s="38">
        <f>Inputs!$C$33</f>
        <v>2000</v>
      </c>
      <c r="BA231" s="38">
        <f t="shared" si="164"/>
        <v>0</v>
      </c>
      <c r="BB231" s="38">
        <f t="shared" si="165"/>
        <v>0</v>
      </c>
      <c r="BC231" s="38">
        <f>Inputs!$C$19*(1-Inputs!$C$71*$H231)+Inputs!$C$21+Inputs!$B$71*$J231</f>
        <v>501000</v>
      </c>
      <c r="BD231" s="38">
        <f t="shared" si="166"/>
        <v>-501000</v>
      </c>
      <c r="BE231" s="38">
        <f t="shared" si="167"/>
        <v>1</v>
      </c>
      <c r="BF231" s="38">
        <f>MAX(0,MIN(Inputs!$D$36,BK230,BG231+BH231+BI231+Inputs!$D$6-BJ230))</f>
        <v>0</v>
      </c>
      <c r="BG231" s="38">
        <f>Inputs!$D$27*(1+Inputs!$D$28)^($A231/12)*IF(Inputs!$B$71=1,$G231,1)*(1-Inputs!$C$71*$H231*(1-Inputs!$E$54*Inputs!$B$71))*(1+$I231)*IF(Inputs!$D$29=0,1,(MAX(BJ230,0)/Inputs!$D$6)^Inputs!$D$29)</f>
        <v>0</v>
      </c>
      <c r="BH231" s="38">
        <f>Inputs!$D$32*BJ230/Inputs!$D$6</f>
        <v>0</v>
      </c>
      <c r="BI231" s="38">
        <f>Inputs!$D$33</f>
        <v>1500</v>
      </c>
      <c r="BJ231" s="38">
        <f t="shared" si="168"/>
        <v>0</v>
      </c>
      <c r="BK231" s="38">
        <f t="shared" si="169"/>
        <v>0</v>
      </c>
      <c r="BL231" s="38">
        <f>Inputs!$D$19*(1-Inputs!$C$71*$H231)+Inputs!$D$21+Inputs!$B$71*$J231</f>
        <v>410800</v>
      </c>
      <c r="BM231" s="38">
        <f t="shared" si="170"/>
        <v>-410800</v>
      </c>
      <c r="BN231" s="38">
        <f t="shared" si="171"/>
        <v>1</v>
      </c>
      <c r="BO231" s="38">
        <f>MAX(0,MIN(Inputs!$B$36,BT230,BP231+BQ231+BR231+Inputs!$B$6-BS230))</f>
        <v>0</v>
      </c>
      <c r="BP231" s="38">
        <f>Inputs!$B$27*(1+Inputs!$B$28)^($A231/12)*IF(Inputs!$B$72=1,$G231,1)*(1-Inputs!$C$72*$H231*(1-Inputs!$E$54*Inputs!$B$72))*(1+$I231)*IF(Inputs!$B$29=0,1,(MAX(BS230,0)/Inputs!$B$6)^Inputs!$B$29)</f>
        <v>34852.675734826596</v>
      </c>
      <c r="BQ231" s="38">
        <f>Inputs!$B$32*BS230/Inputs!$B$6</f>
        <v>0</v>
      </c>
      <c r="BR231" s="38">
        <f>Inputs!$B$33</f>
        <v>2500</v>
      </c>
      <c r="BS231" s="38">
        <f t="shared" si="172"/>
        <v>0</v>
      </c>
      <c r="BT231" s="38">
        <f t="shared" si="173"/>
        <v>0</v>
      </c>
      <c r="BU231" s="38">
        <f>Inputs!$B$19*(1-Inputs!$C$72*$H231)+Inputs!$B$21+Inputs!$B$72*$J231</f>
        <v>577500</v>
      </c>
      <c r="BV231" s="38">
        <f t="shared" si="174"/>
        <v>-577500</v>
      </c>
      <c r="BW231" s="38">
        <f t="shared" si="175"/>
        <v>1</v>
      </c>
      <c r="BX231" s="38">
        <f>MAX(0,MIN(Inputs!$C$36,CC230,BY231+BZ231+CA231+Inputs!$C$6-CB230))</f>
        <v>0</v>
      </c>
      <c r="BY231" s="38">
        <f>Inputs!$C$27*(1+Inputs!$C$28)^($A231/12)*IF(Inputs!$B$72=1,$G231,1)*(1-Inputs!$C$72*$H231*(1-Inputs!$E$54*Inputs!$B$72))*(1+$I231)*IF(Inputs!$C$29=0,1,(MAX(CB230,0)/Inputs!$C$6)^Inputs!$C$29)</f>
        <v>0</v>
      </c>
      <c r="BZ231" s="38">
        <f>Inputs!$C$32*CB230/Inputs!$C$6</f>
        <v>0</v>
      </c>
      <c r="CA231" s="38">
        <f>Inputs!$C$33</f>
        <v>2000</v>
      </c>
      <c r="CB231" s="38">
        <f t="shared" si="176"/>
        <v>0</v>
      </c>
      <c r="CC231" s="38">
        <f t="shared" si="177"/>
        <v>0</v>
      </c>
      <c r="CD231" s="38">
        <f>Inputs!$C$19*(1-Inputs!$C$72*$H231)+Inputs!$C$21+Inputs!$B$72*$J231</f>
        <v>480000</v>
      </c>
      <c r="CE231" s="38">
        <f t="shared" si="178"/>
        <v>-480000</v>
      </c>
      <c r="CF231" s="38">
        <f t="shared" si="179"/>
        <v>1</v>
      </c>
      <c r="CG231" s="38">
        <f>MAX(0,MIN(Inputs!$D$36,CL230,CH231+CI231+CJ231+Inputs!$D$6-CK230))</f>
        <v>0</v>
      </c>
      <c r="CH231" s="38">
        <f>Inputs!$D$27*(1+Inputs!$D$28)^($A231/12)*IF(Inputs!$B$72=1,$G231,1)*(1-Inputs!$C$72*$H231*(1-Inputs!$E$54*Inputs!$B$72))*(1+$I231)*IF(Inputs!$D$29=0,1,(MAX(CK230,0)/Inputs!$D$6)^Inputs!$D$29)</f>
        <v>0</v>
      </c>
      <c r="CI231" s="38">
        <f>Inputs!$D$32*CK230/Inputs!$D$6</f>
        <v>0</v>
      </c>
      <c r="CJ231" s="38">
        <f>Inputs!$D$33</f>
        <v>1500</v>
      </c>
      <c r="CK231" s="38">
        <f t="shared" si="180"/>
        <v>0</v>
      </c>
      <c r="CL231" s="38">
        <f t="shared" si="181"/>
        <v>0</v>
      </c>
      <c r="CM231" s="38">
        <f>Inputs!$D$19*(1-Inputs!$C$72*$H231)+Inputs!$D$21+Inputs!$B$72*$J231</f>
        <v>392150</v>
      </c>
      <c r="CN231" s="38">
        <f t="shared" si="182"/>
        <v>-392150</v>
      </c>
      <c r="CO231" s="38">
        <f t="shared" si="183"/>
        <v>1</v>
      </c>
      <c r="CP231" s="38">
        <f>MAX(0,MIN(Inputs!$B$36,CU230,CQ231+CR231+CS231+Inputs!$B$6-CT230))</f>
        <v>0</v>
      </c>
      <c r="CQ231" s="38">
        <f>Inputs!$B$27*(1+Inputs!$B$28)^($A231/12)*IF(Inputs!$B$73=1,$G231,1)*(1-Inputs!$C$73*$H231*(1-Inputs!$E$54*Inputs!$B$73))*(1+$I231)*IF(Inputs!$B$29=0,1,(MAX(CT230,0)/Inputs!$B$6)^Inputs!$B$29)</f>
        <v>30987.789295842686</v>
      </c>
      <c r="CR231" s="38">
        <f>Inputs!$B$32*CT230/Inputs!$B$6</f>
        <v>0</v>
      </c>
      <c r="CS231" s="38">
        <f>Inputs!$B$33</f>
        <v>2500</v>
      </c>
      <c r="CT231" s="38">
        <f t="shared" si="184"/>
        <v>0</v>
      </c>
      <c r="CU231" s="38">
        <f t="shared" si="185"/>
        <v>0</v>
      </c>
      <c r="CV231" s="38">
        <f>Inputs!$B$19*(1-Inputs!$C$73*$H231)+Inputs!$B$21+Inputs!$B$73*$J231</f>
        <v>583500</v>
      </c>
      <c r="CW231" s="38">
        <f t="shared" si="186"/>
        <v>-583500</v>
      </c>
      <c r="CX231" s="38">
        <f t="shared" si="187"/>
        <v>1</v>
      </c>
      <c r="CY231" s="38">
        <f>MAX(0,MIN(Inputs!$C$36,DD230,CZ231+DA231+DB231+Inputs!$C$6-DC230))</f>
        <v>0</v>
      </c>
      <c r="CZ231" s="38">
        <f>Inputs!$C$27*(1+Inputs!$C$28)^($A231/12)*IF(Inputs!$B$73=1,$G231,1)*(1-Inputs!$C$73*$H231*(1-Inputs!$E$54*Inputs!$B$73))*(1+$I231)*IF(Inputs!$C$29=0,1,(MAX(DC230,0)/Inputs!$C$6)^Inputs!$C$29)</f>
        <v>0</v>
      </c>
      <c r="DA231" s="38">
        <f>Inputs!$C$32*DC230/Inputs!$C$6</f>
        <v>0</v>
      </c>
      <c r="DB231" s="38">
        <f>Inputs!$C$33</f>
        <v>2000</v>
      </c>
      <c r="DC231" s="38">
        <f t="shared" si="188"/>
        <v>0</v>
      </c>
      <c r="DD231" s="38">
        <f t="shared" si="189"/>
        <v>0</v>
      </c>
      <c r="DE231" s="38">
        <f>Inputs!$C$19*(1-Inputs!$C$73*$H231)+Inputs!$C$21+Inputs!$B$73*$J231</f>
        <v>486000</v>
      </c>
      <c r="DF231" s="38">
        <f t="shared" si="190"/>
        <v>-486000</v>
      </c>
      <c r="DG231" s="38">
        <f t="shared" si="191"/>
        <v>1</v>
      </c>
      <c r="DH231" s="38">
        <f>MAX(0,MIN(Inputs!$D$36,DM230,DI231+DJ231+DK231+Inputs!$D$6-DL230))</f>
        <v>0</v>
      </c>
      <c r="DI231" s="38">
        <f>Inputs!$D$27*(1+Inputs!$D$28)^($A231/12)*IF(Inputs!$B$73=1,$G231,1)*(1-Inputs!$C$73*$H231*(1-Inputs!$E$54*Inputs!$B$73))*(1+$I231)*IF(Inputs!$D$29=0,1,(MAX(DL230,0)/Inputs!$D$6)^Inputs!$D$29)</f>
        <v>0</v>
      </c>
      <c r="DJ231" s="38">
        <f>Inputs!$D$32*DL230/Inputs!$D$6</f>
        <v>0</v>
      </c>
      <c r="DK231" s="38">
        <f>Inputs!$D$33</f>
        <v>1500</v>
      </c>
      <c r="DL231" s="38">
        <f t="shared" si="192"/>
        <v>0</v>
      </c>
      <c r="DM231" s="38">
        <f t="shared" si="193"/>
        <v>0</v>
      </c>
      <c r="DN231" s="38">
        <f>Inputs!$D$19*(1-Inputs!$C$73*$H231)+Inputs!$D$21+Inputs!$B$73*$J231</f>
        <v>398150</v>
      </c>
      <c r="DO231" s="38">
        <f t="shared" si="194"/>
        <v>-398150</v>
      </c>
      <c r="DP231" s="38">
        <f t="shared" si="195"/>
        <v>1</v>
      </c>
    </row>
    <row r="232" spans="1:120" x14ac:dyDescent="0.35">
      <c r="A232" s="29">
        <v>227</v>
      </c>
      <c r="B232" s="34">
        <f>EDATE(Inputs!$B$67,$A232)</f>
        <v>53175</v>
      </c>
      <c r="C232" s="35">
        <f>IF(Inputs!$E$47&lt;=0,Inputs!$E$46,Inputs!$E$44+(Inputs!$E$46-Inputs!$E$44)*MIN($A232/Inputs!$E$47,1))</f>
        <v>0.7</v>
      </c>
      <c r="D232" s="35">
        <f>MIN(Inputs!$E$57,Inputs!$E$55*(1+Inputs!$E$56)^($A232/12))*Inputs!$E$58*(1+Inputs!$E$59)^($A232/12)/Inputs!$E$45</f>
        <v>1.5</v>
      </c>
      <c r="E232" s="35">
        <f>MAX(Inputs!$E$44,MIN(C232,D232))</f>
        <v>0.7</v>
      </c>
      <c r="F232" s="35">
        <f>IF(Inputs!$E$50&lt;=0,Inputs!$E$49,Inputs!$E$48+(Inputs!$E$49-Inputs!$E$48)*MIN($A232/Inputs!$E$50,1))</f>
        <v>0.12</v>
      </c>
      <c r="G232" s="36">
        <f>(Inputs!$E$41*(1-E232*Inputs!$E$51)+Inputs!$E$42*(1-F232*Inputs!$E$51))/(Inputs!$E$41*(1-Inputs!$E$44*Inputs!$E$51)+Inputs!$E$42*(1-Inputs!$E$48*Inputs!$E$51))</f>
        <v>0.8423127463863338</v>
      </c>
      <c r="H232" s="35">
        <f>IF(Inputs!$E$53&lt;=0,Inputs!$E$52,Inputs!$E$52*MIN($A232/Inputs!$E$53,1))</f>
        <v>0.1</v>
      </c>
      <c r="I232" s="35">
        <f>IF(Inputs!$E$64&lt;=0,Inputs!$E$63,Inputs!$E$62+(Inputs!$E$63-Inputs!$E$62)*MIN($A232/Inputs!$E$64,1))</f>
        <v>0.03</v>
      </c>
      <c r="J232" s="37">
        <f>(E232-Inputs!$E$44)*Inputs!$E$45/Inputs!$E$60*Inputs!$E$61</f>
        <v>5999.9999999999991</v>
      </c>
      <c r="K232" s="29">
        <f t="shared" si="147"/>
        <v>0</v>
      </c>
      <c r="L232" s="29"/>
      <c r="M232" s="38">
        <f>MAX(0,MIN(Inputs!$B$36,R231,N232+O232+P232+Inputs!$B$6-Q231))</f>
        <v>0</v>
      </c>
      <c r="N232" s="38">
        <f>Inputs!$B$27*(1+Inputs!$B$28)^($A232/12)*IF(Inputs!$B$70=1,$G232,1)*(1-Inputs!$C$70*$H232*(1-Inputs!$E$54*Inputs!$B$70))*(1+$I232)*IF(Inputs!$B$29=0,1,(MAX(Q231,0)/Inputs!$B$6)^Inputs!$B$29)</f>
        <v>38882.966499957372</v>
      </c>
      <c r="O232" s="38">
        <f>Inputs!$B$32*Q231/Inputs!$B$6</f>
        <v>0</v>
      </c>
      <c r="P232" s="38">
        <f>Inputs!$B$33</f>
        <v>2500</v>
      </c>
      <c r="Q232" s="38">
        <f t="shared" si="148"/>
        <v>0</v>
      </c>
      <c r="R232" s="38">
        <f t="shared" si="149"/>
        <v>0</v>
      </c>
      <c r="S232" s="38">
        <f>Inputs!$B$19*(1-Inputs!$C$70*$H232)+Inputs!$B$21+Inputs!$B$70*$J232</f>
        <v>595000</v>
      </c>
      <c r="T232" s="38">
        <f t="shared" si="150"/>
        <v>-595000</v>
      </c>
      <c r="U232" s="38">
        <f t="shared" si="151"/>
        <v>1</v>
      </c>
      <c r="V232" s="38">
        <f>MAX(0,MIN(Inputs!$C$36,AA231,W232+X232+Y232+Inputs!$C$6-Z231))</f>
        <v>0</v>
      </c>
      <c r="W232" s="38">
        <f>Inputs!$C$27*(1+Inputs!$C$28)^($A232/12)*IF(Inputs!$B$70=1,$G232,1)*(1-Inputs!$C$70*$H232*(1-Inputs!$E$54*Inputs!$B$70))*(1+$I232)*IF(Inputs!$C$29=0,1,(MAX(Z231,0)/Inputs!$C$6)^Inputs!$C$29)</f>
        <v>0</v>
      </c>
      <c r="X232" s="38">
        <f>Inputs!$C$32*Z231/Inputs!$C$6</f>
        <v>0</v>
      </c>
      <c r="Y232" s="38">
        <f>Inputs!$C$33</f>
        <v>2000</v>
      </c>
      <c r="Z232" s="38">
        <f t="shared" si="152"/>
        <v>0</v>
      </c>
      <c r="AA232" s="38">
        <f t="shared" si="153"/>
        <v>0</v>
      </c>
      <c r="AB232" s="38">
        <f>Inputs!$C$19*(1-Inputs!$C$70*$H232)+Inputs!$C$21+Inputs!$B$70*$J232</f>
        <v>495000</v>
      </c>
      <c r="AC232" s="38">
        <f t="shared" si="154"/>
        <v>-495000</v>
      </c>
      <c r="AD232" s="38">
        <f t="shared" si="155"/>
        <v>1</v>
      </c>
      <c r="AE232" s="38">
        <f>MAX(0,MIN(Inputs!$D$36,AJ231,AF232+AG232+AH232+Inputs!$D$6-AI231))</f>
        <v>0</v>
      </c>
      <c r="AF232" s="38">
        <f>Inputs!$D$27*(1+Inputs!$D$28)^($A232/12)*IF(Inputs!$B$70=1,$G232,1)*(1-Inputs!$C$70*$H232*(1-Inputs!$E$54*Inputs!$B$70))*(1+$I232)*IF(Inputs!$D$29=0,1,(MAX(AI231,0)/Inputs!$D$6)^Inputs!$D$29)</f>
        <v>0</v>
      </c>
      <c r="AG232" s="38">
        <f>Inputs!$D$32*AI231/Inputs!$D$6</f>
        <v>0</v>
      </c>
      <c r="AH232" s="38">
        <f>Inputs!$D$33</f>
        <v>1500</v>
      </c>
      <c r="AI232" s="38">
        <f t="shared" si="156"/>
        <v>0</v>
      </c>
      <c r="AJ232" s="38">
        <f t="shared" si="157"/>
        <v>0</v>
      </c>
      <c r="AK232" s="38">
        <f>Inputs!$D$19*(1-Inputs!$C$70*$H232)+Inputs!$D$21+Inputs!$B$70*$J232</f>
        <v>404800</v>
      </c>
      <c r="AL232" s="38">
        <f t="shared" si="158"/>
        <v>-404800</v>
      </c>
      <c r="AM232" s="38">
        <f t="shared" si="159"/>
        <v>1</v>
      </c>
      <c r="AN232" s="38">
        <f>MAX(0,MIN(Inputs!$B$36,AS231,AO232+AP232+AQ232+Inputs!$B$6-AR231))</f>
        <v>0</v>
      </c>
      <c r="AO232" s="38">
        <f>Inputs!$B$27*(1+Inputs!$B$28)^($A232/12)*IF(Inputs!$B$71=1,$G232,1)*(1-Inputs!$C$71*$H232*(1-Inputs!$E$54*Inputs!$B$71))*(1+$I232)*IF(Inputs!$B$29=0,1,(MAX(AR231,0)/Inputs!$B$6)^Inputs!$B$29)</f>
        <v>32751.618300226906</v>
      </c>
      <c r="AP232" s="38">
        <f>Inputs!$B$32*AR231/Inputs!$B$6</f>
        <v>0</v>
      </c>
      <c r="AQ232" s="38">
        <f>Inputs!$B$33</f>
        <v>2500</v>
      </c>
      <c r="AR232" s="38">
        <f t="shared" si="160"/>
        <v>0</v>
      </c>
      <c r="AS232" s="38">
        <f t="shared" si="161"/>
        <v>0</v>
      </c>
      <c r="AT232" s="38">
        <f>Inputs!$B$19*(1-Inputs!$C$71*$H232)+Inputs!$B$21+Inputs!$B$71*$J232</f>
        <v>601000</v>
      </c>
      <c r="AU232" s="38">
        <f t="shared" si="162"/>
        <v>-601000</v>
      </c>
      <c r="AV232" s="38">
        <f t="shared" si="163"/>
        <v>1</v>
      </c>
      <c r="AW232" s="38">
        <f>MAX(0,MIN(Inputs!$C$36,BB231,AX232+AY232+AZ232+Inputs!$C$6-BA231))</f>
        <v>0</v>
      </c>
      <c r="AX232" s="38">
        <f>Inputs!$C$27*(1+Inputs!$C$28)^($A232/12)*IF(Inputs!$B$71=1,$G232,1)*(1-Inputs!$C$71*$H232*(1-Inputs!$E$54*Inputs!$B$71))*(1+$I232)*IF(Inputs!$C$29=0,1,(MAX(BA231,0)/Inputs!$C$6)^Inputs!$C$29)</f>
        <v>0</v>
      </c>
      <c r="AY232" s="38">
        <f>Inputs!$C$32*BA231/Inputs!$C$6</f>
        <v>0</v>
      </c>
      <c r="AZ232" s="38">
        <f>Inputs!$C$33</f>
        <v>2000</v>
      </c>
      <c r="BA232" s="38">
        <f t="shared" si="164"/>
        <v>0</v>
      </c>
      <c r="BB232" s="38">
        <f t="shared" si="165"/>
        <v>0</v>
      </c>
      <c r="BC232" s="38">
        <f>Inputs!$C$19*(1-Inputs!$C$71*$H232)+Inputs!$C$21+Inputs!$B$71*$J232</f>
        <v>501000</v>
      </c>
      <c r="BD232" s="38">
        <f t="shared" si="166"/>
        <v>-501000</v>
      </c>
      <c r="BE232" s="38">
        <f t="shared" si="167"/>
        <v>1</v>
      </c>
      <c r="BF232" s="38">
        <f>MAX(0,MIN(Inputs!$D$36,BK231,BG232+BH232+BI232+Inputs!$D$6-BJ231))</f>
        <v>0</v>
      </c>
      <c r="BG232" s="38">
        <f>Inputs!$D$27*(1+Inputs!$D$28)^($A232/12)*IF(Inputs!$B$71=1,$G232,1)*(1-Inputs!$C$71*$H232*(1-Inputs!$E$54*Inputs!$B$71))*(1+$I232)*IF(Inputs!$D$29=0,1,(MAX(BJ231,0)/Inputs!$D$6)^Inputs!$D$29)</f>
        <v>0</v>
      </c>
      <c r="BH232" s="38">
        <f>Inputs!$D$32*BJ231/Inputs!$D$6</f>
        <v>0</v>
      </c>
      <c r="BI232" s="38">
        <f>Inputs!$D$33</f>
        <v>1500</v>
      </c>
      <c r="BJ232" s="38">
        <f t="shared" si="168"/>
        <v>0</v>
      </c>
      <c r="BK232" s="38">
        <f t="shared" si="169"/>
        <v>0</v>
      </c>
      <c r="BL232" s="38">
        <f>Inputs!$D$19*(1-Inputs!$C$71*$H232)+Inputs!$D$21+Inputs!$B$71*$J232</f>
        <v>410800</v>
      </c>
      <c r="BM232" s="38">
        <f t="shared" si="170"/>
        <v>-410800</v>
      </c>
      <c r="BN232" s="38">
        <f t="shared" si="171"/>
        <v>1</v>
      </c>
      <c r="BO232" s="38">
        <f>MAX(0,MIN(Inputs!$B$36,BT231,BP232+BQ232+BR232+Inputs!$B$6-BS231))</f>
        <v>0</v>
      </c>
      <c r="BP232" s="38">
        <f>Inputs!$B$27*(1+Inputs!$B$28)^($A232/12)*IF(Inputs!$B$72=1,$G232,1)*(1-Inputs!$C$72*$H232*(1-Inputs!$E$54*Inputs!$B$72))*(1+$I232)*IF(Inputs!$B$29=0,1,(MAX(BS231,0)/Inputs!$B$6)^Inputs!$B$29)</f>
        <v>34994.66984996164</v>
      </c>
      <c r="BQ232" s="38">
        <f>Inputs!$B$32*BS231/Inputs!$B$6</f>
        <v>0</v>
      </c>
      <c r="BR232" s="38">
        <f>Inputs!$B$33</f>
        <v>2500</v>
      </c>
      <c r="BS232" s="38">
        <f t="shared" si="172"/>
        <v>0</v>
      </c>
      <c r="BT232" s="38">
        <f t="shared" si="173"/>
        <v>0</v>
      </c>
      <c r="BU232" s="38">
        <f>Inputs!$B$19*(1-Inputs!$C$72*$H232)+Inputs!$B$21+Inputs!$B$72*$J232</f>
        <v>577500</v>
      </c>
      <c r="BV232" s="38">
        <f t="shared" si="174"/>
        <v>-577500</v>
      </c>
      <c r="BW232" s="38">
        <f t="shared" si="175"/>
        <v>1</v>
      </c>
      <c r="BX232" s="38">
        <f>MAX(0,MIN(Inputs!$C$36,CC231,BY232+BZ232+CA232+Inputs!$C$6-CB231))</f>
        <v>0</v>
      </c>
      <c r="BY232" s="38">
        <f>Inputs!$C$27*(1+Inputs!$C$28)^($A232/12)*IF(Inputs!$B$72=1,$G232,1)*(1-Inputs!$C$72*$H232*(1-Inputs!$E$54*Inputs!$B$72))*(1+$I232)*IF(Inputs!$C$29=0,1,(MAX(CB231,0)/Inputs!$C$6)^Inputs!$C$29)</f>
        <v>0</v>
      </c>
      <c r="BZ232" s="38">
        <f>Inputs!$C$32*CB231/Inputs!$C$6</f>
        <v>0</v>
      </c>
      <c r="CA232" s="38">
        <f>Inputs!$C$33</f>
        <v>2000</v>
      </c>
      <c r="CB232" s="38">
        <f t="shared" si="176"/>
        <v>0</v>
      </c>
      <c r="CC232" s="38">
        <f t="shared" si="177"/>
        <v>0</v>
      </c>
      <c r="CD232" s="38">
        <f>Inputs!$C$19*(1-Inputs!$C$72*$H232)+Inputs!$C$21+Inputs!$B$72*$J232</f>
        <v>480000</v>
      </c>
      <c r="CE232" s="38">
        <f t="shared" si="178"/>
        <v>-480000</v>
      </c>
      <c r="CF232" s="38">
        <f t="shared" si="179"/>
        <v>1</v>
      </c>
      <c r="CG232" s="38">
        <f>MAX(0,MIN(Inputs!$D$36,CL231,CH232+CI232+CJ232+Inputs!$D$6-CK231))</f>
        <v>0</v>
      </c>
      <c r="CH232" s="38">
        <f>Inputs!$D$27*(1+Inputs!$D$28)^($A232/12)*IF(Inputs!$B$72=1,$G232,1)*(1-Inputs!$C$72*$H232*(1-Inputs!$E$54*Inputs!$B$72))*(1+$I232)*IF(Inputs!$D$29=0,1,(MAX(CK231,0)/Inputs!$D$6)^Inputs!$D$29)</f>
        <v>0</v>
      </c>
      <c r="CI232" s="38">
        <f>Inputs!$D$32*CK231/Inputs!$D$6</f>
        <v>0</v>
      </c>
      <c r="CJ232" s="38">
        <f>Inputs!$D$33</f>
        <v>1500</v>
      </c>
      <c r="CK232" s="38">
        <f t="shared" si="180"/>
        <v>0</v>
      </c>
      <c r="CL232" s="38">
        <f t="shared" si="181"/>
        <v>0</v>
      </c>
      <c r="CM232" s="38">
        <f>Inputs!$D$19*(1-Inputs!$C$72*$H232)+Inputs!$D$21+Inputs!$B$72*$J232</f>
        <v>392150</v>
      </c>
      <c r="CN232" s="38">
        <f t="shared" si="182"/>
        <v>-392150</v>
      </c>
      <c r="CO232" s="38">
        <f t="shared" si="183"/>
        <v>1</v>
      </c>
      <c r="CP232" s="38">
        <f>MAX(0,MIN(Inputs!$B$36,CU231,CQ232+CR232+CS232+Inputs!$B$6-CT231))</f>
        <v>0</v>
      </c>
      <c r="CQ232" s="38">
        <f>Inputs!$B$27*(1+Inputs!$B$28)^($A232/12)*IF(Inputs!$B$73=1,$G232,1)*(1-Inputs!$C$73*$H232*(1-Inputs!$E$54*Inputs!$B$73))*(1+$I232)*IF(Inputs!$B$29=0,1,(MAX(CT231,0)/Inputs!$B$6)^Inputs!$B$29)</f>
        <v>31114.037385215561</v>
      </c>
      <c r="CR232" s="38">
        <f>Inputs!$B$32*CT231/Inputs!$B$6</f>
        <v>0</v>
      </c>
      <c r="CS232" s="38">
        <f>Inputs!$B$33</f>
        <v>2500</v>
      </c>
      <c r="CT232" s="38">
        <f t="shared" si="184"/>
        <v>0</v>
      </c>
      <c r="CU232" s="38">
        <f t="shared" si="185"/>
        <v>0</v>
      </c>
      <c r="CV232" s="38">
        <f>Inputs!$B$19*(1-Inputs!$C$73*$H232)+Inputs!$B$21+Inputs!$B$73*$J232</f>
        <v>583500</v>
      </c>
      <c r="CW232" s="38">
        <f t="shared" si="186"/>
        <v>-583500</v>
      </c>
      <c r="CX232" s="38">
        <f t="shared" si="187"/>
        <v>1</v>
      </c>
      <c r="CY232" s="38">
        <f>MAX(0,MIN(Inputs!$C$36,DD231,CZ232+DA232+DB232+Inputs!$C$6-DC231))</f>
        <v>0</v>
      </c>
      <c r="CZ232" s="38">
        <f>Inputs!$C$27*(1+Inputs!$C$28)^($A232/12)*IF(Inputs!$B$73=1,$G232,1)*(1-Inputs!$C$73*$H232*(1-Inputs!$E$54*Inputs!$B$73))*(1+$I232)*IF(Inputs!$C$29=0,1,(MAX(DC231,0)/Inputs!$C$6)^Inputs!$C$29)</f>
        <v>0</v>
      </c>
      <c r="DA232" s="38">
        <f>Inputs!$C$32*DC231/Inputs!$C$6</f>
        <v>0</v>
      </c>
      <c r="DB232" s="38">
        <f>Inputs!$C$33</f>
        <v>2000</v>
      </c>
      <c r="DC232" s="38">
        <f t="shared" si="188"/>
        <v>0</v>
      </c>
      <c r="DD232" s="38">
        <f t="shared" si="189"/>
        <v>0</v>
      </c>
      <c r="DE232" s="38">
        <f>Inputs!$C$19*(1-Inputs!$C$73*$H232)+Inputs!$C$21+Inputs!$B$73*$J232</f>
        <v>486000</v>
      </c>
      <c r="DF232" s="38">
        <f t="shared" si="190"/>
        <v>-486000</v>
      </c>
      <c r="DG232" s="38">
        <f t="shared" si="191"/>
        <v>1</v>
      </c>
      <c r="DH232" s="38">
        <f>MAX(0,MIN(Inputs!$D$36,DM231,DI232+DJ232+DK232+Inputs!$D$6-DL231))</f>
        <v>0</v>
      </c>
      <c r="DI232" s="38">
        <f>Inputs!$D$27*(1+Inputs!$D$28)^($A232/12)*IF(Inputs!$B$73=1,$G232,1)*(1-Inputs!$C$73*$H232*(1-Inputs!$E$54*Inputs!$B$73))*(1+$I232)*IF(Inputs!$D$29=0,1,(MAX(DL231,0)/Inputs!$D$6)^Inputs!$D$29)</f>
        <v>0</v>
      </c>
      <c r="DJ232" s="38">
        <f>Inputs!$D$32*DL231/Inputs!$D$6</f>
        <v>0</v>
      </c>
      <c r="DK232" s="38">
        <f>Inputs!$D$33</f>
        <v>1500</v>
      </c>
      <c r="DL232" s="38">
        <f t="shared" si="192"/>
        <v>0</v>
      </c>
      <c r="DM232" s="38">
        <f t="shared" si="193"/>
        <v>0</v>
      </c>
      <c r="DN232" s="38">
        <f>Inputs!$D$19*(1-Inputs!$C$73*$H232)+Inputs!$D$21+Inputs!$B$73*$J232</f>
        <v>398150</v>
      </c>
      <c r="DO232" s="38">
        <f t="shared" si="194"/>
        <v>-398150</v>
      </c>
      <c r="DP232" s="38">
        <f t="shared" si="195"/>
        <v>1</v>
      </c>
    </row>
    <row r="233" spans="1:120" x14ac:dyDescent="0.35">
      <c r="A233" s="29">
        <v>228</v>
      </c>
      <c r="B233" s="34">
        <f>EDATE(Inputs!$B$67,$A233)</f>
        <v>53206</v>
      </c>
      <c r="C233" s="35">
        <f>IF(Inputs!$E$47&lt;=0,Inputs!$E$46,Inputs!$E$44+(Inputs!$E$46-Inputs!$E$44)*MIN($A233/Inputs!$E$47,1))</f>
        <v>0.7</v>
      </c>
      <c r="D233" s="35">
        <f>MIN(Inputs!$E$57,Inputs!$E$55*(1+Inputs!$E$56)^($A233/12))*Inputs!$E$58*(1+Inputs!$E$59)^($A233/12)/Inputs!$E$45</f>
        <v>1.5</v>
      </c>
      <c r="E233" s="35">
        <f>MAX(Inputs!$E$44,MIN(C233,D233))</f>
        <v>0.7</v>
      </c>
      <c r="F233" s="35">
        <f>IF(Inputs!$E$50&lt;=0,Inputs!$E$49,Inputs!$E$48+(Inputs!$E$49-Inputs!$E$48)*MIN($A233/Inputs!$E$50,1))</f>
        <v>0.12</v>
      </c>
      <c r="G233" s="36">
        <f>(Inputs!$E$41*(1-E233*Inputs!$E$51)+Inputs!$E$42*(1-F233*Inputs!$E$51))/(Inputs!$E$41*(1-Inputs!$E$44*Inputs!$E$51)+Inputs!$E$42*(1-Inputs!$E$48*Inputs!$E$51))</f>
        <v>0.8423127463863338</v>
      </c>
      <c r="H233" s="35">
        <f>IF(Inputs!$E$53&lt;=0,Inputs!$E$52,Inputs!$E$52*MIN($A233/Inputs!$E$53,1))</f>
        <v>0.1</v>
      </c>
      <c r="I233" s="35">
        <f>IF(Inputs!$E$64&lt;=0,Inputs!$E$63,Inputs!$E$62+(Inputs!$E$63-Inputs!$E$62)*MIN($A233/Inputs!$E$64,1))</f>
        <v>0.03</v>
      </c>
      <c r="J233" s="37">
        <f>(E233-Inputs!$E$44)*Inputs!$E$45/Inputs!$E$60*Inputs!$E$61</f>
        <v>5999.9999999999991</v>
      </c>
      <c r="K233" s="29">
        <f t="shared" si="147"/>
        <v>0</v>
      </c>
      <c r="L233" s="29"/>
      <c r="M233" s="38">
        <f>MAX(0,MIN(Inputs!$B$36,R232,N233+O233+P233+Inputs!$B$6-Q232))</f>
        <v>0</v>
      </c>
      <c r="N233" s="38">
        <f>Inputs!$B$27*(1+Inputs!$B$28)^($A233/12)*IF(Inputs!$B$70=1,$G233,1)*(1-Inputs!$C$70*$H233*(1-Inputs!$E$54*Inputs!$B$70))*(1+$I233)*IF(Inputs!$B$29=0,1,(MAX(Q232,0)/Inputs!$B$6)^Inputs!$B$29)</f>
        <v>39041.380518553618</v>
      </c>
      <c r="O233" s="38">
        <f>Inputs!$B$32*Q232/Inputs!$B$6</f>
        <v>0</v>
      </c>
      <c r="P233" s="38">
        <f>Inputs!$B$33</f>
        <v>2500</v>
      </c>
      <c r="Q233" s="38">
        <f t="shared" si="148"/>
        <v>0</v>
      </c>
      <c r="R233" s="38">
        <f t="shared" si="149"/>
        <v>0</v>
      </c>
      <c r="S233" s="38">
        <f>Inputs!$B$19*(1-Inputs!$C$70*$H233)+Inputs!$B$21+Inputs!$B$70*$J233</f>
        <v>595000</v>
      </c>
      <c r="T233" s="38">
        <f t="shared" si="150"/>
        <v>-595000</v>
      </c>
      <c r="U233" s="38">
        <f t="shared" si="151"/>
        <v>1</v>
      </c>
      <c r="V233" s="38">
        <f>MAX(0,MIN(Inputs!$C$36,AA232,W233+X233+Y233+Inputs!$C$6-Z232))</f>
        <v>0</v>
      </c>
      <c r="W233" s="38">
        <f>Inputs!$C$27*(1+Inputs!$C$28)^($A233/12)*IF(Inputs!$B$70=1,$G233,1)*(1-Inputs!$C$70*$H233*(1-Inputs!$E$54*Inputs!$B$70))*(1+$I233)*IF(Inputs!$C$29=0,1,(MAX(Z232,0)/Inputs!$C$6)^Inputs!$C$29)</f>
        <v>0</v>
      </c>
      <c r="X233" s="38">
        <f>Inputs!$C$32*Z232/Inputs!$C$6</f>
        <v>0</v>
      </c>
      <c r="Y233" s="38">
        <f>Inputs!$C$33</f>
        <v>2000</v>
      </c>
      <c r="Z233" s="38">
        <f t="shared" si="152"/>
        <v>0</v>
      </c>
      <c r="AA233" s="38">
        <f t="shared" si="153"/>
        <v>0</v>
      </c>
      <c r="AB233" s="38">
        <f>Inputs!$C$19*(1-Inputs!$C$70*$H233)+Inputs!$C$21+Inputs!$B$70*$J233</f>
        <v>495000</v>
      </c>
      <c r="AC233" s="38">
        <f t="shared" si="154"/>
        <v>-495000</v>
      </c>
      <c r="AD233" s="38">
        <f t="shared" si="155"/>
        <v>1</v>
      </c>
      <c r="AE233" s="38">
        <f>MAX(0,MIN(Inputs!$D$36,AJ232,AF233+AG233+AH233+Inputs!$D$6-AI232))</f>
        <v>0</v>
      </c>
      <c r="AF233" s="38">
        <f>Inputs!$D$27*(1+Inputs!$D$28)^($A233/12)*IF(Inputs!$B$70=1,$G233,1)*(1-Inputs!$C$70*$H233*(1-Inputs!$E$54*Inputs!$B$70))*(1+$I233)*IF(Inputs!$D$29=0,1,(MAX(AI232,0)/Inputs!$D$6)^Inputs!$D$29)</f>
        <v>0</v>
      </c>
      <c r="AG233" s="38">
        <f>Inputs!$D$32*AI232/Inputs!$D$6</f>
        <v>0</v>
      </c>
      <c r="AH233" s="38">
        <f>Inputs!$D$33</f>
        <v>1500</v>
      </c>
      <c r="AI233" s="38">
        <f t="shared" si="156"/>
        <v>0</v>
      </c>
      <c r="AJ233" s="38">
        <f t="shared" si="157"/>
        <v>0</v>
      </c>
      <c r="AK233" s="38">
        <f>Inputs!$D$19*(1-Inputs!$C$70*$H233)+Inputs!$D$21+Inputs!$B$70*$J233</f>
        <v>404800</v>
      </c>
      <c r="AL233" s="38">
        <f t="shared" si="158"/>
        <v>-404800</v>
      </c>
      <c r="AM233" s="38">
        <f t="shared" si="159"/>
        <v>1</v>
      </c>
      <c r="AN233" s="38">
        <f>MAX(0,MIN(Inputs!$B$36,AS232,AO233+AP233+AQ233+Inputs!$B$6-AR232))</f>
        <v>0</v>
      </c>
      <c r="AO233" s="38">
        <f>Inputs!$B$27*(1+Inputs!$B$28)^($A233/12)*IF(Inputs!$B$71=1,$G233,1)*(1-Inputs!$C$71*$H233*(1-Inputs!$E$54*Inputs!$B$71))*(1+$I233)*IF(Inputs!$B$29=0,1,(MAX(AR232,0)/Inputs!$B$6)^Inputs!$B$29)</f>
        <v>32885.05244729681</v>
      </c>
      <c r="AP233" s="38">
        <f>Inputs!$B$32*AR232/Inputs!$B$6</f>
        <v>0</v>
      </c>
      <c r="AQ233" s="38">
        <f>Inputs!$B$33</f>
        <v>2500</v>
      </c>
      <c r="AR233" s="38">
        <f t="shared" si="160"/>
        <v>0</v>
      </c>
      <c r="AS233" s="38">
        <f t="shared" si="161"/>
        <v>0</v>
      </c>
      <c r="AT233" s="38">
        <f>Inputs!$B$19*(1-Inputs!$C$71*$H233)+Inputs!$B$21+Inputs!$B$71*$J233</f>
        <v>601000</v>
      </c>
      <c r="AU233" s="38">
        <f t="shared" si="162"/>
        <v>-601000</v>
      </c>
      <c r="AV233" s="38">
        <f t="shared" si="163"/>
        <v>1</v>
      </c>
      <c r="AW233" s="38">
        <f>MAX(0,MIN(Inputs!$C$36,BB232,AX233+AY233+AZ233+Inputs!$C$6-BA232))</f>
        <v>0</v>
      </c>
      <c r="AX233" s="38">
        <f>Inputs!$C$27*(1+Inputs!$C$28)^($A233/12)*IF(Inputs!$B$71=1,$G233,1)*(1-Inputs!$C$71*$H233*(1-Inputs!$E$54*Inputs!$B$71))*(1+$I233)*IF(Inputs!$C$29=0,1,(MAX(BA232,0)/Inputs!$C$6)^Inputs!$C$29)</f>
        <v>0</v>
      </c>
      <c r="AY233" s="38">
        <f>Inputs!$C$32*BA232/Inputs!$C$6</f>
        <v>0</v>
      </c>
      <c r="AZ233" s="38">
        <f>Inputs!$C$33</f>
        <v>2000</v>
      </c>
      <c r="BA233" s="38">
        <f t="shared" si="164"/>
        <v>0</v>
      </c>
      <c r="BB233" s="38">
        <f t="shared" si="165"/>
        <v>0</v>
      </c>
      <c r="BC233" s="38">
        <f>Inputs!$C$19*(1-Inputs!$C$71*$H233)+Inputs!$C$21+Inputs!$B$71*$J233</f>
        <v>501000</v>
      </c>
      <c r="BD233" s="38">
        <f t="shared" si="166"/>
        <v>-501000</v>
      </c>
      <c r="BE233" s="38">
        <f t="shared" si="167"/>
        <v>1</v>
      </c>
      <c r="BF233" s="38">
        <f>MAX(0,MIN(Inputs!$D$36,BK232,BG233+BH233+BI233+Inputs!$D$6-BJ232))</f>
        <v>0</v>
      </c>
      <c r="BG233" s="38">
        <f>Inputs!$D$27*(1+Inputs!$D$28)^($A233/12)*IF(Inputs!$B$71=1,$G233,1)*(1-Inputs!$C$71*$H233*(1-Inputs!$E$54*Inputs!$B$71))*(1+$I233)*IF(Inputs!$D$29=0,1,(MAX(BJ232,0)/Inputs!$D$6)^Inputs!$D$29)</f>
        <v>0</v>
      </c>
      <c r="BH233" s="38">
        <f>Inputs!$D$32*BJ232/Inputs!$D$6</f>
        <v>0</v>
      </c>
      <c r="BI233" s="38">
        <f>Inputs!$D$33</f>
        <v>1500</v>
      </c>
      <c r="BJ233" s="38">
        <f t="shared" si="168"/>
        <v>0</v>
      </c>
      <c r="BK233" s="38">
        <f t="shared" si="169"/>
        <v>0</v>
      </c>
      <c r="BL233" s="38">
        <f>Inputs!$D$19*(1-Inputs!$C$71*$H233)+Inputs!$D$21+Inputs!$B$71*$J233</f>
        <v>410800</v>
      </c>
      <c r="BM233" s="38">
        <f t="shared" si="170"/>
        <v>-410800</v>
      </c>
      <c r="BN233" s="38">
        <f t="shared" si="171"/>
        <v>1</v>
      </c>
      <c r="BO233" s="38">
        <f>MAX(0,MIN(Inputs!$B$36,BT232,BP233+BQ233+BR233+Inputs!$B$6-BS232))</f>
        <v>0</v>
      </c>
      <c r="BP233" s="38">
        <f>Inputs!$B$27*(1+Inputs!$B$28)^($A233/12)*IF(Inputs!$B$72=1,$G233,1)*(1-Inputs!$C$72*$H233*(1-Inputs!$E$54*Inputs!$B$72))*(1+$I233)*IF(Inputs!$B$29=0,1,(MAX(BS232,0)/Inputs!$B$6)^Inputs!$B$29)</f>
        <v>35137.242466698262</v>
      </c>
      <c r="BQ233" s="38">
        <f>Inputs!$B$32*BS232/Inputs!$B$6</f>
        <v>0</v>
      </c>
      <c r="BR233" s="38">
        <f>Inputs!$B$33</f>
        <v>2500</v>
      </c>
      <c r="BS233" s="38">
        <f t="shared" si="172"/>
        <v>0</v>
      </c>
      <c r="BT233" s="38">
        <f t="shared" si="173"/>
        <v>0</v>
      </c>
      <c r="BU233" s="38">
        <f>Inputs!$B$19*(1-Inputs!$C$72*$H233)+Inputs!$B$21+Inputs!$B$72*$J233</f>
        <v>577500</v>
      </c>
      <c r="BV233" s="38">
        <f t="shared" si="174"/>
        <v>-577500</v>
      </c>
      <c r="BW233" s="38">
        <f t="shared" si="175"/>
        <v>1</v>
      </c>
      <c r="BX233" s="38">
        <f>MAX(0,MIN(Inputs!$C$36,CC232,BY233+BZ233+CA233+Inputs!$C$6-CB232))</f>
        <v>0</v>
      </c>
      <c r="BY233" s="38">
        <f>Inputs!$C$27*(1+Inputs!$C$28)^($A233/12)*IF(Inputs!$B$72=1,$G233,1)*(1-Inputs!$C$72*$H233*(1-Inputs!$E$54*Inputs!$B$72))*(1+$I233)*IF(Inputs!$C$29=0,1,(MAX(CB232,0)/Inputs!$C$6)^Inputs!$C$29)</f>
        <v>0</v>
      </c>
      <c r="BZ233" s="38">
        <f>Inputs!$C$32*CB232/Inputs!$C$6</f>
        <v>0</v>
      </c>
      <c r="CA233" s="38">
        <f>Inputs!$C$33</f>
        <v>2000</v>
      </c>
      <c r="CB233" s="38">
        <f t="shared" si="176"/>
        <v>0</v>
      </c>
      <c r="CC233" s="38">
        <f t="shared" si="177"/>
        <v>0</v>
      </c>
      <c r="CD233" s="38">
        <f>Inputs!$C$19*(1-Inputs!$C$72*$H233)+Inputs!$C$21+Inputs!$B$72*$J233</f>
        <v>480000</v>
      </c>
      <c r="CE233" s="38">
        <f t="shared" si="178"/>
        <v>-480000</v>
      </c>
      <c r="CF233" s="38">
        <f t="shared" si="179"/>
        <v>1</v>
      </c>
      <c r="CG233" s="38">
        <f>MAX(0,MIN(Inputs!$D$36,CL232,CH233+CI233+CJ233+Inputs!$D$6-CK232))</f>
        <v>0</v>
      </c>
      <c r="CH233" s="38">
        <f>Inputs!$D$27*(1+Inputs!$D$28)^($A233/12)*IF(Inputs!$B$72=1,$G233,1)*(1-Inputs!$C$72*$H233*(1-Inputs!$E$54*Inputs!$B$72))*(1+$I233)*IF(Inputs!$D$29=0,1,(MAX(CK232,0)/Inputs!$D$6)^Inputs!$D$29)</f>
        <v>0</v>
      </c>
      <c r="CI233" s="38">
        <f>Inputs!$D$32*CK232/Inputs!$D$6</f>
        <v>0</v>
      </c>
      <c r="CJ233" s="38">
        <f>Inputs!$D$33</f>
        <v>1500</v>
      </c>
      <c r="CK233" s="38">
        <f t="shared" si="180"/>
        <v>0</v>
      </c>
      <c r="CL233" s="38">
        <f t="shared" si="181"/>
        <v>0</v>
      </c>
      <c r="CM233" s="38">
        <f>Inputs!$D$19*(1-Inputs!$C$72*$H233)+Inputs!$D$21+Inputs!$B$72*$J233</f>
        <v>392150</v>
      </c>
      <c r="CN233" s="38">
        <f t="shared" si="182"/>
        <v>-392150</v>
      </c>
      <c r="CO233" s="38">
        <f t="shared" si="183"/>
        <v>1</v>
      </c>
      <c r="CP233" s="38">
        <f>MAX(0,MIN(Inputs!$B$36,CU232,CQ233+CR233+CS233+Inputs!$B$6-CT232))</f>
        <v>0</v>
      </c>
      <c r="CQ233" s="38">
        <f>Inputs!$B$27*(1+Inputs!$B$28)^($A233/12)*IF(Inputs!$B$73=1,$G233,1)*(1-Inputs!$C$73*$H233*(1-Inputs!$E$54*Inputs!$B$73))*(1+$I233)*IF(Inputs!$B$29=0,1,(MAX(CT232,0)/Inputs!$B$6)^Inputs!$B$29)</f>
        <v>31240.799824931968</v>
      </c>
      <c r="CR233" s="38">
        <f>Inputs!$B$32*CT232/Inputs!$B$6</f>
        <v>0</v>
      </c>
      <c r="CS233" s="38">
        <f>Inputs!$B$33</f>
        <v>2500</v>
      </c>
      <c r="CT233" s="38">
        <f t="shared" si="184"/>
        <v>0</v>
      </c>
      <c r="CU233" s="38">
        <f t="shared" si="185"/>
        <v>0</v>
      </c>
      <c r="CV233" s="38">
        <f>Inputs!$B$19*(1-Inputs!$C$73*$H233)+Inputs!$B$21+Inputs!$B$73*$J233</f>
        <v>583500</v>
      </c>
      <c r="CW233" s="38">
        <f t="shared" si="186"/>
        <v>-583500</v>
      </c>
      <c r="CX233" s="38">
        <f t="shared" si="187"/>
        <v>1</v>
      </c>
      <c r="CY233" s="38">
        <f>MAX(0,MIN(Inputs!$C$36,DD232,CZ233+DA233+DB233+Inputs!$C$6-DC232))</f>
        <v>0</v>
      </c>
      <c r="CZ233" s="38">
        <f>Inputs!$C$27*(1+Inputs!$C$28)^($A233/12)*IF(Inputs!$B$73=1,$G233,1)*(1-Inputs!$C$73*$H233*(1-Inputs!$E$54*Inputs!$B$73))*(1+$I233)*IF(Inputs!$C$29=0,1,(MAX(DC232,0)/Inputs!$C$6)^Inputs!$C$29)</f>
        <v>0</v>
      </c>
      <c r="DA233" s="38">
        <f>Inputs!$C$32*DC232/Inputs!$C$6</f>
        <v>0</v>
      </c>
      <c r="DB233" s="38">
        <f>Inputs!$C$33</f>
        <v>2000</v>
      </c>
      <c r="DC233" s="38">
        <f t="shared" si="188"/>
        <v>0</v>
      </c>
      <c r="DD233" s="38">
        <f t="shared" si="189"/>
        <v>0</v>
      </c>
      <c r="DE233" s="38">
        <f>Inputs!$C$19*(1-Inputs!$C$73*$H233)+Inputs!$C$21+Inputs!$B$73*$J233</f>
        <v>486000</v>
      </c>
      <c r="DF233" s="38">
        <f t="shared" si="190"/>
        <v>-486000</v>
      </c>
      <c r="DG233" s="38">
        <f t="shared" si="191"/>
        <v>1</v>
      </c>
      <c r="DH233" s="38">
        <f>MAX(0,MIN(Inputs!$D$36,DM232,DI233+DJ233+DK233+Inputs!$D$6-DL232))</f>
        <v>0</v>
      </c>
      <c r="DI233" s="38">
        <f>Inputs!$D$27*(1+Inputs!$D$28)^($A233/12)*IF(Inputs!$B$73=1,$G233,1)*(1-Inputs!$C$73*$H233*(1-Inputs!$E$54*Inputs!$B$73))*(1+$I233)*IF(Inputs!$D$29=0,1,(MAX(DL232,0)/Inputs!$D$6)^Inputs!$D$29)</f>
        <v>0</v>
      </c>
      <c r="DJ233" s="38">
        <f>Inputs!$D$32*DL232/Inputs!$D$6</f>
        <v>0</v>
      </c>
      <c r="DK233" s="38">
        <f>Inputs!$D$33</f>
        <v>1500</v>
      </c>
      <c r="DL233" s="38">
        <f t="shared" si="192"/>
        <v>0</v>
      </c>
      <c r="DM233" s="38">
        <f t="shared" si="193"/>
        <v>0</v>
      </c>
      <c r="DN233" s="38">
        <f>Inputs!$D$19*(1-Inputs!$C$73*$H233)+Inputs!$D$21+Inputs!$B$73*$J233</f>
        <v>398150</v>
      </c>
      <c r="DO233" s="38">
        <f t="shared" si="194"/>
        <v>-398150</v>
      </c>
      <c r="DP233" s="38">
        <f t="shared" si="195"/>
        <v>1</v>
      </c>
    </row>
    <row r="234" spans="1:120" x14ac:dyDescent="0.35">
      <c r="A234" s="29">
        <v>229</v>
      </c>
      <c r="B234" s="34">
        <f>EDATE(Inputs!$B$67,$A234)</f>
        <v>53236</v>
      </c>
      <c r="C234" s="35">
        <f>IF(Inputs!$E$47&lt;=0,Inputs!$E$46,Inputs!$E$44+(Inputs!$E$46-Inputs!$E$44)*MIN($A234/Inputs!$E$47,1))</f>
        <v>0.7</v>
      </c>
      <c r="D234" s="35">
        <f>MIN(Inputs!$E$57,Inputs!$E$55*(1+Inputs!$E$56)^($A234/12))*Inputs!$E$58*(1+Inputs!$E$59)^($A234/12)/Inputs!$E$45</f>
        <v>1.5</v>
      </c>
      <c r="E234" s="35">
        <f>MAX(Inputs!$E$44,MIN(C234,D234))</f>
        <v>0.7</v>
      </c>
      <c r="F234" s="35">
        <f>IF(Inputs!$E$50&lt;=0,Inputs!$E$49,Inputs!$E$48+(Inputs!$E$49-Inputs!$E$48)*MIN($A234/Inputs!$E$50,1))</f>
        <v>0.12</v>
      </c>
      <c r="G234" s="36">
        <f>(Inputs!$E$41*(1-E234*Inputs!$E$51)+Inputs!$E$42*(1-F234*Inputs!$E$51))/(Inputs!$E$41*(1-Inputs!$E$44*Inputs!$E$51)+Inputs!$E$42*(1-Inputs!$E$48*Inputs!$E$51))</f>
        <v>0.8423127463863338</v>
      </c>
      <c r="H234" s="35">
        <f>IF(Inputs!$E$53&lt;=0,Inputs!$E$52,Inputs!$E$52*MIN($A234/Inputs!$E$53,1))</f>
        <v>0.1</v>
      </c>
      <c r="I234" s="35">
        <f>IF(Inputs!$E$64&lt;=0,Inputs!$E$63,Inputs!$E$62+(Inputs!$E$63-Inputs!$E$62)*MIN($A234/Inputs!$E$64,1))</f>
        <v>0.03</v>
      </c>
      <c r="J234" s="37">
        <f>(E234-Inputs!$E$44)*Inputs!$E$45/Inputs!$E$60*Inputs!$E$61</f>
        <v>5999.9999999999991</v>
      </c>
      <c r="K234" s="29">
        <f t="shared" si="147"/>
        <v>0</v>
      </c>
      <c r="L234" s="29"/>
      <c r="M234" s="38">
        <f>MAX(0,MIN(Inputs!$B$36,R233,N234+O234+P234+Inputs!$B$6-Q233))</f>
        <v>0</v>
      </c>
      <c r="N234" s="38">
        <f>Inputs!$B$27*(1+Inputs!$B$28)^($A234/12)*IF(Inputs!$B$70=1,$G234,1)*(1-Inputs!$C$70*$H234*(1-Inputs!$E$54*Inputs!$B$70))*(1+$I234)*IF(Inputs!$B$29=0,1,(MAX(Q233,0)/Inputs!$B$6)^Inputs!$B$29)</f>
        <v>39200.439935470742</v>
      </c>
      <c r="O234" s="38">
        <f>Inputs!$B$32*Q233/Inputs!$B$6</f>
        <v>0</v>
      </c>
      <c r="P234" s="38">
        <f>Inputs!$B$33</f>
        <v>2500</v>
      </c>
      <c r="Q234" s="38">
        <f t="shared" si="148"/>
        <v>0</v>
      </c>
      <c r="R234" s="38">
        <f t="shared" si="149"/>
        <v>0</v>
      </c>
      <c r="S234" s="38">
        <f>Inputs!$B$19*(1-Inputs!$C$70*$H234)+Inputs!$B$21+Inputs!$B$70*$J234</f>
        <v>595000</v>
      </c>
      <c r="T234" s="38">
        <f t="shared" si="150"/>
        <v>-595000</v>
      </c>
      <c r="U234" s="38">
        <f t="shared" si="151"/>
        <v>1</v>
      </c>
      <c r="V234" s="38">
        <f>MAX(0,MIN(Inputs!$C$36,AA233,W234+X234+Y234+Inputs!$C$6-Z233))</f>
        <v>0</v>
      </c>
      <c r="W234" s="38">
        <f>Inputs!$C$27*(1+Inputs!$C$28)^($A234/12)*IF(Inputs!$B$70=1,$G234,1)*(1-Inputs!$C$70*$H234*(1-Inputs!$E$54*Inputs!$B$70))*(1+$I234)*IF(Inputs!$C$29=0,1,(MAX(Z233,0)/Inputs!$C$6)^Inputs!$C$29)</f>
        <v>0</v>
      </c>
      <c r="X234" s="38">
        <f>Inputs!$C$32*Z233/Inputs!$C$6</f>
        <v>0</v>
      </c>
      <c r="Y234" s="38">
        <f>Inputs!$C$33</f>
        <v>2000</v>
      </c>
      <c r="Z234" s="38">
        <f t="shared" si="152"/>
        <v>0</v>
      </c>
      <c r="AA234" s="38">
        <f t="shared" si="153"/>
        <v>0</v>
      </c>
      <c r="AB234" s="38">
        <f>Inputs!$C$19*(1-Inputs!$C$70*$H234)+Inputs!$C$21+Inputs!$B$70*$J234</f>
        <v>495000</v>
      </c>
      <c r="AC234" s="38">
        <f t="shared" si="154"/>
        <v>-495000</v>
      </c>
      <c r="AD234" s="38">
        <f t="shared" si="155"/>
        <v>1</v>
      </c>
      <c r="AE234" s="38">
        <f>MAX(0,MIN(Inputs!$D$36,AJ233,AF234+AG234+AH234+Inputs!$D$6-AI233))</f>
        <v>0</v>
      </c>
      <c r="AF234" s="38">
        <f>Inputs!$D$27*(1+Inputs!$D$28)^($A234/12)*IF(Inputs!$B$70=1,$G234,1)*(1-Inputs!$C$70*$H234*(1-Inputs!$E$54*Inputs!$B$70))*(1+$I234)*IF(Inputs!$D$29=0,1,(MAX(AI233,0)/Inputs!$D$6)^Inputs!$D$29)</f>
        <v>0</v>
      </c>
      <c r="AG234" s="38">
        <f>Inputs!$D$32*AI233/Inputs!$D$6</f>
        <v>0</v>
      </c>
      <c r="AH234" s="38">
        <f>Inputs!$D$33</f>
        <v>1500</v>
      </c>
      <c r="AI234" s="38">
        <f t="shared" si="156"/>
        <v>0</v>
      </c>
      <c r="AJ234" s="38">
        <f t="shared" si="157"/>
        <v>0</v>
      </c>
      <c r="AK234" s="38">
        <f>Inputs!$D$19*(1-Inputs!$C$70*$H234)+Inputs!$D$21+Inputs!$B$70*$J234</f>
        <v>404800</v>
      </c>
      <c r="AL234" s="38">
        <f t="shared" si="158"/>
        <v>-404800</v>
      </c>
      <c r="AM234" s="38">
        <f t="shared" si="159"/>
        <v>1</v>
      </c>
      <c r="AN234" s="38">
        <f>MAX(0,MIN(Inputs!$B$36,AS233,AO234+AP234+AQ234+Inputs!$B$6-AR233))</f>
        <v>0</v>
      </c>
      <c r="AO234" s="38">
        <f>Inputs!$B$27*(1+Inputs!$B$28)^($A234/12)*IF(Inputs!$B$71=1,$G234,1)*(1-Inputs!$C$71*$H234*(1-Inputs!$E$54*Inputs!$B$71))*(1+$I234)*IF(Inputs!$B$29=0,1,(MAX(AR233,0)/Inputs!$B$6)^Inputs!$B$29)</f>
        <v>33019.030221598878</v>
      </c>
      <c r="AP234" s="38">
        <f>Inputs!$B$32*AR233/Inputs!$B$6</f>
        <v>0</v>
      </c>
      <c r="AQ234" s="38">
        <f>Inputs!$B$33</f>
        <v>2500</v>
      </c>
      <c r="AR234" s="38">
        <f t="shared" si="160"/>
        <v>0</v>
      </c>
      <c r="AS234" s="38">
        <f t="shared" si="161"/>
        <v>0</v>
      </c>
      <c r="AT234" s="38">
        <f>Inputs!$B$19*(1-Inputs!$C$71*$H234)+Inputs!$B$21+Inputs!$B$71*$J234</f>
        <v>601000</v>
      </c>
      <c r="AU234" s="38">
        <f t="shared" si="162"/>
        <v>-601000</v>
      </c>
      <c r="AV234" s="38">
        <f t="shared" si="163"/>
        <v>1</v>
      </c>
      <c r="AW234" s="38">
        <f>MAX(0,MIN(Inputs!$C$36,BB233,AX234+AY234+AZ234+Inputs!$C$6-BA233))</f>
        <v>0</v>
      </c>
      <c r="AX234" s="38">
        <f>Inputs!$C$27*(1+Inputs!$C$28)^($A234/12)*IF(Inputs!$B$71=1,$G234,1)*(1-Inputs!$C$71*$H234*(1-Inputs!$E$54*Inputs!$B$71))*(1+$I234)*IF(Inputs!$C$29=0,1,(MAX(BA233,0)/Inputs!$C$6)^Inputs!$C$29)</f>
        <v>0</v>
      </c>
      <c r="AY234" s="38">
        <f>Inputs!$C$32*BA233/Inputs!$C$6</f>
        <v>0</v>
      </c>
      <c r="AZ234" s="38">
        <f>Inputs!$C$33</f>
        <v>2000</v>
      </c>
      <c r="BA234" s="38">
        <f t="shared" si="164"/>
        <v>0</v>
      </c>
      <c r="BB234" s="38">
        <f t="shared" si="165"/>
        <v>0</v>
      </c>
      <c r="BC234" s="38">
        <f>Inputs!$C$19*(1-Inputs!$C$71*$H234)+Inputs!$C$21+Inputs!$B$71*$J234</f>
        <v>501000</v>
      </c>
      <c r="BD234" s="38">
        <f t="shared" si="166"/>
        <v>-501000</v>
      </c>
      <c r="BE234" s="38">
        <f t="shared" si="167"/>
        <v>1</v>
      </c>
      <c r="BF234" s="38">
        <f>MAX(0,MIN(Inputs!$D$36,BK233,BG234+BH234+BI234+Inputs!$D$6-BJ233))</f>
        <v>0</v>
      </c>
      <c r="BG234" s="38">
        <f>Inputs!$D$27*(1+Inputs!$D$28)^($A234/12)*IF(Inputs!$B$71=1,$G234,1)*(1-Inputs!$C$71*$H234*(1-Inputs!$E$54*Inputs!$B$71))*(1+$I234)*IF(Inputs!$D$29=0,1,(MAX(BJ233,0)/Inputs!$D$6)^Inputs!$D$29)</f>
        <v>0</v>
      </c>
      <c r="BH234" s="38">
        <f>Inputs!$D$32*BJ233/Inputs!$D$6</f>
        <v>0</v>
      </c>
      <c r="BI234" s="38">
        <f>Inputs!$D$33</f>
        <v>1500</v>
      </c>
      <c r="BJ234" s="38">
        <f t="shared" si="168"/>
        <v>0</v>
      </c>
      <c r="BK234" s="38">
        <f t="shared" si="169"/>
        <v>0</v>
      </c>
      <c r="BL234" s="38">
        <f>Inputs!$D$19*(1-Inputs!$C$71*$H234)+Inputs!$D$21+Inputs!$B$71*$J234</f>
        <v>410800</v>
      </c>
      <c r="BM234" s="38">
        <f t="shared" si="170"/>
        <v>-410800</v>
      </c>
      <c r="BN234" s="38">
        <f t="shared" si="171"/>
        <v>1</v>
      </c>
      <c r="BO234" s="38">
        <f>MAX(0,MIN(Inputs!$B$36,BT233,BP234+BQ234+BR234+Inputs!$B$6-BS233))</f>
        <v>0</v>
      </c>
      <c r="BP234" s="38">
        <f>Inputs!$B$27*(1+Inputs!$B$28)^($A234/12)*IF(Inputs!$B$72=1,$G234,1)*(1-Inputs!$C$72*$H234*(1-Inputs!$E$54*Inputs!$B$72))*(1+$I234)*IF(Inputs!$B$29=0,1,(MAX(BS233,0)/Inputs!$B$6)^Inputs!$B$29)</f>
        <v>35280.395941923671</v>
      </c>
      <c r="BQ234" s="38">
        <f>Inputs!$B$32*BS233/Inputs!$B$6</f>
        <v>0</v>
      </c>
      <c r="BR234" s="38">
        <f>Inputs!$B$33</f>
        <v>2500</v>
      </c>
      <c r="BS234" s="38">
        <f t="shared" si="172"/>
        <v>0</v>
      </c>
      <c r="BT234" s="38">
        <f t="shared" si="173"/>
        <v>0</v>
      </c>
      <c r="BU234" s="38">
        <f>Inputs!$B$19*(1-Inputs!$C$72*$H234)+Inputs!$B$21+Inputs!$B$72*$J234</f>
        <v>577500</v>
      </c>
      <c r="BV234" s="38">
        <f t="shared" si="174"/>
        <v>-577500</v>
      </c>
      <c r="BW234" s="38">
        <f t="shared" si="175"/>
        <v>1</v>
      </c>
      <c r="BX234" s="38">
        <f>MAX(0,MIN(Inputs!$C$36,CC233,BY234+BZ234+CA234+Inputs!$C$6-CB233))</f>
        <v>0</v>
      </c>
      <c r="BY234" s="38">
        <f>Inputs!$C$27*(1+Inputs!$C$28)^($A234/12)*IF(Inputs!$B$72=1,$G234,1)*(1-Inputs!$C$72*$H234*(1-Inputs!$E$54*Inputs!$B$72))*(1+$I234)*IF(Inputs!$C$29=0,1,(MAX(CB233,0)/Inputs!$C$6)^Inputs!$C$29)</f>
        <v>0</v>
      </c>
      <c r="BZ234" s="38">
        <f>Inputs!$C$32*CB233/Inputs!$C$6</f>
        <v>0</v>
      </c>
      <c r="CA234" s="38">
        <f>Inputs!$C$33</f>
        <v>2000</v>
      </c>
      <c r="CB234" s="38">
        <f t="shared" si="176"/>
        <v>0</v>
      </c>
      <c r="CC234" s="38">
        <f t="shared" si="177"/>
        <v>0</v>
      </c>
      <c r="CD234" s="38">
        <f>Inputs!$C$19*(1-Inputs!$C$72*$H234)+Inputs!$C$21+Inputs!$B$72*$J234</f>
        <v>480000</v>
      </c>
      <c r="CE234" s="38">
        <f t="shared" si="178"/>
        <v>-480000</v>
      </c>
      <c r="CF234" s="38">
        <f t="shared" si="179"/>
        <v>1</v>
      </c>
      <c r="CG234" s="38">
        <f>MAX(0,MIN(Inputs!$D$36,CL233,CH234+CI234+CJ234+Inputs!$D$6-CK233))</f>
        <v>0</v>
      </c>
      <c r="CH234" s="38">
        <f>Inputs!$D$27*(1+Inputs!$D$28)^($A234/12)*IF(Inputs!$B$72=1,$G234,1)*(1-Inputs!$C$72*$H234*(1-Inputs!$E$54*Inputs!$B$72))*(1+$I234)*IF(Inputs!$D$29=0,1,(MAX(CK233,0)/Inputs!$D$6)^Inputs!$D$29)</f>
        <v>0</v>
      </c>
      <c r="CI234" s="38">
        <f>Inputs!$D$32*CK233/Inputs!$D$6</f>
        <v>0</v>
      </c>
      <c r="CJ234" s="38">
        <f>Inputs!$D$33</f>
        <v>1500</v>
      </c>
      <c r="CK234" s="38">
        <f t="shared" si="180"/>
        <v>0</v>
      </c>
      <c r="CL234" s="38">
        <f t="shared" si="181"/>
        <v>0</v>
      </c>
      <c r="CM234" s="38">
        <f>Inputs!$D$19*(1-Inputs!$C$72*$H234)+Inputs!$D$21+Inputs!$B$72*$J234</f>
        <v>392150</v>
      </c>
      <c r="CN234" s="38">
        <f t="shared" si="182"/>
        <v>-392150</v>
      </c>
      <c r="CO234" s="38">
        <f t="shared" si="183"/>
        <v>1</v>
      </c>
      <c r="CP234" s="38">
        <f>MAX(0,MIN(Inputs!$B$36,CU233,CQ234+CR234+CS234+Inputs!$B$6-CT233))</f>
        <v>0</v>
      </c>
      <c r="CQ234" s="38">
        <f>Inputs!$B$27*(1+Inputs!$B$28)^($A234/12)*IF(Inputs!$B$73=1,$G234,1)*(1-Inputs!$C$73*$H234*(1-Inputs!$E$54*Inputs!$B$73))*(1+$I234)*IF(Inputs!$B$29=0,1,(MAX(CT233,0)/Inputs!$B$6)^Inputs!$B$29)</f>
        <v>31368.078710518934</v>
      </c>
      <c r="CR234" s="38">
        <f>Inputs!$B$32*CT233/Inputs!$B$6</f>
        <v>0</v>
      </c>
      <c r="CS234" s="38">
        <f>Inputs!$B$33</f>
        <v>2500</v>
      </c>
      <c r="CT234" s="38">
        <f t="shared" si="184"/>
        <v>0</v>
      </c>
      <c r="CU234" s="38">
        <f t="shared" si="185"/>
        <v>0</v>
      </c>
      <c r="CV234" s="38">
        <f>Inputs!$B$19*(1-Inputs!$C$73*$H234)+Inputs!$B$21+Inputs!$B$73*$J234</f>
        <v>583500</v>
      </c>
      <c r="CW234" s="38">
        <f t="shared" si="186"/>
        <v>-583500</v>
      </c>
      <c r="CX234" s="38">
        <f t="shared" si="187"/>
        <v>1</v>
      </c>
      <c r="CY234" s="38">
        <f>MAX(0,MIN(Inputs!$C$36,DD233,CZ234+DA234+DB234+Inputs!$C$6-DC233))</f>
        <v>0</v>
      </c>
      <c r="CZ234" s="38">
        <f>Inputs!$C$27*(1+Inputs!$C$28)^($A234/12)*IF(Inputs!$B$73=1,$G234,1)*(1-Inputs!$C$73*$H234*(1-Inputs!$E$54*Inputs!$B$73))*(1+$I234)*IF(Inputs!$C$29=0,1,(MAX(DC233,0)/Inputs!$C$6)^Inputs!$C$29)</f>
        <v>0</v>
      </c>
      <c r="DA234" s="38">
        <f>Inputs!$C$32*DC233/Inputs!$C$6</f>
        <v>0</v>
      </c>
      <c r="DB234" s="38">
        <f>Inputs!$C$33</f>
        <v>2000</v>
      </c>
      <c r="DC234" s="38">
        <f t="shared" si="188"/>
        <v>0</v>
      </c>
      <c r="DD234" s="38">
        <f t="shared" si="189"/>
        <v>0</v>
      </c>
      <c r="DE234" s="38">
        <f>Inputs!$C$19*(1-Inputs!$C$73*$H234)+Inputs!$C$21+Inputs!$B$73*$J234</f>
        <v>486000</v>
      </c>
      <c r="DF234" s="38">
        <f t="shared" si="190"/>
        <v>-486000</v>
      </c>
      <c r="DG234" s="38">
        <f t="shared" si="191"/>
        <v>1</v>
      </c>
      <c r="DH234" s="38">
        <f>MAX(0,MIN(Inputs!$D$36,DM233,DI234+DJ234+DK234+Inputs!$D$6-DL233))</f>
        <v>0</v>
      </c>
      <c r="DI234" s="38">
        <f>Inputs!$D$27*(1+Inputs!$D$28)^($A234/12)*IF(Inputs!$B$73=1,$G234,1)*(1-Inputs!$C$73*$H234*(1-Inputs!$E$54*Inputs!$B$73))*(1+$I234)*IF(Inputs!$D$29=0,1,(MAX(DL233,0)/Inputs!$D$6)^Inputs!$D$29)</f>
        <v>0</v>
      </c>
      <c r="DJ234" s="38">
        <f>Inputs!$D$32*DL233/Inputs!$D$6</f>
        <v>0</v>
      </c>
      <c r="DK234" s="38">
        <f>Inputs!$D$33</f>
        <v>1500</v>
      </c>
      <c r="DL234" s="38">
        <f t="shared" si="192"/>
        <v>0</v>
      </c>
      <c r="DM234" s="38">
        <f t="shared" si="193"/>
        <v>0</v>
      </c>
      <c r="DN234" s="38">
        <f>Inputs!$D$19*(1-Inputs!$C$73*$H234)+Inputs!$D$21+Inputs!$B$73*$J234</f>
        <v>398150</v>
      </c>
      <c r="DO234" s="38">
        <f t="shared" si="194"/>
        <v>-398150</v>
      </c>
      <c r="DP234" s="38">
        <f t="shared" si="195"/>
        <v>1</v>
      </c>
    </row>
    <row r="235" spans="1:120" x14ac:dyDescent="0.35">
      <c r="A235" s="29">
        <v>230</v>
      </c>
      <c r="B235" s="34">
        <f>EDATE(Inputs!$B$67,$A235)</f>
        <v>53267</v>
      </c>
      <c r="C235" s="35">
        <f>IF(Inputs!$E$47&lt;=0,Inputs!$E$46,Inputs!$E$44+(Inputs!$E$46-Inputs!$E$44)*MIN($A235/Inputs!$E$47,1))</f>
        <v>0.7</v>
      </c>
      <c r="D235" s="35">
        <f>MIN(Inputs!$E$57,Inputs!$E$55*(1+Inputs!$E$56)^($A235/12))*Inputs!$E$58*(1+Inputs!$E$59)^($A235/12)/Inputs!$E$45</f>
        <v>1.5</v>
      </c>
      <c r="E235" s="35">
        <f>MAX(Inputs!$E$44,MIN(C235,D235))</f>
        <v>0.7</v>
      </c>
      <c r="F235" s="35">
        <f>IF(Inputs!$E$50&lt;=0,Inputs!$E$49,Inputs!$E$48+(Inputs!$E$49-Inputs!$E$48)*MIN($A235/Inputs!$E$50,1))</f>
        <v>0.12</v>
      </c>
      <c r="G235" s="36">
        <f>(Inputs!$E$41*(1-E235*Inputs!$E$51)+Inputs!$E$42*(1-F235*Inputs!$E$51))/(Inputs!$E$41*(1-Inputs!$E$44*Inputs!$E$51)+Inputs!$E$42*(1-Inputs!$E$48*Inputs!$E$51))</f>
        <v>0.8423127463863338</v>
      </c>
      <c r="H235" s="35">
        <f>IF(Inputs!$E$53&lt;=0,Inputs!$E$52,Inputs!$E$52*MIN($A235/Inputs!$E$53,1))</f>
        <v>0.1</v>
      </c>
      <c r="I235" s="35">
        <f>IF(Inputs!$E$64&lt;=0,Inputs!$E$63,Inputs!$E$62+(Inputs!$E$63-Inputs!$E$62)*MIN($A235/Inputs!$E$64,1))</f>
        <v>0.03</v>
      </c>
      <c r="J235" s="37">
        <f>(E235-Inputs!$E$44)*Inputs!$E$45/Inputs!$E$60*Inputs!$E$61</f>
        <v>5999.9999999999991</v>
      </c>
      <c r="K235" s="29">
        <f t="shared" si="147"/>
        <v>0</v>
      </c>
      <c r="L235" s="29"/>
      <c r="M235" s="38">
        <f>MAX(0,MIN(Inputs!$B$36,R234,N235+O235+P235+Inputs!$B$6-Q234))</f>
        <v>0</v>
      </c>
      <c r="N235" s="38">
        <f>Inputs!$B$27*(1+Inputs!$B$28)^($A235/12)*IF(Inputs!$B$70=1,$G235,1)*(1-Inputs!$C$70*$H235*(1-Inputs!$E$54*Inputs!$B$70))*(1+$I235)*IF(Inputs!$B$29=0,1,(MAX(Q234,0)/Inputs!$B$6)^Inputs!$B$29)</f>
        <v>39360.14738014133</v>
      </c>
      <c r="O235" s="38">
        <f>Inputs!$B$32*Q234/Inputs!$B$6</f>
        <v>0</v>
      </c>
      <c r="P235" s="38">
        <f>Inputs!$B$33</f>
        <v>2500</v>
      </c>
      <c r="Q235" s="38">
        <f t="shared" si="148"/>
        <v>0</v>
      </c>
      <c r="R235" s="38">
        <f t="shared" si="149"/>
        <v>0</v>
      </c>
      <c r="S235" s="38">
        <f>Inputs!$B$19*(1-Inputs!$C$70*$H235)+Inputs!$B$21+Inputs!$B$70*$J235</f>
        <v>595000</v>
      </c>
      <c r="T235" s="38">
        <f t="shared" si="150"/>
        <v>-595000</v>
      </c>
      <c r="U235" s="38">
        <f t="shared" si="151"/>
        <v>1</v>
      </c>
      <c r="V235" s="38">
        <f>MAX(0,MIN(Inputs!$C$36,AA234,W235+X235+Y235+Inputs!$C$6-Z234))</f>
        <v>0</v>
      </c>
      <c r="W235" s="38">
        <f>Inputs!$C$27*(1+Inputs!$C$28)^($A235/12)*IF(Inputs!$B$70=1,$G235,1)*(1-Inputs!$C$70*$H235*(1-Inputs!$E$54*Inputs!$B$70))*(1+$I235)*IF(Inputs!$C$29=0,1,(MAX(Z234,0)/Inputs!$C$6)^Inputs!$C$29)</f>
        <v>0</v>
      </c>
      <c r="X235" s="38">
        <f>Inputs!$C$32*Z234/Inputs!$C$6</f>
        <v>0</v>
      </c>
      <c r="Y235" s="38">
        <f>Inputs!$C$33</f>
        <v>2000</v>
      </c>
      <c r="Z235" s="38">
        <f t="shared" si="152"/>
        <v>0</v>
      </c>
      <c r="AA235" s="38">
        <f t="shared" si="153"/>
        <v>0</v>
      </c>
      <c r="AB235" s="38">
        <f>Inputs!$C$19*(1-Inputs!$C$70*$H235)+Inputs!$C$21+Inputs!$B$70*$J235</f>
        <v>495000</v>
      </c>
      <c r="AC235" s="38">
        <f t="shared" si="154"/>
        <v>-495000</v>
      </c>
      <c r="AD235" s="38">
        <f t="shared" si="155"/>
        <v>1</v>
      </c>
      <c r="AE235" s="38">
        <f>MAX(0,MIN(Inputs!$D$36,AJ234,AF235+AG235+AH235+Inputs!$D$6-AI234))</f>
        <v>0</v>
      </c>
      <c r="AF235" s="38">
        <f>Inputs!$D$27*(1+Inputs!$D$28)^($A235/12)*IF(Inputs!$B$70=1,$G235,1)*(1-Inputs!$C$70*$H235*(1-Inputs!$E$54*Inputs!$B$70))*(1+$I235)*IF(Inputs!$D$29=0,1,(MAX(AI234,0)/Inputs!$D$6)^Inputs!$D$29)</f>
        <v>0</v>
      </c>
      <c r="AG235" s="38">
        <f>Inputs!$D$32*AI234/Inputs!$D$6</f>
        <v>0</v>
      </c>
      <c r="AH235" s="38">
        <f>Inputs!$D$33</f>
        <v>1500</v>
      </c>
      <c r="AI235" s="38">
        <f t="shared" si="156"/>
        <v>0</v>
      </c>
      <c r="AJ235" s="38">
        <f t="shared" si="157"/>
        <v>0</v>
      </c>
      <c r="AK235" s="38">
        <f>Inputs!$D$19*(1-Inputs!$C$70*$H235)+Inputs!$D$21+Inputs!$B$70*$J235</f>
        <v>404800</v>
      </c>
      <c r="AL235" s="38">
        <f t="shared" si="158"/>
        <v>-404800</v>
      </c>
      <c r="AM235" s="38">
        <f t="shared" si="159"/>
        <v>1</v>
      </c>
      <c r="AN235" s="38">
        <f>MAX(0,MIN(Inputs!$B$36,AS234,AO235+AP235+AQ235+Inputs!$B$6-AR234))</f>
        <v>0</v>
      </c>
      <c r="AO235" s="38">
        <f>Inputs!$B$27*(1+Inputs!$B$28)^($A235/12)*IF(Inputs!$B$71=1,$G235,1)*(1-Inputs!$C$71*$H235*(1-Inputs!$E$54*Inputs!$B$71))*(1+$I235)*IF(Inputs!$B$29=0,1,(MAX(AR234,0)/Inputs!$B$6)^Inputs!$B$29)</f>
        <v>33153.553837937703</v>
      </c>
      <c r="AP235" s="38">
        <f>Inputs!$B$32*AR234/Inputs!$B$6</f>
        <v>0</v>
      </c>
      <c r="AQ235" s="38">
        <f>Inputs!$B$33</f>
        <v>2500</v>
      </c>
      <c r="AR235" s="38">
        <f t="shared" si="160"/>
        <v>0</v>
      </c>
      <c r="AS235" s="38">
        <f t="shared" si="161"/>
        <v>0</v>
      </c>
      <c r="AT235" s="38">
        <f>Inputs!$B$19*(1-Inputs!$C$71*$H235)+Inputs!$B$21+Inputs!$B$71*$J235</f>
        <v>601000</v>
      </c>
      <c r="AU235" s="38">
        <f t="shared" si="162"/>
        <v>-601000</v>
      </c>
      <c r="AV235" s="38">
        <f t="shared" si="163"/>
        <v>1</v>
      </c>
      <c r="AW235" s="38">
        <f>MAX(0,MIN(Inputs!$C$36,BB234,AX235+AY235+AZ235+Inputs!$C$6-BA234))</f>
        <v>0</v>
      </c>
      <c r="AX235" s="38">
        <f>Inputs!$C$27*(1+Inputs!$C$28)^($A235/12)*IF(Inputs!$B$71=1,$G235,1)*(1-Inputs!$C$71*$H235*(1-Inputs!$E$54*Inputs!$B$71))*(1+$I235)*IF(Inputs!$C$29=0,1,(MAX(BA234,0)/Inputs!$C$6)^Inputs!$C$29)</f>
        <v>0</v>
      </c>
      <c r="AY235" s="38">
        <f>Inputs!$C$32*BA234/Inputs!$C$6</f>
        <v>0</v>
      </c>
      <c r="AZ235" s="38">
        <f>Inputs!$C$33</f>
        <v>2000</v>
      </c>
      <c r="BA235" s="38">
        <f t="shared" si="164"/>
        <v>0</v>
      </c>
      <c r="BB235" s="38">
        <f t="shared" si="165"/>
        <v>0</v>
      </c>
      <c r="BC235" s="38">
        <f>Inputs!$C$19*(1-Inputs!$C$71*$H235)+Inputs!$C$21+Inputs!$B$71*$J235</f>
        <v>501000</v>
      </c>
      <c r="BD235" s="38">
        <f t="shared" si="166"/>
        <v>-501000</v>
      </c>
      <c r="BE235" s="38">
        <f t="shared" si="167"/>
        <v>1</v>
      </c>
      <c r="BF235" s="38">
        <f>MAX(0,MIN(Inputs!$D$36,BK234,BG235+BH235+BI235+Inputs!$D$6-BJ234))</f>
        <v>0</v>
      </c>
      <c r="BG235" s="38">
        <f>Inputs!$D$27*(1+Inputs!$D$28)^($A235/12)*IF(Inputs!$B$71=1,$G235,1)*(1-Inputs!$C$71*$H235*(1-Inputs!$E$54*Inputs!$B$71))*(1+$I235)*IF(Inputs!$D$29=0,1,(MAX(BJ234,0)/Inputs!$D$6)^Inputs!$D$29)</f>
        <v>0</v>
      </c>
      <c r="BH235" s="38">
        <f>Inputs!$D$32*BJ234/Inputs!$D$6</f>
        <v>0</v>
      </c>
      <c r="BI235" s="38">
        <f>Inputs!$D$33</f>
        <v>1500</v>
      </c>
      <c r="BJ235" s="38">
        <f t="shared" si="168"/>
        <v>0</v>
      </c>
      <c r="BK235" s="38">
        <f t="shared" si="169"/>
        <v>0</v>
      </c>
      <c r="BL235" s="38">
        <f>Inputs!$D$19*(1-Inputs!$C$71*$H235)+Inputs!$D$21+Inputs!$B$71*$J235</f>
        <v>410800</v>
      </c>
      <c r="BM235" s="38">
        <f t="shared" si="170"/>
        <v>-410800</v>
      </c>
      <c r="BN235" s="38">
        <f t="shared" si="171"/>
        <v>1</v>
      </c>
      <c r="BO235" s="38">
        <f>MAX(0,MIN(Inputs!$B$36,BT234,BP235+BQ235+BR235+Inputs!$B$6-BS234))</f>
        <v>0</v>
      </c>
      <c r="BP235" s="38">
        <f>Inputs!$B$27*(1+Inputs!$B$28)^($A235/12)*IF(Inputs!$B$72=1,$G235,1)*(1-Inputs!$C$72*$H235*(1-Inputs!$E$54*Inputs!$B$72))*(1+$I235)*IF(Inputs!$B$29=0,1,(MAX(BS234,0)/Inputs!$B$6)^Inputs!$B$29)</f>
        <v>35424.132642127202</v>
      </c>
      <c r="BQ235" s="38">
        <f>Inputs!$B$32*BS234/Inputs!$B$6</f>
        <v>0</v>
      </c>
      <c r="BR235" s="38">
        <f>Inputs!$B$33</f>
        <v>2500</v>
      </c>
      <c r="BS235" s="38">
        <f t="shared" si="172"/>
        <v>0</v>
      </c>
      <c r="BT235" s="38">
        <f t="shared" si="173"/>
        <v>0</v>
      </c>
      <c r="BU235" s="38">
        <f>Inputs!$B$19*(1-Inputs!$C$72*$H235)+Inputs!$B$21+Inputs!$B$72*$J235</f>
        <v>577500</v>
      </c>
      <c r="BV235" s="38">
        <f t="shared" si="174"/>
        <v>-577500</v>
      </c>
      <c r="BW235" s="38">
        <f t="shared" si="175"/>
        <v>1</v>
      </c>
      <c r="BX235" s="38">
        <f>MAX(0,MIN(Inputs!$C$36,CC234,BY235+BZ235+CA235+Inputs!$C$6-CB234))</f>
        <v>0</v>
      </c>
      <c r="BY235" s="38">
        <f>Inputs!$C$27*(1+Inputs!$C$28)^($A235/12)*IF(Inputs!$B$72=1,$G235,1)*(1-Inputs!$C$72*$H235*(1-Inputs!$E$54*Inputs!$B$72))*(1+$I235)*IF(Inputs!$C$29=0,1,(MAX(CB234,0)/Inputs!$C$6)^Inputs!$C$29)</f>
        <v>0</v>
      </c>
      <c r="BZ235" s="38">
        <f>Inputs!$C$32*CB234/Inputs!$C$6</f>
        <v>0</v>
      </c>
      <c r="CA235" s="38">
        <f>Inputs!$C$33</f>
        <v>2000</v>
      </c>
      <c r="CB235" s="38">
        <f t="shared" si="176"/>
        <v>0</v>
      </c>
      <c r="CC235" s="38">
        <f t="shared" si="177"/>
        <v>0</v>
      </c>
      <c r="CD235" s="38">
        <f>Inputs!$C$19*(1-Inputs!$C$72*$H235)+Inputs!$C$21+Inputs!$B$72*$J235</f>
        <v>480000</v>
      </c>
      <c r="CE235" s="38">
        <f t="shared" si="178"/>
        <v>-480000</v>
      </c>
      <c r="CF235" s="38">
        <f t="shared" si="179"/>
        <v>1</v>
      </c>
      <c r="CG235" s="38">
        <f>MAX(0,MIN(Inputs!$D$36,CL234,CH235+CI235+CJ235+Inputs!$D$6-CK234))</f>
        <v>0</v>
      </c>
      <c r="CH235" s="38">
        <f>Inputs!$D$27*(1+Inputs!$D$28)^($A235/12)*IF(Inputs!$B$72=1,$G235,1)*(1-Inputs!$C$72*$H235*(1-Inputs!$E$54*Inputs!$B$72))*(1+$I235)*IF(Inputs!$D$29=0,1,(MAX(CK234,0)/Inputs!$D$6)^Inputs!$D$29)</f>
        <v>0</v>
      </c>
      <c r="CI235" s="38">
        <f>Inputs!$D$32*CK234/Inputs!$D$6</f>
        <v>0</v>
      </c>
      <c r="CJ235" s="38">
        <f>Inputs!$D$33</f>
        <v>1500</v>
      </c>
      <c r="CK235" s="38">
        <f t="shared" si="180"/>
        <v>0</v>
      </c>
      <c r="CL235" s="38">
        <f t="shared" si="181"/>
        <v>0</v>
      </c>
      <c r="CM235" s="38">
        <f>Inputs!$D$19*(1-Inputs!$C$72*$H235)+Inputs!$D$21+Inputs!$B$72*$J235</f>
        <v>392150</v>
      </c>
      <c r="CN235" s="38">
        <f t="shared" si="182"/>
        <v>-392150</v>
      </c>
      <c r="CO235" s="38">
        <f t="shared" si="183"/>
        <v>1</v>
      </c>
      <c r="CP235" s="38">
        <f>MAX(0,MIN(Inputs!$B$36,CU234,CQ235+CR235+CS235+Inputs!$B$6-CT234))</f>
        <v>0</v>
      </c>
      <c r="CQ235" s="38">
        <f>Inputs!$B$27*(1+Inputs!$B$28)^($A235/12)*IF(Inputs!$B$73=1,$G235,1)*(1-Inputs!$C$73*$H235*(1-Inputs!$E$54*Inputs!$B$73))*(1+$I235)*IF(Inputs!$B$29=0,1,(MAX(CT234,0)/Inputs!$B$6)^Inputs!$B$29)</f>
        <v>31495.87614604082</v>
      </c>
      <c r="CR235" s="38">
        <f>Inputs!$B$32*CT234/Inputs!$B$6</f>
        <v>0</v>
      </c>
      <c r="CS235" s="38">
        <f>Inputs!$B$33</f>
        <v>2500</v>
      </c>
      <c r="CT235" s="38">
        <f t="shared" si="184"/>
        <v>0</v>
      </c>
      <c r="CU235" s="38">
        <f t="shared" si="185"/>
        <v>0</v>
      </c>
      <c r="CV235" s="38">
        <f>Inputs!$B$19*(1-Inputs!$C$73*$H235)+Inputs!$B$21+Inputs!$B$73*$J235</f>
        <v>583500</v>
      </c>
      <c r="CW235" s="38">
        <f t="shared" si="186"/>
        <v>-583500</v>
      </c>
      <c r="CX235" s="38">
        <f t="shared" si="187"/>
        <v>1</v>
      </c>
      <c r="CY235" s="38">
        <f>MAX(0,MIN(Inputs!$C$36,DD234,CZ235+DA235+DB235+Inputs!$C$6-DC234))</f>
        <v>0</v>
      </c>
      <c r="CZ235" s="38">
        <f>Inputs!$C$27*(1+Inputs!$C$28)^($A235/12)*IF(Inputs!$B$73=1,$G235,1)*(1-Inputs!$C$73*$H235*(1-Inputs!$E$54*Inputs!$B$73))*(1+$I235)*IF(Inputs!$C$29=0,1,(MAX(DC234,0)/Inputs!$C$6)^Inputs!$C$29)</f>
        <v>0</v>
      </c>
      <c r="DA235" s="38">
        <f>Inputs!$C$32*DC234/Inputs!$C$6</f>
        <v>0</v>
      </c>
      <c r="DB235" s="38">
        <f>Inputs!$C$33</f>
        <v>2000</v>
      </c>
      <c r="DC235" s="38">
        <f t="shared" si="188"/>
        <v>0</v>
      </c>
      <c r="DD235" s="38">
        <f t="shared" si="189"/>
        <v>0</v>
      </c>
      <c r="DE235" s="38">
        <f>Inputs!$C$19*(1-Inputs!$C$73*$H235)+Inputs!$C$21+Inputs!$B$73*$J235</f>
        <v>486000</v>
      </c>
      <c r="DF235" s="38">
        <f t="shared" si="190"/>
        <v>-486000</v>
      </c>
      <c r="DG235" s="38">
        <f t="shared" si="191"/>
        <v>1</v>
      </c>
      <c r="DH235" s="38">
        <f>MAX(0,MIN(Inputs!$D$36,DM234,DI235+DJ235+DK235+Inputs!$D$6-DL234))</f>
        <v>0</v>
      </c>
      <c r="DI235" s="38">
        <f>Inputs!$D$27*(1+Inputs!$D$28)^($A235/12)*IF(Inputs!$B$73=1,$G235,1)*(1-Inputs!$C$73*$H235*(1-Inputs!$E$54*Inputs!$B$73))*(1+$I235)*IF(Inputs!$D$29=0,1,(MAX(DL234,0)/Inputs!$D$6)^Inputs!$D$29)</f>
        <v>0</v>
      </c>
      <c r="DJ235" s="38">
        <f>Inputs!$D$32*DL234/Inputs!$D$6</f>
        <v>0</v>
      </c>
      <c r="DK235" s="38">
        <f>Inputs!$D$33</f>
        <v>1500</v>
      </c>
      <c r="DL235" s="38">
        <f t="shared" si="192"/>
        <v>0</v>
      </c>
      <c r="DM235" s="38">
        <f t="shared" si="193"/>
        <v>0</v>
      </c>
      <c r="DN235" s="38">
        <f>Inputs!$D$19*(1-Inputs!$C$73*$H235)+Inputs!$D$21+Inputs!$B$73*$J235</f>
        <v>398150</v>
      </c>
      <c r="DO235" s="38">
        <f t="shared" si="194"/>
        <v>-398150</v>
      </c>
      <c r="DP235" s="38">
        <f t="shared" si="195"/>
        <v>1</v>
      </c>
    </row>
    <row r="236" spans="1:120" x14ac:dyDescent="0.35">
      <c r="A236" s="29">
        <v>231</v>
      </c>
      <c r="B236" s="34">
        <f>EDATE(Inputs!$B$67,$A236)</f>
        <v>53297</v>
      </c>
      <c r="C236" s="35">
        <f>IF(Inputs!$E$47&lt;=0,Inputs!$E$46,Inputs!$E$44+(Inputs!$E$46-Inputs!$E$44)*MIN($A236/Inputs!$E$47,1))</f>
        <v>0.7</v>
      </c>
      <c r="D236" s="35">
        <f>MIN(Inputs!$E$57,Inputs!$E$55*(1+Inputs!$E$56)^($A236/12))*Inputs!$E$58*(1+Inputs!$E$59)^($A236/12)/Inputs!$E$45</f>
        <v>1.5</v>
      </c>
      <c r="E236" s="35">
        <f>MAX(Inputs!$E$44,MIN(C236,D236))</f>
        <v>0.7</v>
      </c>
      <c r="F236" s="35">
        <f>IF(Inputs!$E$50&lt;=0,Inputs!$E$49,Inputs!$E$48+(Inputs!$E$49-Inputs!$E$48)*MIN($A236/Inputs!$E$50,1))</f>
        <v>0.12</v>
      </c>
      <c r="G236" s="36">
        <f>(Inputs!$E$41*(1-E236*Inputs!$E$51)+Inputs!$E$42*(1-F236*Inputs!$E$51))/(Inputs!$E$41*(1-Inputs!$E$44*Inputs!$E$51)+Inputs!$E$42*(1-Inputs!$E$48*Inputs!$E$51))</f>
        <v>0.8423127463863338</v>
      </c>
      <c r="H236" s="35">
        <f>IF(Inputs!$E$53&lt;=0,Inputs!$E$52,Inputs!$E$52*MIN($A236/Inputs!$E$53,1))</f>
        <v>0.1</v>
      </c>
      <c r="I236" s="35">
        <f>IF(Inputs!$E$64&lt;=0,Inputs!$E$63,Inputs!$E$62+(Inputs!$E$63-Inputs!$E$62)*MIN($A236/Inputs!$E$64,1))</f>
        <v>0.03</v>
      </c>
      <c r="J236" s="37">
        <f>(E236-Inputs!$E$44)*Inputs!$E$45/Inputs!$E$60*Inputs!$E$61</f>
        <v>5999.9999999999991</v>
      </c>
      <c r="K236" s="29">
        <f t="shared" si="147"/>
        <v>0</v>
      </c>
      <c r="L236" s="29"/>
      <c r="M236" s="38">
        <f>MAX(0,MIN(Inputs!$B$36,R235,N236+O236+P236+Inputs!$B$6-Q235))</f>
        <v>0</v>
      </c>
      <c r="N236" s="38">
        <f>Inputs!$B$27*(1+Inputs!$B$28)^($A236/12)*IF(Inputs!$B$70=1,$G236,1)*(1-Inputs!$C$70*$H236*(1-Inputs!$E$54*Inputs!$B$70))*(1+$I236)*IF(Inputs!$B$29=0,1,(MAX(Q235,0)/Inputs!$B$6)^Inputs!$B$29)</f>
        <v>39520.505492710661</v>
      </c>
      <c r="O236" s="38">
        <f>Inputs!$B$32*Q235/Inputs!$B$6</f>
        <v>0</v>
      </c>
      <c r="P236" s="38">
        <f>Inputs!$B$33</f>
        <v>2500</v>
      </c>
      <c r="Q236" s="38">
        <f t="shared" si="148"/>
        <v>0</v>
      </c>
      <c r="R236" s="38">
        <f t="shared" si="149"/>
        <v>0</v>
      </c>
      <c r="S236" s="38">
        <f>Inputs!$B$19*(1-Inputs!$C$70*$H236)+Inputs!$B$21+Inputs!$B$70*$J236</f>
        <v>595000</v>
      </c>
      <c r="T236" s="38">
        <f t="shared" si="150"/>
        <v>-595000</v>
      </c>
      <c r="U236" s="38">
        <f t="shared" si="151"/>
        <v>1</v>
      </c>
      <c r="V236" s="38">
        <f>MAX(0,MIN(Inputs!$C$36,AA235,W236+X236+Y236+Inputs!$C$6-Z235))</f>
        <v>0</v>
      </c>
      <c r="W236" s="38">
        <f>Inputs!$C$27*(1+Inputs!$C$28)^($A236/12)*IF(Inputs!$B$70=1,$G236,1)*(1-Inputs!$C$70*$H236*(1-Inputs!$E$54*Inputs!$B$70))*(1+$I236)*IF(Inputs!$C$29=0,1,(MAX(Z235,0)/Inputs!$C$6)^Inputs!$C$29)</f>
        <v>0</v>
      </c>
      <c r="X236" s="38">
        <f>Inputs!$C$32*Z235/Inputs!$C$6</f>
        <v>0</v>
      </c>
      <c r="Y236" s="38">
        <f>Inputs!$C$33</f>
        <v>2000</v>
      </c>
      <c r="Z236" s="38">
        <f t="shared" si="152"/>
        <v>0</v>
      </c>
      <c r="AA236" s="38">
        <f t="shared" si="153"/>
        <v>0</v>
      </c>
      <c r="AB236" s="38">
        <f>Inputs!$C$19*(1-Inputs!$C$70*$H236)+Inputs!$C$21+Inputs!$B$70*$J236</f>
        <v>495000</v>
      </c>
      <c r="AC236" s="38">
        <f t="shared" si="154"/>
        <v>-495000</v>
      </c>
      <c r="AD236" s="38">
        <f t="shared" si="155"/>
        <v>1</v>
      </c>
      <c r="AE236" s="38">
        <f>MAX(0,MIN(Inputs!$D$36,AJ235,AF236+AG236+AH236+Inputs!$D$6-AI235))</f>
        <v>0</v>
      </c>
      <c r="AF236" s="38">
        <f>Inputs!$D$27*(1+Inputs!$D$28)^($A236/12)*IF(Inputs!$B$70=1,$G236,1)*(1-Inputs!$C$70*$H236*(1-Inputs!$E$54*Inputs!$B$70))*(1+$I236)*IF(Inputs!$D$29=0,1,(MAX(AI235,0)/Inputs!$D$6)^Inputs!$D$29)</f>
        <v>0</v>
      </c>
      <c r="AG236" s="38">
        <f>Inputs!$D$32*AI235/Inputs!$D$6</f>
        <v>0</v>
      </c>
      <c r="AH236" s="38">
        <f>Inputs!$D$33</f>
        <v>1500</v>
      </c>
      <c r="AI236" s="38">
        <f t="shared" si="156"/>
        <v>0</v>
      </c>
      <c r="AJ236" s="38">
        <f t="shared" si="157"/>
        <v>0</v>
      </c>
      <c r="AK236" s="38">
        <f>Inputs!$D$19*(1-Inputs!$C$70*$H236)+Inputs!$D$21+Inputs!$B$70*$J236</f>
        <v>404800</v>
      </c>
      <c r="AL236" s="38">
        <f t="shared" si="158"/>
        <v>-404800</v>
      </c>
      <c r="AM236" s="38">
        <f t="shared" si="159"/>
        <v>1</v>
      </c>
      <c r="AN236" s="38">
        <f>MAX(0,MIN(Inputs!$B$36,AS235,AO236+AP236+AQ236+Inputs!$B$6-AR235))</f>
        <v>0</v>
      </c>
      <c r="AO236" s="38">
        <f>Inputs!$B$27*(1+Inputs!$B$28)^($A236/12)*IF(Inputs!$B$71=1,$G236,1)*(1-Inputs!$C$71*$H236*(1-Inputs!$E$54*Inputs!$B$71))*(1+$I236)*IF(Inputs!$B$29=0,1,(MAX(AR235,0)/Inputs!$B$6)^Inputs!$B$29)</f>
        <v>33288.625520141308</v>
      </c>
      <c r="AP236" s="38">
        <f>Inputs!$B$32*AR235/Inputs!$B$6</f>
        <v>0</v>
      </c>
      <c r="AQ236" s="38">
        <f>Inputs!$B$33</f>
        <v>2500</v>
      </c>
      <c r="AR236" s="38">
        <f t="shared" si="160"/>
        <v>0</v>
      </c>
      <c r="AS236" s="38">
        <f t="shared" si="161"/>
        <v>0</v>
      </c>
      <c r="AT236" s="38">
        <f>Inputs!$B$19*(1-Inputs!$C$71*$H236)+Inputs!$B$21+Inputs!$B$71*$J236</f>
        <v>601000</v>
      </c>
      <c r="AU236" s="38">
        <f t="shared" si="162"/>
        <v>-601000</v>
      </c>
      <c r="AV236" s="38">
        <f t="shared" si="163"/>
        <v>1</v>
      </c>
      <c r="AW236" s="38">
        <f>MAX(0,MIN(Inputs!$C$36,BB235,AX236+AY236+AZ236+Inputs!$C$6-BA235))</f>
        <v>0</v>
      </c>
      <c r="AX236" s="38">
        <f>Inputs!$C$27*(1+Inputs!$C$28)^($A236/12)*IF(Inputs!$B$71=1,$G236,1)*(1-Inputs!$C$71*$H236*(1-Inputs!$E$54*Inputs!$B$71))*(1+$I236)*IF(Inputs!$C$29=0,1,(MAX(BA235,0)/Inputs!$C$6)^Inputs!$C$29)</f>
        <v>0</v>
      </c>
      <c r="AY236" s="38">
        <f>Inputs!$C$32*BA235/Inputs!$C$6</f>
        <v>0</v>
      </c>
      <c r="AZ236" s="38">
        <f>Inputs!$C$33</f>
        <v>2000</v>
      </c>
      <c r="BA236" s="38">
        <f t="shared" si="164"/>
        <v>0</v>
      </c>
      <c r="BB236" s="38">
        <f t="shared" si="165"/>
        <v>0</v>
      </c>
      <c r="BC236" s="38">
        <f>Inputs!$C$19*(1-Inputs!$C$71*$H236)+Inputs!$C$21+Inputs!$B$71*$J236</f>
        <v>501000</v>
      </c>
      <c r="BD236" s="38">
        <f t="shared" si="166"/>
        <v>-501000</v>
      </c>
      <c r="BE236" s="38">
        <f t="shared" si="167"/>
        <v>1</v>
      </c>
      <c r="BF236" s="38">
        <f>MAX(0,MIN(Inputs!$D$36,BK235,BG236+BH236+BI236+Inputs!$D$6-BJ235))</f>
        <v>0</v>
      </c>
      <c r="BG236" s="38">
        <f>Inputs!$D$27*(1+Inputs!$D$28)^($A236/12)*IF(Inputs!$B$71=1,$G236,1)*(1-Inputs!$C$71*$H236*(1-Inputs!$E$54*Inputs!$B$71))*(1+$I236)*IF(Inputs!$D$29=0,1,(MAX(BJ235,0)/Inputs!$D$6)^Inputs!$D$29)</f>
        <v>0</v>
      </c>
      <c r="BH236" s="38">
        <f>Inputs!$D$32*BJ235/Inputs!$D$6</f>
        <v>0</v>
      </c>
      <c r="BI236" s="38">
        <f>Inputs!$D$33</f>
        <v>1500</v>
      </c>
      <c r="BJ236" s="38">
        <f t="shared" si="168"/>
        <v>0</v>
      </c>
      <c r="BK236" s="38">
        <f t="shared" si="169"/>
        <v>0</v>
      </c>
      <c r="BL236" s="38">
        <f>Inputs!$D$19*(1-Inputs!$C$71*$H236)+Inputs!$D$21+Inputs!$B$71*$J236</f>
        <v>410800</v>
      </c>
      <c r="BM236" s="38">
        <f t="shared" si="170"/>
        <v>-410800</v>
      </c>
      <c r="BN236" s="38">
        <f t="shared" si="171"/>
        <v>1</v>
      </c>
      <c r="BO236" s="38">
        <f>MAX(0,MIN(Inputs!$B$36,BT235,BP236+BQ236+BR236+Inputs!$B$6-BS235))</f>
        <v>0</v>
      </c>
      <c r="BP236" s="38">
        <f>Inputs!$B$27*(1+Inputs!$B$28)^($A236/12)*IF(Inputs!$B$72=1,$G236,1)*(1-Inputs!$C$72*$H236*(1-Inputs!$E$54*Inputs!$B$72))*(1+$I236)*IF(Inputs!$B$29=0,1,(MAX(BS235,0)/Inputs!$B$6)^Inputs!$B$29)</f>
        <v>35568.454943439596</v>
      </c>
      <c r="BQ236" s="38">
        <f>Inputs!$B$32*BS235/Inputs!$B$6</f>
        <v>0</v>
      </c>
      <c r="BR236" s="38">
        <f>Inputs!$B$33</f>
        <v>2500</v>
      </c>
      <c r="BS236" s="38">
        <f t="shared" si="172"/>
        <v>0</v>
      </c>
      <c r="BT236" s="38">
        <f t="shared" si="173"/>
        <v>0</v>
      </c>
      <c r="BU236" s="38">
        <f>Inputs!$B$19*(1-Inputs!$C$72*$H236)+Inputs!$B$21+Inputs!$B$72*$J236</f>
        <v>577500</v>
      </c>
      <c r="BV236" s="38">
        <f t="shared" si="174"/>
        <v>-577500</v>
      </c>
      <c r="BW236" s="38">
        <f t="shared" si="175"/>
        <v>1</v>
      </c>
      <c r="BX236" s="38">
        <f>MAX(0,MIN(Inputs!$C$36,CC235,BY236+BZ236+CA236+Inputs!$C$6-CB235))</f>
        <v>0</v>
      </c>
      <c r="BY236" s="38">
        <f>Inputs!$C$27*(1+Inputs!$C$28)^($A236/12)*IF(Inputs!$B$72=1,$G236,1)*(1-Inputs!$C$72*$H236*(1-Inputs!$E$54*Inputs!$B$72))*(1+$I236)*IF(Inputs!$C$29=0,1,(MAX(CB235,0)/Inputs!$C$6)^Inputs!$C$29)</f>
        <v>0</v>
      </c>
      <c r="BZ236" s="38">
        <f>Inputs!$C$32*CB235/Inputs!$C$6</f>
        <v>0</v>
      </c>
      <c r="CA236" s="38">
        <f>Inputs!$C$33</f>
        <v>2000</v>
      </c>
      <c r="CB236" s="38">
        <f t="shared" si="176"/>
        <v>0</v>
      </c>
      <c r="CC236" s="38">
        <f t="shared" si="177"/>
        <v>0</v>
      </c>
      <c r="CD236" s="38">
        <f>Inputs!$C$19*(1-Inputs!$C$72*$H236)+Inputs!$C$21+Inputs!$B$72*$J236</f>
        <v>480000</v>
      </c>
      <c r="CE236" s="38">
        <f t="shared" si="178"/>
        <v>-480000</v>
      </c>
      <c r="CF236" s="38">
        <f t="shared" si="179"/>
        <v>1</v>
      </c>
      <c r="CG236" s="38">
        <f>MAX(0,MIN(Inputs!$D$36,CL235,CH236+CI236+CJ236+Inputs!$D$6-CK235))</f>
        <v>0</v>
      </c>
      <c r="CH236" s="38">
        <f>Inputs!$D$27*(1+Inputs!$D$28)^($A236/12)*IF(Inputs!$B$72=1,$G236,1)*(1-Inputs!$C$72*$H236*(1-Inputs!$E$54*Inputs!$B$72))*(1+$I236)*IF(Inputs!$D$29=0,1,(MAX(CK235,0)/Inputs!$D$6)^Inputs!$D$29)</f>
        <v>0</v>
      </c>
      <c r="CI236" s="38">
        <f>Inputs!$D$32*CK235/Inputs!$D$6</f>
        <v>0</v>
      </c>
      <c r="CJ236" s="38">
        <f>Inputs!$D$33</f>
        <v>1500</v>
      </c>
      <c r="CK236" s="38">
        <f t="shared" si="180"/>
        <v>0</v>
      </c>
      <c r="CL236" s="38">
        <f t="shared" si="181"/>
        <v>0</v>
      </c>
      <c r="CM236" s="38">
        <f>Inputs!$D$19*(1-Inputs!$C$72*$H236)+Inputs!$D$21+Inputs!$B$72*$J236</f>
        <v>392150</v>
      </c>
      <c r="CN236" s="38">
        <f t="shared" si="182"/>
        <v>-392150</v>
      </c>
      <c r="CO236" s="38">
        <f t="shared" si="183"/>
        <v>1</v>
      </c>
      <c r="CP236" s="38">
        <f>MAX(0,MIN(Inputs!$B$36,CU235,CQ236+CR236+CS236+Inputs!$B$6-CT235))</f>
        <v>0</v>
      </c>
      <c r="CQ236" s="38">
        <f>Inputs!$B$27*(1+Inputs!$B$28)^($A236/12)*IF(Inputs!$B$73=1,$G236,1)*(1-Inputs!$C$73*$H236*(1-Inputs!$E$54*Inputs!$B$73))*(1+$I236)*IF(Inputs!$B$29=0,1,(MAX(CT235,0)/Inputs!$B$6)^Inputs!$B$29)</f>
        <v>31624.194244134243</v>
      </c>
      <c r="CR236" s="38">
        <f>Inputs!$B$32*CT235/Inputs!$B$6</f>
        <v>0</v>
      </c>
      <c r="CS236" s="38">
        <f>Inputs!$B$33</f>
        <v>2500</v>
      </c>
      <c r="CT236" s="38">
        <f t="shared" si="184"/>
        <v>0</v>
      </c>
      <c r="CU236" s="38">
        <f t="shared" si="185"/>
        <v>0</v>
      </c>
      <c r="CV236" s="38">
        <f>Inputs!$B$19*(1-Inputs!$C$73*$H236)+Inputs!$B$21+Inputs!$B$73*$J236</f>
        <v>583500</v>
      </c>
      <c r="CW236" s="38">
        <f t="shared" si="186"/>
        <v>-583500</v>
      </c>
      <c r="CX236" s="38">
        <f t="shared" si="187"/>
        <v>1</v>
      </c>
      <c r="CY236" s="38">
        <f>MAX(0,MIN(Inputs!$C$36,DD235,CZ236+DA236+DB236+Inputs!$C$6-DC235))</f>
        <v>0</v>
      </c>
      <c r="CZ236" s="38">
        <f>Inputs!$C$27*(1+Inputs!$C$28)^($A236/12)*IF(Inputs!$B$73=1,$G236,1)*(1-Inputs!$C$73*$H236*(1-Inputs!$E$54*Inputs!$B$73))*(1+$I236)*IF(Inputs!$C$29=0,1,(MAX(DC235,0)/Inputs!$C$6)^Inputs!$C$29)</f>
        <v>0</v>
      </c>
      <c r="DA236" s="38">
        <f>Inputs!$C$32*DC235/Inputs!$C$6</f>
        <v>0</v>
      </c>
      <c r="DB236" s="38">
        <f>Inputs!$C$33</f>
        <v>2000</v>
      </c>
      <c r="DC236" s="38">
        <f t="shared" si="188"/>
        <v>0</v>
      </c>
      <c r="DD236" s="38">
        <f t="shared" si="189"/>
        <v>0</v>
      </c>
      <c r="DE236" s="38">
        <f>Inputs!$C$19*(1-Inputs!$C$73*$H236)+Inputs!$C$21+Inputs!$B$73*$J236</f>
        <v>486000</v>
      </c>
      <c r="DF236" s="38">
        <f t="shared" si="190"/>
        <v>-486000</v>
      </c>
      <c r="DG236" s="38">
        <f t="shared" si="191"/>
        <v>1</v>
      </c>
      <c r="DH236" s="38">
        <f>MAX(0,MIN(Inputs!$D$36,DM235,DI236+DJ236+DK236+Inputs!$D$6-DL235))</f>
        <v>0</v>
      </c>
      <c r="DI236" s="38">
        <f>Inputs!$D$27*(1+Inputs!$D$28)^($A236/12)*IF(Inputs!$B$73=1,$G236,1)*(1-Inputs!$C$73*$H236*(1-Inputs!$E$54*Inputs!$B$73))*(1+$I236)*IF(Inputs!$D$29=0,1,(MAX(DL235,0)/Inputs!$D$6)^Inputs!$D$29)</f>
        <v>0</v>
      </c>
      <c r="DJ236" s="38">
        <f>Inputs!$D$32*DL235/Inputs!$D$6</f>
        <v>0</v>
      </c>
      <c r="DK236" s="38">
        <f>Inputs!$D$33</f>
        <v>1500</v>
      </c>
      <c r="DL236" s="38">
        <f t="shared" si="192"/>
        <v>0</v>
      </c>
      <c r="DM236" s="38">
        <f t="shared" si="193"/>
        <v>0</v>
      </c>
      <c r="DN236" s="38">
        <f>Inputs!$D$19*(1-Inputs!$C$73*$H236)+Inputs!$D$21+Inputs!$B$73*$J236</f>
        <v>398150</v>
      </c>
      <c r="DO236" s="38">
        <f t="shared" si="194"/>
        <v>-398150</v>
      </c>
      <c r="DP236" s="38">
        <f t="shared" si="195"/>
        <v>1</v>
      </c>
    </row>
    <row r="237" spans="1:120" x14ac:dyDescent="0.35">
      <c r="A237" s="29">
        <v>232</v>
      </c>
      <c r="B237" s="34">
        <f>EDATE(Inputs!$B$67,$A237)</f>
        <v>53328</v>
      </c>
      <c r="C237" s="35">
        <f>IF(Inputs!$E$47&lt;=0,Inputs!$E$46,Inputs!$E$44+(Inputs!$E$46-Inputs!$E$44)*MIN($A237/Inputs!$E$47,1))</f>
        <v>0.7</v>
      </c>
      <c r="D237" s="35">
        <f>MIN(Inputs!$E$57,Inputs!$E$55*(1+Inputs!$E$56)^($A237/12))*Inputs!$E$58*(1+Inputs!$E$59)^($A237/12)/Inputs!$E$45</f>
        <v>1.5</v>
      </c>
      <c r="E237" s="35">
        <f>MAX(Inputs!$E$44,MIN(C237,D237))</f>
        <v>0.7</v>
      </c>
      <c r="F237" s="35">
        <f>IF(Inputs!$E$50&lt;=0,Inputs!$E$49,Inputs!$E$48+(Inputs!$E$49-Inputs!$E$48)*MIN($A237/Inputs!$E$50,1))</f>
        <v>0.12</v>
      </c>
      <c r="G237" s="36">
        <f>(Inputs!$E$41*(1-E237*Inputs!$E$51)+Inputs!$E$42*(1-F237*Inputs!$E$51))/(Inputs!$E$41*(1-Inputs!$E$44*Inputs!$E$51)+Inputs!$E$42*(1-Inputs!$E$48*Inputs!$E$51))</f>
        <v>0.8423127463863338</v>
      </c>
      <c r="H237" s="35">
        <f>IF(Inputs!$E$53&lt;=0,Inputs!$E$52,Inputs!$E$52*MIN($A237/Inputs!$E$53,1))</f>
        <v>0.1</v>
      </c>
      <c r="I237" s="35">
        <f>IF(Inputs!$E$64&lt;=0,Inputs!$E$63,Inputs!$E$62+(Inputs!$E$63-Inputs!$E$62)*MIN($A237/Inputs!$E$64,1))</f>
        <v>0.03</v>
      </c>
      <c r="J237" s="37">
        <f>(E237-Inputs!$E$44)*Inputs!$E$45/Inputs!$E$60*Inputs!$E$61</f>
        <v>5999.9999999999991</v>
      </c>
      <c r="K237" s="29">
        <f t="shared" si="147"/>
        <v>0</v>
      </c>
      <c r="L237" s="29"/>
      <c r="M237" s="38">
        <f>MAX(0,MIN(Inputs!$B$36,R236,N237+O237+P237+Inputs!$B$6-Q236))</f>
        <v>0</v>
      </c>
      <c r="N237" s="38">
        <f>Inputs!$B$27*(1+Inputs!$B$28)^($A237/12)*IF(Inputs!$B$70=1,$G237,1)*(1-Inputs!$C$70*$H237*(1-Inputs!$E$54*Inputs!$B$70))*(1+$I237)*IF(Inputs!$B$29=0,1,(MAX(Q236,0)/Inputs!$B$6)^Inputs!$B$29)</f>
        <v>39681.516924080315</v>
      </c>
      <c r="O237" s="38">
        <f>Inputs!$B$32*Q236/Inputs!$B$6</f>
        <v>0</v>
      </c>
      <c r="P237" s="38">
        <f>Inputs!$B$33</f>
        <v>2500</v>
      </c>
      <c r="Q237" s="38">
        <f t="shared" si="148"/>
        <v>0</v>
      </c>
      <c r="R237" s="38">
        <f t="shared" si="149"/>
        <v>0</v>
      </c>
      <c r="S237" s="38">
        <f>Inputs!$B$19*(1-Inputs!$C$70*$H237)+Inputs!$B$21+Inputs!$B$70*$J237</f>
        <v>595000</v>
      </c>
      <c r="T237" s="38">
        <f t="shared" si="150"/>
        <v>-595000</v>
      </c>
      <c r="U237" s="38">
        <f t="shared" si="151"/>
        <v>1</v>
      </c>
      <c r="V237" s="38">
        <f>MAX(0,MIN(Inputs!$C$36,AA236,W237+X237+Y237+Inputs!$C$6-Z236))</f>
        <v>0</v>
      </c>
      <c r="W237" s="38">
        <f>Inputs!$C$27*(1+Inputs!$C$28)^($A237/12)*IF(Inputs!$B$70=1,$G237,1)*(1-Inputs!$C$70*$H237*(1-Inputs!$E$54*Inputs!$B$70))*(1+$I237)*IF(Inputs!$C$29=0,1,(MAX(Z236,0)/Inputs!$C$6)^Inputs!$C$29)</f>
        <v>0</v>
      </c>
      <c r="X237" s="38">
        <f>Inputs!$C$32*Z236/Inputs!$C$6</f>
        <v>0</v>
      </c>
      <c r="Y237" s="38">
        <f>Inputs!$C$33</f>
        <v>2000</v>
      </c>
      <c r="Z237" s="38">
        <f t="shared" si="152"/>
        <v>0</v>
      </c>
      <c r="AA237" s="38">
        <f t="shared" si="153"/>
        <v>0</v>
      </c>
      <c r="AB237" s="38">
        <f>Inputs!$C$19*(1-Inputs!$C$70*$H237)+Inputs!$C$21+Inputs!$B$70*$J237</f>
        <v>495000</v>
      </c>
      <c r="AC237" s="38">
        <f t="shared" si="154"/>
        <v>-495000</v>
      </c>
      <c r="AD237" s="38">
        <f t="shared" si="155"/>
        <v>1</v>
      </c>
      <c r="AE237" s="38">
        <f>MAX(0,MIN(Inputs!$D$36,AJ236,AF237+AG237+AH237+Inputs!$D$6-AI236))</f>
        <v>0</v>
      </c>
      <c r="AF237" s="38">
        <f>Inputs!$D$27*(1+Inputs!$D$28)^($A237/12)*IF(Inputs!$B$70=1,$G237,1)*(1-Inputs!$C$70*$H237*(1-Inputs!$E$54*Inputs!$B$70))*(1+$I237)*IF(Inputs!$D$29=0,1,(MAX(AI236,0)/Inputs!$D$6)^Inputs!$D$29)</f>
        <v>0</v>
      </c>
      <c r="AG237" s="38">
        <f>Inputs!$D$32*AI236/Inputs!$D$6</f>
        <v>0</v>
      </c>
      <c r="AH237" s="38">
        <f>Inputs!$D$33</f>
        <v>1500</v>
      </c>
      <c r="AI237" s="38">
        <f t="shared" si="156"/>
        <v>0</v>
      </c>
      <c r="AJ237" s="38">
        <f t="shared" si="157"/>
        <v>0</v>
      </c>
      <c r="AK237" s="38">
        <f>Inputs!$D$19*(1-Inputs!$C$70*$H237)+Inputs!$D$21+Inputs!$B$70*$J237</f>
        <v>404800</v>
      </c>
      <c r="AL237" s="38">
        <f t="shared" si="158"/>
        <v>-404800</v>
      </c>
      <c r="AM237" s="38">
        <f t="shared" si="159"/>
        <v>1</v>
      </c>
      <c r="AN237" s="38">
        <f>MAX(0,MIN(Inputs!$B$36,AS236,AO237+AP237+AQ237+Inputs!$B$6-AR236))</f>
        <v>0</v>
      </c>
      <c r="AO237" s="38">
        <f>Inputs!$B$27*(1+Inputs!$B$28)^($A237/12)*IF(Inputs!$B$71=1,$G237,1)*(1-Inputs!$C$71*$H237*(1-Inputs!$E$54*Inputs!$B$71))*(1+$I237)*IF(Inputs!$B$29=0,1,(MAX(AR236,0)/Inputs!$B$6)^Inputs!$B$29)</f>
        <v>33424.247501097874</v>
      </c>
      <c r="AP237" s="38">
        <f>Inputs!$B$32*AR236/Inputs!$B$6</f>
        <v>0</v>
      </c>
      <c r="AQ237" s="38">
        <f>Inputs!$B$33</f>
        <v>2500</v>
      </c>
      <c r="AR237" s="38">
        <f t="shared" si="160"/>
        <v>0</v>
      </c>
      <c r="AS237" s="38">
        <f t="shared" si="161"/>
        <v>0</v>
      </c>
      <c r="AT237" s="38">
        <f>Inputs!$B$19*(1-Inputs!$C$71*$H237)+Inputs!$B$21+Inputs!$B$71*$J237</f>
        <v>601000</v>
      </c>
      <c r="AU237" s="38">
        <f t="shared" si="162"/>
        <v>-601000</v>
      </c>
      <c r="AV237" s="38">
        <f t="shared" si="163"/>
        <v>1</v>
      </c>
      <c r="AW237" s="38">
        <f>MAX(0,MIN(Inputs!$C$36,BB236,AX237+AY237+AZ237+Inputs!$C$6-BA236))</f>
        <v>0</v>
      </c>
      <c r="AX237" s="38">
        <f>Inputs!$C$27*(1+Inputs!$C$28)^($A237/12)*IF(Inputs!$B$71=1,$G237,1)*(1-Inputs!$C$71*$H237*(1-Inputs!$E$54*Inputs!$B$71))*(1+$I237)*IF(Inputs!$C$29=0,1,(MAX(BA236,0)/Inputs!$C$6)^Inputs!$C$29)</f>
        <v>0</v>
      </c>
      <c r="AY237" s="38">
        <f>Inputs!$C$32*BA236/Inputs!$C$6</f>
        <v>0</v>
      </c>
      <c r="AZ237" s="38">
        <f>Inputs!$C$33</f>
        <v>2000</v>
      </c>
      <c r="BA237" s="38">
        <f t="shared" si="164"/>
        <v>0</v>
      </c>
      <c r="BB237" s="38">
        <f t="shared" si="165"/>
        <v>0</v>
      </c>
      <c r="BC237" s="38">
        <f>Inputs!$C$19*(1-Inputs!$C$71*$H237)+Inputs!$C$21+Inputs!$B$71*$J237</f>
        <v>501000</v>
      </c>
      <c r="BD237" s="38">
        <f t="shared" si="166"/>
        <v>-501000</v>
      </c>
      <c r="BE237" s="38">
        <f t="shared" si="167"/>
        <v>1</v>
      </c>
      <c r="BF237" s="38">
        <f>MAX(0,MIN(Inputs!$D$36,BK236,BG237+BH237+BI237+Inputs!$D$6-BJ236))</f>
        <v>0</v>
      </c>
      <c r="BG237" s="38">
        <f>Inputs!$D$27*(1+Inputs!$D$28)^($A237/12)*IF(Inputs!$B$71=1,$G237,1)*(1-Inputs!$C$71*$H237*(1-Inputs!$E$54*Inputs!$B$71))*(1+$I237)*IF(Inputs!$D$29=0,1,(MAX(BJ236,0)/Inputs!$D$6)^Inputs!$D$29)</f>
        <v>0</v>
      </c>
      <c r="BH237" s="38">
        <f>Inputs!$D$32*BJ236/Inputs!$D$6</f>
        <v>0</v>
      </c>
      <c r="BI237" s="38">
        <f>Inputs!$D$33</f>
        <v>1500</v>
      </c>
      <c r="BJ237" s="38">
        <f t="shared" si="168"/>
        <v>0</v>
      </c>
      <c r="BK237" s="38">
        <f t="shared" si="169"/>
        <v>0</v>
      </c>
      <c r="BL237" s="38">
        <f>Inputs!$D$19*(1-Inputs!$C$71*$H237)+Inputs!$D$21+Inputs!$B$71*$J237</f>
        <v>410800</v>
      </c>
      <c r="BM237" s="38">
        <f t="shared" si="170"/>
        <v>-410800</v>
      </c>
      <c r="BN237" s="38">
        <f t="shared" si="171"/>
        <v>1</v>
      </c>
      <c r="BO237" s="38">
        <f>MAX(0,MIN(Inputs!$B$36,BT236,BP237+BQ237+BR237+Inputs!$B$6-BS236))</f>
        <v>0</v>
      </c>
      <c r="BP237" s="38">
        <f>Inputs!$B$27*(1+Inputs!$B$28)^($A237/12)*IF(Inputs!$B$72=1,$G237,1)*(1-Inputs!$C$72*$H237*(1-Inputs!$E$54*Inputs!$B$72))*(1+$I237)*IF(Inputs!$B$29=0,1,(MAX(BS236,0)/Inputs!$B$6)^Inputs!$B$29)</f>
        <v>35713.365231672287</v>
      </c>
      <c r="BQ237" s="38">
        <f>Inputs!$B$32*BS236/Inputs!$B$6</f>
        <v>0</v>
      </c>
      <c r="BR237" s="38">
        <f>Inputs!$B$33</f>
        <v>2500</v>
      </c>
      <c r="BS237" s="38">
        <f t="shared" si="172"/>
        <v>0</v>
      </c>
      <c r="BT237" s="38">
        <f t="shared" si="173"/>
        <v>0</v>
      </c>
      <c r="BU237" s="38">
        <f>Inputs!$B$19*(1-Inputs!$C$72*$H237)+Inputs!$B$21+Inputs!$B$72*$J237</f>
        <v>577500</v>
      </c>
      <c r="BV237" s="38">
        <f t="shared" si="174"/>
        <v>-577500</v>
      </c>
      <c r="BW237" s="38">
        <f t="shared" si="175"/>
        <v>1</v>
      </c>
      <c r="BX237" s="38">
        <f>MAX(0,MIN(Inputs!$C$36,CC236,BY237+BZ237+CA237+Inputs!$C$6-CB236))</f>
        <v>0</v>
      </c>
      <c r="BY237" s="38">
        <f>Inputs!$C$27*(1+Inputs!$C$28)^($A237/12)*IF(Inputs!$B$72=1,$G237,1)*(1-Inputs!$C$72*$H237*(1-Inputs!$E$54*Inputs!$B$72))*(1+$I237)*IF(Inputs!$C$29=0,1,(MAX(CB236,0)/Inputs!$C$6)^Inputs!$C$29)</f>
        <v>0</v>
      </c>
      <c r="BZ237" s="38">
        <f>Inputs!$C$32*CB236/Inputs!$C$6</f>
        <v>0</v>
      </c>
      <c r="CA237" s="38">
        <f>Inputs!$C$33</f>
        <v>2000</v>
      </c>
      <c r="CB237" s="38">
        <f t="shared" si="176"/>
        <v>0</v>
      </c>
      <c r="CC237" s="38">
        <f t="shared" si="177"/>
        <v>0</v>
      </c>
      <c r="CD237" s="38">
        <f>Inputs!$C$19*(1-Inputs!$C$72*$H237)+Inputs!$C$21+Inputs!$B$72*$J237</f>
        <v>480000</v>
      </c>
      <c r="CE237" s="38">
        <f t="shared" si="178"/>
        <v>-480000</v>
      </c>
      <c r="CF237" s="38">
        <f t="shared" si="179"/>
        <v>1</v>
      </c>
      <c r="CG237" s="38">
        <f>MAX(0,MIN(Inputs!$D$36,CL236,CH237+CI237+CJ237+Inputs!$D$6-CK236))</f>
        <v>0</v>
      </c>
      <c r="CH237" s="38">
        <f>Inputs!$D$27*(1+Inputs!$D$28)^($A237/12)*IF(Inputs!$B$72=1,$G237,1)*(1-Inputs!$C$72*$H237*(1-Inputs!$E$54*Inputs!$B$72))*(1+$I237)*IF(Inputs!$D$29=0,1,(MAX(CK236,0)/Inputs!$D$6)^Inputs!$D$29)</f>
        <v>0</v>
      </c>
      <c r="CI237" s="38">
        <f>Inputs!$D$32*CK236/Inputs!$D$6</f>
        <v>0</v>
      </c>
      <c r="CJ237" s="38">
        <f>Inputs!$D$33</f>
        <v>1500</v>
      </c>
      <c r="CK237" s="38">
        <f t="shared" si="180"/>
        <v>0</v>
      </c>
      <c r="CL237" s="38">
        <f t="shared" si="181"/>
        <v>0</v>
      </c>
      <c r="CM237" s="38">
        <f>Inputs!$D$19*(1-Inputs!$C$72*$H237)+Inputs!$D$21+Inputs!$B$72*$J237</f>
        <v>392150</v>
      </c>
      <c r="CN237" s="38">
        <f t="shared" si="182"/>
        <v>-392150</v>
      </c>
      <c r="CO237" s="38">
        <f t="shared" si="183"/>
        <v>1</v>
      </c>
      <c r="CP237" s="38">
        <f>MAX(0,MIN(Inputs!$B$36,CU236,CQ237+CR237+CS237+Inputs!$B$6-CT236))</f>
        <v>0</v>
      </c>
      <c r="CQ237" s="38">
        <f>Inputs!$B$27*(1+Inputs!$B$28)^($A237/12)*IF(Inputs!$B$73=1,$G237,1)*(1-Inputs!$C$73*$H237*(1-Inputs!$E$54*Inputs!$B$73))*(1+$I237)*IF(Inputs!$B$29=0,1,(MAX(CT236,0)/Inputs!$B$6)^Inputs!$B$29)</f>
        <v>31753.035126042982</v>
      </c>
      <c r="CR237" s="38">
        <f>Inputs!$B$32*CT236/Inputs!$B$6</f>
        <v>0</v>
      </c>
      <c r="CS237" s="38">
        <f>Inputs!$B$33</f>
        <v>2500</v>
      </c>
      <c r="CT237" s="38">
        <f t="shared" si="184"/>
        <v>0</v>
      </c>
      <c r="CU237" s="38">
        <f t="shared" si="185"/>
        <v>0</v>
      </c>
      <c r="CV237" s="38">
        <f>Inputs!$B$19*(1-Inputs!$C$73*$H237)+Inputs!$B$21+Inputs!$B$73*$J237</f>
        <v>583500</v>
      </c>
      <c r="CW237" s="38">
        <f t="shared" si="186"/>
        <v>-583500</v>
      </c>
      <c r="CX237" s="38">
        <f t="shared" si="187"/>
        <v>1</v>
      </c>
      <c r="CY237" s="38">
        <f>MAX(0,MIN(Inputs!$C$36,DD236,CZ237+DA237+DB237+Inputs!$C$6-DC236))</f>
        <v>0</v>
      </c>
      <c r="CZ237" s="38">
        <f>Inputs!$C$27*(1+Inputs!$C$28)^($A237/12)*IF(Inputs!$B$73=1,$G237,1)*(1-Inputs!$C$73*$H237*(1-Inputs!$E$54*Inputs!$B$73))*(1+$I237)*IF(Inputs!$C$29=0,1,(MAX(DC236,0)/Inputs!$C$6)^Inputs!$C$29)</f>
        <v>0</v>
      </c>
      <c r="DA237" s="38">
        <f>Inputs!$C$32*DC236/Inputs!$C$6</f>
        <v>0</v>
      </c>
      <c r="DB237" s="38">
        <f>Inputs!$C$33</f>
        <v>2000</v>
      </c>
      <c r="DC237" s="38">
        <f t="shared" si="188"/>
        <v>0</v>
      </c>
      <c r="DD237" s="38">
        <f t="shared" si="189"/>
        <v>0</v>
      </c>
      <c r="DE237" s="38">
        <f>Inputs!$C$19*(1-Inputs!$C$73*$H237)+Inputs!$C$21+Inputs!$B$73*$J237</f>
        <v>486000</v>
      </c>
      <c r="DF237" s="38">
        <f t="shared" si="190"/>
        <v>-486000</v>
      </c>
      <c r="DG237" s="38">
        <f t="shared" si="191"/>
        <v>1</v>
      </c>
      <c r="DH237" s="38">
        <f>MAX(0,MIN(Inputs!$D$36,DM236,DI237+DJ237+DK237+Inputs!$D$6-DL236))</f>
        <v>0</v>
      </c>
      <c r="DI237" s="38">
        <f>Inputs!$D$27*(1+Inputs!$D$28)^($A237/12)*IF(Inputs!$B$73=1,$G237,1)*(1-Inputs!$C$73*$H237*(1-Inputs!$E$54*Inputs!$B$73))*(1+$I237)*IF(Inputs!$D$29=0,1,(MAX(DL236,0)/Inputs!$D$6)^Inputs!$D$29)</f>
        <v>0</v>
      </c>
      <c r="DJ237" s="38">
        <f>Inputs!$D$32*DL236/Inputs!$D$6</f>
        <v>0</v>
      </c>
      <c r="DK237" s="38">
        <f>Inputs!$D$33</f>
        <v>1500</v>
      </c>
      <c r="DL237" s="38">
        <f t="shared" si="192"/>
        <v>0</v>
      </c>
      <c r="DM237" s="38">
        <f t="shared" si="193"/>
        <v>0</v>
      </c>
      <c r="DN237" s="38">
        <f>Inputs!$D$19*(1-Inputs!$C$73*$H237)+Inputs!$D$21+Inputs!$B$73*$J237</f>
        <v>398150</v>
      </c>
      <c r="DO237" s="38">
        <f t="shared" si="194"/>
        <v>-398150</v>
      </c>
      <c r="DP237" s="38">
        <f t="shared" si="195"/>
        <v>1</v>
      </c>
    </row>
    <row r="238" spans="1:120" x14ac:dyDescent="0.35">
      <c r="A238" s="29">
        <v>233</v>
      </c>
      <c r="B238" s="34">
        <f>EDATE(Inputs!$B$67,$A238)</f>
        <v>53359</v>
      </c>
      <c r="C238" s="35">
        <f>IF(Inputs!$E$47&lt;=0,Inputs!$E$46,Inputs!$E$44+(Inputs!$E$46-Inputs!$E$44)*MIN($A238/Inputs!$E$47,1))</f>
        <v>0.7</v>
      </c>
      <c r="D238" s="35">
        <f>MIN(Inputs!$E$57,Inputs!$E$55*(1+Inputs!$E$56)^($A238/12))*Inputs!$E$58*(1+Inputs!$E$59)^($A238/12)/Inputs!$E$45</f>
        <v>1.5</v>
      </c>
      <c r="E238" s="35">
        <f>MAX(Inputs!$E$44,MIN(C238,D238))</f>
        <v>0.7</v>
      </c>
      <c r="F238" s="35">
        <f>IF(Inputs!$E$50&lt;=0,Inputs!$E$49,Inputs!$E$48+(Inputs!$E$49-Inputs!$E$48)*MIN($A238/Inputs!$E$50,1))</f>
        <v>0.12</v>
      </c>
      <c r="G238" s="36">
        <f>(Inputs!$E$41*(1-E238*Inputs!$E$51)+Inputs!$E$42*(1-F238*Inputs!$E$51))/(Inputs!$E$41*(1-Inputs!$E$44*Inputs!$E$51)+Inputs!$E$42*(1-Inputs!$E$48*Inputs!$E$51))</f>
        <v>0.8423127463863338</v>
      </c>
      <c r="H238" s="35">
        <f>IF(Inputs!$E$53&lt;=0,Inputs!$E$52,Inputs!$E$52*MIN($A238/Inputs!$E$53,1))</f>
        <v>0.1</v>
      </c>
      <c r="I238" s="35">
        <f>IF(Inputs!$E$64&lt;=0,Inputs!$E$63,Inputs!$E$62+(Inputs!$E$63-Inputs!$E$62)*MIN($A238/Inputs!$E$64,1))</f>
        <v>0.03</v>
      </c>
      <c r="J238" s="37">
        <f>(E238-Inputs!$E$44)*Inputs!$E$45/Inputs!$E$60*Inputs!$E$61</f>
        <v>5999.9999999999991</v>
      </c>
      <c r="K238" s="29">
        <f t="shared" si="147"/>
        <v>0</v>
      </c>
      <c r="L238" s="29"/>
      <c r="M238" s="38">
        <f>MAX(0,MIN(Inputs!$B$36,R237,N238+O238+P238+Inputs!$B$6-Q237))</f>
        <v>0</v>
      </c>
      <c r="N238" s="38">
        <f>Inputs!$B$27*(1+Inputs!$B$28)^($A238/12)*IF(Inputs!$B$70=1,$G238,1)*(1-Inputs!$C$70*$H238*(1-Inputs!$E$54*Inputs!$B$70))*(1+$I238)*IF(Inputs!$B$29=0,1,(MAX(Q237,0)/Inputs!$B$6)^Inputs!$B$29)</f>
        <v>39843.184335951955</v>
      </c>
      <c r="O238" s="38">
        <f>Inputs!$B$32*Q237/Inputs!$B$6</f>
        <v>0</v>
      </c>
      <c r="P238" s="38">
        <f>Inputs!$B$33</f>
        <v>2500</v>
      </c>
      <c r="Q238" s="38">
        <f t="shared" si="148"/>
        <v>0</v>
      </c>
      <c r="R238" s="38">
        <f t="shared" si="149"/>
        <v>0</v>
      </c>
      <c r="S238" s="38">
        <f>Inputs!$B$19*(1-Inputs!$C$70*$H238)+Inputs!$B$21+Inputs!$B$70*$J238</f>
        <v>595000</v>
      </c>
      <c r="T238" s="38">
        <f t="shared" si="150"/>
        <v>-595000</v>
      </c>
      <c r="U238" s="38">
        <f t="shared" si="151"/>
        <v>1</v>
      </c>
      <c r="V238" s="38">
        <f>MAX(0,MIN(Inputs!$C$36,AA237,W238+X238+Y238+Inputs!$C$6-Z237))</f>
        <v>0</v>
      </c>
      <c r="W238" s="38">
        <f>Inputs!$C$27*(1+Inputs!$C$28)^($A238/12)*IF(Inputs!$B$70=1,$G238,1)*(1-Inputs!$C$70*$H238*(1-Inputs!$E$54*Inputs!$B$70))*(1+$I238)*IF(Inputs!$C$29=0,1,(MAX(Z237,0)/Inputs!$C$6)^Inputs!$C$29)</f>
        <v>0</v>
      </c>
      <c r="X238" s="38">
        <f>Inputs!$C$32*Z237/Inputs!$C$6</f>
        <v>0</v>
      </c>
      <c r="Y238" s="38">
        <f>Inputs!$C$33</f>
        <v>2000</v>
      </c>
      <c r="Z238" s="38">
        <f t="shared" si="152"/>
        <v>0</v>
      </c>
      <c r="AA238" s="38">
        <f t="shared" si="153"/>
        <v>0</v>
      </c>
      <c r="AB238" s="38">
        <f>Inputs!$C$19*(1-Inputs!$C$70*$H238)+Inputs!$C$21+Inputs!$B$70*$J238</f>
        <v>495000</v>
      </c>
      <c r="AC238" s="38">
        <f t="shared" si="154"/>
        <v>-495000</v>
      </c>
      <c r="AD238" s="38">
        <f t="shared" si="155"/>
        <v>1</v>
      </c>
      <c r="AE238" s="38">
        <f>MAX(0,MIN(Inputs!$D$36,AJ237,AF238+AG238+AH238+Inputs!$D$6-AI237))</f>
        <v>0</v>
      </c>
      <c r="AF238" s="38">
        <f>Inputs!$D$27*(1+Inputs!$D$28)^($A238/12)*IF(Inputs!$B$70=1,$G238,1)*(1-Inputs!$C$70*$H238*(1-Inputs!$E$54*Inputs!$B$70))*(1+$I238)*IF(Inputs!$D$29=0,1,(MAX(AI237,0)/Inputs!$D$6)^Inputs!$D$29)</f>
        <v>0</v>
      </c>
      <c r="AG238" s="38">
        <f>Inputs!$D$32*AI237/Inputs!$D$6</f>
        <v>0</v>
      </c>
      <c r="AH238" s="38">
        <f>Inputs!$D$33</f>
        <v>1500</v>
      </c>
      <c r="AI238" s="38">
        <f t="shared" si="156"/>
        <v>0</v>
      </c>
      <c r="AJ238" s="38">
        <f t="shared" si="157"/>
        <v>0</v>
      </c>
      <c r="AK238" s="38">
        <f>Inputs!$D$19*(1-Inputs!$C$70*$H238)+Inputs!$D$21+Inputs!$B$70*$J238</f>
        <v>404800</v>
      </c>
      <c r="AL238" s="38">
        <f t="shared" si="158"/>
        <v>-404800</v>
      </c>
      <c r="AM238" s="38">
        <f t="shared" si="159"/>
        <v>1</v>
      </c>
      <c r="AN238" s="38">
        <f>MAX(0,MIN(Inputs!$B$36,AS237,AO238+AP238+AQ238+Inputs!$B$6-AR237))</f>
        <v>0</v>
      </c>
      <c r="AO238" s="38">
        <f>Inputs!$B$27*(1+Inputs!$B$28)^($A238/12)*IF(Inputs!$B$71=1,$G238,1)*(1-Inputs!$C$71*$H238*(1-Inputs!$E$54*Inputs!$B$71))*(1+$I238)*IF(Inputs!$B$29=0,1,(MAX(AR237,0)/Inputs!$B$6)^Inputs!$B$29)</f>
        <v>33560.422022792649</v>
      </c>
      <c r="AP238" s="38">
        <f>Inputs!$B$32*AR237/Inputs!$B$6</f>
        <v>0</v>
      </c>
      <c r="AQ238" s="38">
        <f>Inputs!$B$33</f>
        <v>2500</v>
      </c>
      <c r="AR238" s="38">
        <f t="shared" si="160"/>
        <v>0</v>
      </c>
      <c r="AS238" s="38">
        <f t="shared" si="161"/>
        <v>0</v>
      </c>
      <c r="AT238" s="38">
        <f>Inputs!$B$19*(1-Inputs!$C$71*$H238)+Inputs!$B$21+Inputs!$B$71*$J238</f>
        <v>601000</v>
      </c>
      <c r="AU238" s="38">
        <f t="shared" si="162"/>
        <v>-601000</v>
      </c>
      <c r="AV238" s="38">
        <f t="shared" si="163"/>
        <v>1</v>
      </c>
      <c r="AW238" s="38">
        <f>MAX(0,MIN(Inputs!$C$36,BB237,AX238+AY238+AZ238+Inputs!$C$6-BA237))</f>
        <v>0</v>
      </c>
      <c r="AX238" s="38">
        <f>Inputs!$C$27*(1+Inputs!$C$28)^($A238/12)*IF(Inputs!$B$71=1,$G238,1)*(1-Inputs!$C$71*$H238*(1-Inputs!$E$54*Inputs!$B$71))*(1+$I238)*IF(Inputs!$C$29=0,1,(MAX(BA237,0)/Inputs!$C$6)^Inputs!$C$29)</f>
        <v>0</v>
      </c>
      <c r="AY238" s="38">
        <f>Inputs!$C$32*BA237/Inputs!$C$6</f>
        <v>0</v>
      </c>
      <c r="AZ238" s="38">
        <f>Inputs!$C$33</f>
        <v>2000</v>
      </c>
      <c r="BA238" s="38">
        <f t="shared" si="164"/>
        <v>0</v>
      </c>
      <c r="BB238" s="38">
        <f t="shared" si="165"/>
        <v>0</v>
      </c>
      <c r="BC238" s="38">
        <f>Inputs!$C$19*(1-Inputs!$C$71*$H238)+Inputs!$C$21+Inputs!$B$71*$J238</f>
        <v>501000</v>
      </c>
      <c r="BD238" s="38">
        <f t="shared" si="166"/>
        <v>-501000</v>
      </c>
      <c r="BE238" s="38">
        <f t="shared" si="167"/>
        <v>1</v>
      </c>
      <c r="BF238" s="38">
        <f>MAX(0,MIN(Inputs!$D$36,BK237,BG238+BH238+BI238+Inputs!$D$6-BJ237))</f>
        <v>0</v>
      </c>
      <c r="BG238" s="38">
        <f>Inputs!$D$27*(1+Inputs!$D$28)^($A238/12)*IF(Inputs!$B$71=1,$G238,1)*(1-Inputs!$C$71*$H238*(1-Inputs!$E$54*Inputs!$B$71))*(1+$I238)*IF(Inputs!$D$29=0,1,(MAX(BJ237,0)/Inputs!$D$6)^Inputs!$D$29)</f>
        <v>0</v>
      </c>
      <c r="BH238" s="38">
        <f>Inputs!$D$32*BJ237/Inputs!$D$6</f>
        <v>0</v>
      </c>
      <c r="BI238" s="38">
        <f>Inputs!$D$33</f>
        <v>1500</v>
      </c>
      <c r="BJ238" s="38">
        <f t="shared" si="168"/>
        <v>0</v>
      </c>
      <c r="BK238" s="38">
        <f t="shared" si="169"/>
        <v>0</v>
      </c>
      <c r="BL238" s="38">
        <f>Inputs!$D$19*(1-Inputs!$C$71*$H238)+Inputs!$D$21+Inputs!$B$71*$J238</f>
        <v>410800</v>
      </c>
      <c r="BM238" s="38">
        <f t="shared" si="170"/>
        <v>-410800</v>
      </c>
      <c r="BN238" s="38">
        <f t="shared" si="171"/>
        <v>1</v>
      </c>
      <c r="BO238" s="38">
        <f>MAX(0,MIN(Inputs!$B$36,BT237,BP238+BQ238+BR238+Inputs!$B$6-BS237))</f>
        <v>0</v>
      </c>
      <c r="BP238" s="38">
        <f>Inputs!$B$27*(1+Inputs!$B$28)^($A238/12)*IF(Inputs!$B$72=1,$G238,1)*(1-Inputs!$C$72*$H238*(1-Inputs!$E$54*Inputs!$B$72))*(1+$I238)*IF(Inputs!$B$29=0,1,(MAX(BS237,0)/Inputs!$B$6)^Inputs!$B$29)</f>
        <v>35858.86590235676</v>
      </c>
      <c r="BQ238" s="38">
        <f>Inputs!$B$32*BS237/Inputs!$B$6</f>
        <v>0</v>
      </c>
      <c r="BR238" s="38">
        <f>Inputs!$B$33</f>
        <v>2500</v>
      </c>
      <c r="BS238" s="38">
        <f t="shared" si="172"/>
        <v>0</v>
      </c>
      <c r="BT238" s="38">
        <f t="shared" si="173"/>
        <v>0</v>
      </c>
      <c r="BU238" s="38">
        <f>Inputs!$B$19*(1-Inputs!$C$72*$H238)+Inputs!$B$21+Inputs!$B$72*$J238</f>
        <v>577500</v>
      </c>
      <c r="BV238" s="38">
        <f t="shared" si="174"/>
        <v>-577500</v>
      </c>
      <c r="BW238" s="38">
        <f t="shared" si="175"/>
        <v>1</v>
      </c>
      <c r="BX238" s="38">
        <f>MAX(0,MIN(Inputs!$C$36,CC237,BY238+BZ238+CA238+Inputs!$C$6-CB237))</f>
        <v>0</v>
      </c>
      <c r="BY238" s="38">
        <f>Inputs!$C$27*(1+Inputs!$C$28)^($A238/12)*IF(Inputs!$B$72=1,$G238,1)*(1-Inputs!$C$72*$H238*(1-Inputs!$E$54*Inputs!$B$72))*(1+$I238)*IF(Inputs!$C$29=0,1,(MAX(CB237,0)/Inputs!$C$6)^Inputs!$C$29)</f>
        <v>0</v>
      </c>
      <c r="BZ238" s="38">
        <f>Inputs!$C$32*CB237/Inputs!$C$6</f>
        <v>0</v>
      </c>
      <c r="CA238" s="38">
        <f>Inputs!$C$33</f>
        <v>2000</v>
      </c>
      <c r="CB238" s="38">
        <f t="shared" si="176"/>
        <v>0</v>
      </c>
      <c r="CC238" s="38">
        <f t="shared" si="177"/>
        <v>0</v>
      </c>
      <c r="CD238" s="38">
        <f>Inputs!$C$19*(1-Inputs!$C$72*$H238)+Inputs!$C$21+Inputs!$B$72*$J238</f>
        <v>480000</v>
      </c>
      <c r="CE238" s="38">
        <f t="shared" si="178"/>
        <v>-480000</v>
      </c>
      <c r="CF238" s="38">
        <f t="shared" si="179"/>
        <v>1</v>
      </c>
      <c r="CG238" s="38">
        <f>MAX(0,MIN(Inputs!$D$36,CL237,CH238+CI238+CJ238+Inputs!$D$6-CK237))</f>
        <v>0</v>
      </c>
      <c r="CH238" s="38">
        <f>Inputs!$D$27*(1+Inputs!$D$28)^($A238/12)*IF(Inputs!$B$72=1,$G238,1)*(1-Inputs!$C$72*$H238*(1-Inputs!$E$54*Inputs!$B$72))*(1+$I238)*IF(Inputs!$D$29=0,1,(MAX(CK237,0)/Inputs!$D$6)^Inputs!$D$29)</f>
        <v>0</v>
      </c>
      <c r="CI238" s="38">
        <f>Inputs!$D$32*CK237/Inputs!$D$6</f>
        <v>0</v>
      </c>
      <c r="CJ238" s="38">
        <f>Inputs!$D$33</f>
        <v>1500</v>
      </c>
      <c r="CK238" s="38">
        <f t="shared" si="180"/>
        <v>0</v>
      </c>
      <c r="CL238" s="38">
        <f t="shared" si="181"/>
        <v>0</v>
      </c>
      <c r="CM238" s="38">
        <f>Inputs!$D$19*(1-Inputs!$C$72*$H238)+Inputs!$D$21+Inputs!$B$72*$J238</f>
        <v>392150</v>
      </c>
      <c r="CN238" s="38">
        <f t="shared" si="182"/>
        <v>-392150</v>
      </c>
      <c r="CO238" s="38">
        <f t="shared" si="183"/>
        <v>1</v>
      </c>
      <c r="CP238" s="38">
        <f>MAX(0,MIN(Inputs!$B$36,CU237,CQ238+CR238+CS238+Inputs!$B$6-CT237))</f>
        <v>0</v>
      </c>
      <c r="CQ238" s="38">
        <f>Inputs!$B$27*(1+Inputs!$B$28)^($A238/12)*IF(Inputs!$B$73=1,$G238,1)*(1-Inputs!$C$73*$H238*(1-Inputs!$E$54*Inputs!$B$73))*(1+$I238)*IF(Inputs!$B$29=0,1,(MAX(CT237,0)/Inputs!$B$6)^Inputs!$B$29)</f>
        <v>31882.400921653018</v>
      </c>
      <c r="CR238" s="38">
        <f>Inputs!$B$32*CT237/Inputs!$B$6</f>
        <v>0</v>
      </c>
      <c r="CS238" s="38">
        <f>Inputs!$B$33</f>
        <v>2500</v>
      </c>
      <c r="CT238" s="38">
        <f t="shared" si="184"/>
        <v>0</v>
      </c>
      <c r="CU238" s="38">
        <f t="shared" si="185"/>
        <v>0</v>
      </c>
      <c r="CV238" s="38">
        <f>Inputs!$B$19*(1-Inputs!$C$73*$H238)+Inputs!$B$21+Inputs!$B$73*$J238</f>
        <v>583500</v>
      </c>
      <c r="CW238" s="38">
        <f t="shared" si="186"/>
        <v>-583500</v>
      </c>
      <c r="CX238" s="38">
        <f t="shared" si="187"/>
        <v>1</v>
      </c>
      <c r="CY238" s="38">
        <f>MAX(0,MIN(Inputs!$C$36,DD237,CZ238+DA238+DB238+Inputs!$C$6-DC237))</f>
        <v>0</v>
      </c>
      <c r="CZ238" s="38">
        <f>Inputs!$C$27*(1+Inputs!$C$28)^($A238/12)*IF(Inputs!$B$73=1,$G238,1)*(1-Inputs!$C$73*$H238*(1-Inputs!$E$54*Inputs!$B$73))*(1+$I238)*IF(Inputs!$C$29=0,1,(MAX(DC237,0)/Inputs!$C$6)^Inputs!$C$29)</f>
        <v>0</v>
      </c>
      <c r="DA238" s="38">
        <f>Inputs!$C$32*DC237/Inputs!$C$6</f>
        <v>0</v>
      </c>
      <c r="DB238" s="38">
        <f>Inputs!$C$33</f>
        <v>2000</v>
      </c>
      <c r="DC238" s="38">
        <f t="shared" si="188"/>
        <v>0</v>
      </c>
      <c r="DD238" s="38">
        <f t="shared" si="189"/>
        <v>0</v>
      </c>
      <c r="DE238" s="38">
        <f>Inputs!$C$19*(1-Inputs!$C$73*$H238)+Inputs!$C$21+Inputs!$B$73*$J238</f>
        <v>486000</v>
      </c>
      <c r="DF238" s="38">
        <f t="shared" si="190"/>
        <v>-486000</v>
      </c>
      <c r="DG238" s="38">
        <f t="shared" si="191"/>
        <v>1</v>
      </c>
      <c r="DH238" s="38">
        <f>MAX(0,MIN(Inputs!$D$36,DM237,DI238+DJ238+DK238+Inputs!$D$6-DL237))</f>
        <v>0</v>
      </c>
      <c r="DI238" s="38">
        <f>Inputs!$D$27*(1+Inputs!$D$28)^($A238/12)*IF(Inputs!$B$73=1,$G238,1)*(1-Inputs!$C$73*$H238*(1-Inputs!$E$54*Inputs!$B$73))*(1+$I238)*IF(Inputs!$D$29=0,1,(MAX(DL237,0)/Inputs!$D$6)^Inputs!$D$29)</f>
        <v>0</v>
      </c>
      <c r="DJ238" s="38">
        <f>Inputs!$D$32*DL237/Inputs!$D$6</f>
        <v>0</v>
      </c>
      <c r="DK238" s="38">
        <f>Inputs!$D$33</f>
        <v>1500</v>
      </c>
      <c r="DL238" s="38">
        <f t="shared" si="192"/>
        <v>0</v>
      </c>
      <c r="DM238" s="38">
        <f t="shared" si="193"/>
        <v>0</v>
      </c>
      <c r="DN238" s="38">
        <f>Inputs!$D$19*(1-Inputs!$C$73*$H238)+Inputs!$D$21+Inputs!$B$73*$J238</f>
        <v>398150</v>
      </c>
      <c r="DO238" s="38">
        <f t="shared" si="194"/>
        <v>-398150</v>
      </c>
      <c r="DP238" s="38">
        <f t="shared" si="195"/>
        <v>1</v>
      </c>
    </row>
    <row r="239" spans="1:120" x14ac:dyDescent="0.35">
      <c r="A239" s="29">
        <v>234</v>
      </c>
      <c r="B239" s="34">
        <f>EDATE(Inputs!$B$67,$A239)</f>
        <v>53387</v>
      </c>
      <c r="C239" s="35">
        <f>IF(Inputs!$E$47&lt;=0,Inputs!$E$46,Inputs!$E$44+(Inputs!$E$46-Inputs!$E$44)*MIN($A239/Inputs!$E$47,1))</f>
        <v>0.7</v>
      </c>
      <c r="D239" s="35">
        <f>MIN(Inputs!$E$57,Inputs!$E$55*(1+Inputs!$E$56)^($A239/12))*Inputs!$E$58*(1+Inputs!$E$59)^($A239/12)/Inputs!$E$45</f>
        <v>1.5</v>
      </c>
      <c r="E239" s="35">
        <f>MAX(Inputs!$E$44,MIN(C239,D239))</f>
        <v>0.7</v>
      </c>
      <c r="F239" s="35">
        <f>IF(Inputs!$E$50&lt;=0,Inputs!$E$49,Inputs!$E$48+(Inputs!$E$49-Inputs!$E$48)*MIN($A239/Inputs!$E$50,1))</f>
        <v>0.12</v>
      </c>
      <c r="G239" s="36">
        <f>(Inputs!$E$41*(1-E239*Inputs!$E$51)+Inputs!$E$42*(1-F239*Inputs!$E$51))/(Inputs!$E$41*(1-Inputs!$E$44*Inputs!$E$51)+Inputs!$E$42*(1-Inputs!$E$48*Inputs!$E$51))</f>
        <v>0.8423127463863338</v>
      </c>
      <c r="H239" s="35">
        <f>IF(Inputs!$E$53&lt;=0,Inputs!$E$52,Inputs!$E$52*MIN($A239/Inputs!$E$53,1))</f>
        <v>0.1</v>
      </c>
      <c r="I239" s="35">
        <f>IF(Inputs!$E$64&lt;=0,Inputs!$E$63,Inputs!$E$62+(Inputs!$E$63-Inputs!$E$62)*MIN($A239/Inputs!$E$64,1))</f>
        <v>0.03</v>
      </c>
      <c r="J239" s="37">
        <f>(E239-Inputs!$E$44)*Inputs!$E$45/Inputs!$E$60*Inputs!$E$61</f>
        <v>5999.9999999999991</v>
      </c>
      <c r="K239" s="29">
        <f t="shared" si="147"/>
        <v>0</v>
      </c>
      <c r="L239" s="29"/>
      <c r="M239" s="38">
        <f>MAX(0,MIN(Inputs!$B$36,R238,N239+O239+P239+Inputs!$B$6-Q238))</f>
        <v>0</v>
      </c>
      <c r="N239" s="38">
        <f>Inputs!$B$27*(1+Inputs!$B$28)^($A239/12)*IF(Inputs!$B$70=1,$G239,1)*(1-Inputs!$C$70*$H239*(1-Inputs!$E$54*Inputs!$B$70))*(1+$I239)*IF(Inputs!$B$29=0,1,(MAX(Q238,0)/Inputs!$B$6)^Inputs!$B$29)</f>
        <v>40005.510400871346</v>
      </c>
      <c r="O239" s="38">
        <f>Inputs!$B$32*Q238/Inputs!$B$6</f>
        <v>0</v>
      </c>
      <c r="P239" s="38">
        <f>Inputs!$B$33</f>
        <v>2500</v>
      </c>
      <c r="Q239" s="38">
        <f t="shared" si="148"/>
        <v>0</v>
      </c>
      <c r="R239" s="38">
        <f t="shared" si="149"/>
        <v>0</v>
      </c>
      <c r="S239" s="38">
        <f>Inputs!$B$19*(1-Inputs!$C$70*$H239)+Inputs!$B$21+Inputs!$B$70*$J239</f>
        <v>595000</v>
      </c>
      <c r="T239" s="38">
        <f t="shared" si="150"/>
        <v>-595000</v>
      </c>
      <c r="U239" s="38">
        <f t="shared" si="151"/>
        <v>1</v>
      </c>
      <c r="V239" s="38">
        <f>MAX(0,MIN(Inputs!$C$36,AA238,W239+X239+Y239+Inputs!$C$6-Z238))</f>
        <v>0</v>
      </c>
      <c r="W239" s="38">
        <f>Inputs!$C$27*(1+Inputs!$C$28)^($A239/12)*IF(Inputs!$B$70=1,$G239,1)*(1-Inputs!$C$70*$H239*(1-Inputs!$E$54*Inputs!$B$70))*(1+$I239)*IF(Inputs!$C$29=0,1,(MAX(Z238,0)/Inputs!$C$6)^Inputs!$C$29)</f>
        <v>0</v>
      </c>
      <c r="X239" s="38">
        <f>Inputs!$C$32*Z238/Inputs!$C$6</f>
        <v>0</v>
      </c>
      <c r="Y239" s="38">
        <f>Inputs!$C$33</f>
        <v>2000</v>
      </c>
      <c r="Z239" s="38">
        <f t="shared" si="152"/>
        <v>0</v>
      </c>
      <c r="AA239" s="38">
        <f t="shared" si="153"/>
        <v>0</v>
      </c>
      <c r="AB239" s="38">
        <f>Inputs!$C$19*(1-Inputs!$C$70*$H239)+Inputs!$C$21+Inputs!$B$70*$J239</f>
        <v>495000</v>
      </c>
      <c r="AC239" s="38">
        <f t="shared" si="154"/>
        <v>-495000</v>
      </c>
      <c r="AD239" s="38">
        <f t="shared" si="155"/>
        <v>1</v>
      </c>
      <c r="AE239" s="38">
        <f>MAX(0,MIN(Inputs!$D$36,AJ238,AF239+AG239+AH239+Inputs!$D$6-AI238))</f>
        <v>0</v>
      </c>
      <c r="AF239" s="38">
        <f>Inputs!$D$27*(1+Inputs!$D$28)^($A239/12)*IF(Inputs!$B$70=1,$G239,1)*(1-Inputs!$C$70*$H239*(1-Inputs!$E$54*Inputs!$B$70))*(1+$I239)*IF(Inputs!$D$29=0,1,(MAX(AI238,0)/Inputs!$D$6)^Inputs!$D$29)</f>
        <v>0</v>
      </c>
      <c r="AG239" s="38">
        <f>Inputs!$D$32*AI238/Inputs!$D$6</f>
        <v>0</v>
      </c>
      <c r="AH239" s="38">
        <f>Inputs!$D$33</f>
        <v>1500</v>
      </c>
      <c r="AI239" s="38">
        <f t="shared" si="156"/>
        <v>0</v>
      </c>
      <c r="AJ239" s="38">
        <f t="shared" si="157"/>
        <v>0</v>
      </c>
      <c r="AK239" s="38">
        <f>Inputs!$D$19*(1-Inputs!$C$70*$H239)+Inputs!$D$21+Inputs!$B$70*$J239</f>
        <v>404800</v>
      </c>
      <c r="AL239" s="38">
        <f t="shared" si="158"/>
        <v>-404800</v>
      </c>
      <c r="AM239" s="38">
        <f t="shared" si="159"/>
        <v>1</v>
      </c>
      <c r="AN239" s="38">
        <f>MAX(0,MIN(Inputs!$B$36,AS238,AO239+AP239+AQ239+Inputs!$B$6-AR238))</f>
        <v>0</v>
      </c>
      <c r="AO239" s="38">
        <f>Inputs!$B$27*(1+Inputs!$B$28)^($A239/12)*IF(Inputs!$B$71=1,$G239,1)*(1-Inputs!$C$71*$H239*(1-Inputs!$E$54*Inputs!$B$71))*(1+$I239)*IF(Inputs!$B$29=0,1,(MAX(AR238,0)/Inputs!$B$6)^Inputs!$B$29)</f>
        <v>33697.151336344985</v>
      </c>
      <c r="AP239" s="38">
        <f>Inputs!$B$32*AR238/Inputs!$B$6</f>
        <v>0</v>
      </c>
      <c r="AQ239" s="38">
        <f>Inputs!$B$33</f>
        <v>2500</v>
      </c>
      <c r="AR239" s="38">
        <f t="shared" si="160"/>
        <v>0</v>
      </c>
      <c r="AS239" s="38">
        <f t="shared" si="161"/>
        <v>0</v>
      </c>
      <c r="AT239" s="38">
        <f>Inputs!$B$19*(1-Inputs!$C$71*$H239)+Inputs!$B$21+Inputs!$B$71*$J239</f>
        <v>601000</v>
      </c>
      <c r="AU239" s="38">
        <f t="shared" si="162"/>
        <v>-601000</v>
      </c>
      <c r="AV239" s="38">
        <f t="shared" si="163"/>
        <v>1</v>
      </c>
      <c r="AW239" s="38">
        <f>MAX(0,MIN(Inputs!$C$36,BB238,AX239+AY239+AZ239+Inputs!$C$6-BA238))</f>
        <v>0</v>
      </c>
      <c r="AX239" s="38">
        <f>Inputs!$C$27*(1+Inputs!$C$28)^($A239/12)*IF(Inputs!$B$71=1,$G239,1)*(1-Inputs!$C$71*$H239*(1-Inputs!$E$54*Inputs!$B$71))*(1+$I239)*IF(Inputs!$C$29=0,1,(MAX(BA238,0)/Inputs!$C$6)^Inputs!$C$29)</f>
        <v>0</v>
      </c>
      <c r="AY239" s="38">
        <f>Inputs!$C$32*BA238/Inputs!$C$6</f>
        <v>0</v>
      </c>
      <c r="AZ239" s="38">
        <f>Inputs!$C$33</f>
        <v>2000</v>
      </c>
      <c r="BA239" s="38">
        <f t="shared" si="164"/>
        <v>0</v>
      </c>
      <c r="BB239" s="38">
        <f t="shared" si="165"/>
        <v>0</v>
      </c>
      <c r="BC239" s="38">
        <f>Inputs!$C$19*(1-Inputs!$C$71*$H239)+Inputs!$C$21+Inputs!$B$71*$J239</f>
        <v>501000</v>
      </c>
      <c r="BD239" s="38">
        <f t="shared" si="166"/>
        <v>-501000</v>
      </c>
      <c r="BE239" s="38">
        <f t="shared" si="167"/>
        <v>1</v>
      </c>
      <c r="BF239" s="38">
        <f>MAX(0,MIN(Inputs!$D$36,BK238,BG239+BH239+BI239+Inputs!$D$6-BJ238))</f>
        <v>0</v>
      </c>
      <c r="BG239" s="38">
        <f>Inputs!$D$27*(1+Inputs!$D$28)^($A239/12)*IF(Inputs!$B$71=1,$G239,1)*(1-Inputs!$C$71*$H239*(1-Inputs!$E$54*Inputs!$B$71))*(1+$I239)*IF(Inputs!$D$29=0,1,(MAX(BJ238,0)/Inputs!$D$6)^Inputs!$D$29)</f>
        <v>0</v>
      </c>
      <c r="BH239" s="38">
        <f>Inputs!$D$32*BJ238/Inputs!$D$6</f>
        <v>0</v>
      </c>
      <c r="BI239" s="38">
        <f>Inputs!$D$33</f>
        <v>1500</v>
      </c>
      <c r="BJ239" s="38">
        <f t="shared" si="168"/>
        <v>0</v>
      </c>
      <c r="BK239" s="38">
        <f t="shared" si="169"/>
        <v>0</v>
      </c>
      <c r="BL239" s="38">
        <f>Inputs!$D$19*(1-Inputs!$C$71*$H239)+Inputs!$D$21+Inputs!$B$71*$J239</f>
        <v>410800</v>
      </c>
      <c r="BM239" s="38">
        <f t="shared" si="170"/>
        <v>-410800</v>
      </c>
      <c r="BN239" s="38">
        <f t="shared" si="171"/>
        <v>1</v>
      </c>
      <c r="BO239" s="38">
        <f>MAX(0,MIN(Inputs!$B$36,BT238,BP239+BQ239+BR239+Inputs!$B$6-BS238))</f>
        <v>0</v>
      </c>
      <c r="BP239" s="38">
        <f>Inputs!$B$27*(1+Inputs!$B$28)^($A239/12)*IF(Inputs!$B$72=1,$G239,1)*(1-Inputs!$C$72*$H239*(1-Inputs!$E$54*Inputs!$B$72))*(1+$I239)*IF(Inputs!$B$29=0,1,(MAX(BS238,0)/Inputs!$B$6)^Inputs!$B$29)</f>
        <v>36004.959360784211</v>
      </c>
      <c r="BQ239" s="38">
        <f>Inputs!$B$32*BS238/Inputs!$B$6</f>
        <v>0</v>
      </c>
      <c r="BR239" s="38">
        <f>Inputs!$B$33</f>
        <v>2500</v>
      </c>
      <c r="BS239" s="38">
        <f t="shared" si="172"/>
        <v>0</v>
      </c>
      <c r="BT239" s="38">
        <f t="shared" si="173"/>
        <v>0</v>
      </c>
      <c r="BU239" s="38">
        <f>Inputs!$B$19*(1-Inputs!$C$72*$H239)+Inputs!$B$21+Inputs!$B$72*$J239</f>
        <v>577500</v>
      </c>
      <c r="BV239" s="38">
        <f t="shared" si="174"/>
        <v>-577500</v>
      </c>
      <c r="BW239" s="38">
        <f t="shared" si="175"/>
        <v>1</v>
      </c>
      <c r="BX239" s="38">
        <f>MAX(0,MIN(Inputs!$C$36,CC238,BY239+BZ239+CA239+Inputs!$C$6-CB238))</f>
        <v>0</v>
      </c>
      <c r="BY239" s="38">
        <f>Inputs!$C$27*(1+Inputs!$C$28)^($A239/12)*IF(Inputs!$B$72=1,$G239,1)*(1-Inputs!$C$72*$H239*(1-Inputs!$E$54*Inputs!$B$72))*(1+$I239)*IF(Inputs!$C$29=0,1,(MAX(CB238,0)/Inputs!$C$6)^Inputs!$C$29)</f>
        <v>0</v>
      </c>
      <c r="BZ239" s="38">
        <f>Inputs!$C$32*CB238/Inputs!$C$6</f>
        <v>0</v>
      </c>
      <c r="CA239" s="38">
        <f>Inputs!$C$33</f>
        <v>2000</v>
      </c>
      <c r="CB239" s="38">
        <f t="shared" si="176"/>
        <v>0</v>
      </c>
      <c r="CC239" s="38">
        <f t="shared" si="177"/>
        <v>0</v>
      </c>
      <c r="CD239" s="38">
        <f>Inputs!$C$19*(1-Inputs!$C$72*$H239)+Inputs!$C$21+Inputs!$B$72*$J239</f>
        <v>480000</v>
      </c>
      <c r="CE239" s="38">
        <f t="shared" si="178"/>
        <v>-480000</v>
      </c>
      <c r="CF239" s="38">
        <f t="shared" si="179"/>
        <v>1</v>
      </c>
      <c r="CG239" s="38">
        <f>MAX(0,MIN(Inputs!$D$36,CL238,CH239+CI239+CJ239+Inputs!$D$6-CK238))</f>
        <v>0</v>
      </c>
      <c r="CH239" s="38">
        <f>Inputs!$D$27*(1+Inputs!$D$28)^($A239/12)*IF(Inputs!$B$72=1,$G239,1)*(1-Inputs!$C$72*$H239*(1-Inputs!$E$54*Inputs!$B$72))*(1+$I239)*IF(Inputs!$D$29=0,1,(MAX(CK238,0)/Inputs!$D$6)^Inputs!$D$29)</f>
        <v>0</v>
      </c>
      <c r="CI239" s="38">
        <f>Inputs!$D$32*CK238/Inputs!$D$6</f>
        <v>0</v>
      </c>
      <c r="CJ239" s="38">
        <f>Inputs!$D$33</f>
        <v>1500</v>
      </c>
      <c r="CK239" s="38">
        <f t="shared" si="180"/>
        <v>0</v>
      </c>
      <c r="CL239" s="38">
        <f t="shared" si="181"/>
        <v>0</v>
      </c>
      <c r="CM239" s="38">
        <f>Inputs!$D$19*(1-Inputs!$C$72*$H239)+Inputs!$D$21+Inputs!$B$72*$J239</f>
        <v>392150</v>
      </c>
      <c r="CN239" s="38">
        <f t="shared" si="182"/>
        <v>-392150</v>
      </c>
      <c r="CO239" s="38">
        <f t="shared" si="183"/>
        <v>1</v>
      </c>
      <c r="CP239" s="38">
        <f>MAX(0,MIN(Inputs!$B$36,CU238,CQ239+CR239+CS239+Inputs!$B$6-CT238))</f>
        <v>0</v>
      </c>
      <c r="CQ239" s="38">
        <f>Inputs!$B$27*(1+Inputs!$B$28)^($A239/12)*IF(Inputs!$B$73=1,$G239,1)*(1-Inputs!$C$73*$H239*(1-Inputs!$E$54*Inputs!$B$73))*(1+$I239)*IF(Inputs!$B$29=0,1,(MAX(CT238,0)/Inputs!$B$6)^Inputs!$B$29)</f>
        <v>32012.293769527732</v>
      </c>
      <c r="CR239" s="38">
        <f>Inputs!$B$32*CT238/Inputs!$B$6</f>
        <v>0</v>
      </c>
      <c r="CS239" s="38">
        <f>Inputs!$B$33</f>
        <v>2500</v>
      </c>
      <c r="CT239" s="38">
        <f t="shared" si="184"/>
        <v>0</v>
      </c>
      <c r="CU239" s="38">
        <f t="shared" si="185"/>
        <v>0</v>
      </c>
      <c r="CV239" s="38">
        <f>Inputs!$B$19*(1-Inputs!$C$73*$H239)+Inputs!$B$21+Inputs!$B$73*$J239</f>
        <v>583500</v>
      </c>
      <c r="CW239" s="38">
        <f t="shared" si="186"/>
        <v>-583500</v>
      </c>
      <c r="CX239" s="38">
        <f t="shared" si="187"/>
        <v>1</v>
      </c>
      <c r="CY239" s="38">
        <f>MAX(0,MIN(Inputs!$C$36,DD238,CZ239+DA239+DB239+Inputs!$C$6-DC238))</f>
        <v>0</v>
      </c>
      <c r="CZ239" s="38">
        <f>Inputs!$C$27*(1+Inputs!$C$28)^($A239/12)*IF(Inputs!$B$73=1,$G239,1)*(1-Inputs!$C$73*$H239*(1-Inputs!$E$54*Inputs!$B$73))*(1+$I239)*IF(Inputs!$C$29=0,1,(MAX(DC238,0)/Inputs!$C$6)^Inputs!$C$29)</f>
        <v>0</v>
      </c>
      <c r="DA239" s="38">
        <f>Inputs!$C$32*DC238/Inputs!$C$6</f>
        <v>0</v>
      </c>
      <c r="DB239" s="38">
        <f>Inputs!$C$33</f>
        <v>2000</v>
      </c>
      <c r="DC239" s="38">
        <f t="shared" si="188"/>
        <v>0</v>
      </c>
      <c r="DD239" s="38">
        <f t="shared" si="189"/>
        <v>0</v>
      </c>
      <c r="DE239" s="38">
        <f>Inputs!$C$19*(1-Inputs!$C$73*$H239)+Inputs!$C$21+Inputs!$B$73*$J239</f>
        <v>486000</v>
      </c>
      <c r="DF239" s="38">
        <f t="shared" si="190"/>
        <v>-486000</v>
      </c>
      <c r="DG239" s="38">
        <f t="shared" si="191"/>
        <v>1</v>
      </c>
      <c r="DH239" s="38">
        <f>MAX(0,MIN(Inputs!$D$36,DM238,DI239+DJ239+DK239+Inputs!$D$6-DL238))</f>
        <v>0</v>
      </c>
      <c r="DI239" s="38">
        <f>Inputs!$D$27*(1+Inputs!$D$28)^($A239/12)*IF(Inputs!$B$73=1,$G239,1)*(1-Inputs!$C$73*$H239*(1-Inputs!$E$54*Inputs!$B$73))*(1+$I239)*IF(Inputs!$D$29=0,1,(MAX(DL238,0)/Inputs!$D$6)^Inputs!$D$29)</f>
        <v>0</v>
      </c>
      <c r="DJ239" s="38">
        <f>Inputs!$D$32*DL238/Inputs!$D$6</f>
        <v>0</v>
      </c>
      <c r="DK239" s="38">
        <f>Inputs!$D$33</f>
        <v>1500</v>
      </c>
      <c r="DL239" s="38">
        <f t="shared" si="192"/>
        <v>0</v>
      </c>
      <c r="DM239" s="38">
        <f t="shared" si="193"/>
        <v>0</v>
      </c>
      <c r="DN239" s="38">
        <f>Inputs!$D$19*(1-Inputs!$C$73*$H239)+Inputs!$D$21+Inputs!$B$73*$J239</f>
        <v>398150</v>
      </c>
      <c r="DO239" s="38">
        <f t="shared" si="194"/>
        <v>-398150</v>
      </c>
      <c r="DP239" s="38">
        <f t="shared" si="195"/>
        <v>1</v>
      </c>
    </row>
    <row r="240" spans="1:120" x14ac:dyDescent="0.35">
      <c r="A240" s="29">
        <v>235</v>
      </c>
      <c r="B240" s="34">
        <f>EDATE(Inputs!$B$67,$A240)</f>
        <v>53418</v>
      </c>
      <c r="C240" s="35">
        <f>IF(Inputs!$E$47&lt;=0,Inputs!$E$46,Inputs!$E$44+(Inputs!$E$46-Inputs!$E$44)*MIN($A240/Inputs!$E$47,1))</f>
        <v>0.7</v>
      </c>
      <c r="D240" s="35">
        <f>MIN(Inputs!$E$57,Inputs!$E$55*(1+Inputs!$E$56)^($A240/12))*Inputs!$E$58*(1+Inputs!$E$59)^($A240/12)/Inputs!$E$45</f>
        <v>1.5</v>
      </c>
      <c r="E240" s="35">
        <f>MAX(Inputs!$E$44,MIN(C240,D240))</f>
        <v>0.7</v>
      </c>
      <c r="F240" s="35">
        <f>IF(Inputs!$E$50&lt;=0,Inputs!$E$49,Inputs!$E$48+(Inputs!$E$49-Inputs!$E$48)*MIN($A240/Inputs!$E$50,1))</f>
        <v>0.12</v>
      </c>
      <c r="G240" s="36">
        <f>(Inputs!$E$41*(1-E240*Inputs!$E$51)+Inputs!$E$42*(1-F240*Inputs!$E$51))/(Inputs!$E$41*(1-Inputs!$E$44*Inputs!$E$51)+Inputs!$E$42*(1-Inputs!$E$48*Inputs!$E$51))</f>
        <v>0.8423127463863338</v>
      </c>
      <c r="H240" s="35">
        <f>IF(Inputs!$E$53&lt;=0,Inputs!$E$52,Inputs!$E$52*MIN($A240/Inputs!$E$53,1))</f>
        <v>0.1</v>
      </c>
      <c r="I240" s="35">
        <f>IF(Inputs!$E$64&lt;=0,Inputs!$E$63,Inputs!$E$62+(Inputs!$E$63-Inputs!$E$62)*MIN($A240/Inputs!$E$64,1))</f>
        <v>0.03</v>
      </c>
      <c r="J240" s="37">
        <f>(E240-Inputs!$E$44)*Inputs!$E$45/Inputs!$E$60*Inputs!$E$61</f>
        <v>5999.9999999999991</v>
      </c>
      <c r="K240" s="29">
        <f t="shared" si="147"/>
        <v>0</v>
      </c>
      <c r="L240" s="29"/>
      <c r="M240" s="38">
        <f>MAX(0,MIN(Inputs!$B$36,R239,N240+O240+P240+Inputs!$B$6-Q239))</f>
        <v>0</v>
      </c>
      <c r="N240" s="38">
        <f>Inputs!$B$27*(1+Inputs!$B$28)^($A240/12)*IF(Inputs!$B$70=1,$G240,1)*(1-Inputs!$C$70*$H240*(1-Inputs!$E$54*Inputs!$B$70))*(1+$I240)*IF(Inputs!$B$29=0,1,(MAX(Q239,0)/Inputs!$B$6)^Inputs!$B$29)</f>
        <v>40168.497802272519</v>
      </c>
      <c r="O240" s="38">
        <f>Inputs!$B$32*Q239/Inputs!$B$6</f>
        <v>0</v>
      </c>
      <c r="P240" s="38">
        <f>Inputs!$B$33</f>
        <v>2500</v>
      </c>
      <c r="Q240" s="38">
        <f t="shared" si="148"/>
        <v>0</v>
      </c>
      <c r="R240" s="38">
        <f t="shared" si="149"/>
        <v>0</v>
      </c>
      <c r="S240" s="38">
        <f>Inputs!$B$19*(1-Inputs!$C$70*$H240)+Inputs!$B$21+Inputs!$B$70*$J240</f>
        <v>595000</v>
      </c>
      <c r="T240" s="38">
        <f t="shared" si="150"/>
        <v>-595000</v>
      </c>
      <c r="U240" s="38">
        <f t="shared" si="151"/>
        <v>1</v>
      </c>
      <c r="V240" s="38">
        <f>MAX(0,MIN(Inputs!$C$36,AA239,W240+X240+Y240+Inputs!$C$6-Z239))</f>
        <v>0</v>
      </c>
      <c r="W240" s="38">
        <f>Inputs!$C$27*(1+Inputs!$C$28)^($A240/12)*IF(Inputs!$B$70=1,$G240,1)*(1-Inputs!$C$70*$H240*(1-Inputs!$E$54*Inputs!$B$70))*(1+$I240)*IF(Inputs!$C$29=0,1,(MAX(Z239,0)/Inputs!$C$6)^Inputs!$C$29)</f>
        <v>0</v>
      </c>
      <c r="X240" s="38">
        <f>Inputs!$C$32*Z239/Inputs!$C$6</f>
        <v>0</v>
      </c>
      <c r="Y240" s="38">
        <f>Inputs!$C$33</f>
        <v>2000</v>
      </c>
      <c r="Z240" s="38">
        <f t="shared" si="152"/>
        <v>0</v>
      </c>
      <c r="AA240" s="38">
        <f t="shared" si="153"/>
        <v>0</v>
      </c>
      <c r="AB240" s="38">
        <f>Inputs!$C$19*(1-Inputs!$C$70*$H240)+Inputs!$C$21+Inputs!$B$70*$J240</f>
        <v>495000</v>
      </c>
      <c r="AC240" s="38">
        <f t="shared" si="154"/>
        <v>-495000</v>
      </c>
      <c r="AD240" s="38">
        <f t="shared" si="155"/>
        <v>1</v>
      </c>
      <c r="AE240" s="38">
        <f>MAX(0,MIN(Inputs!$D$36,AJ239,AF240+AG240+AH240+Inputs!$D$6-AI239))</f>
        <v>0</v>
      </c>
      <c r="AF240" s="38">
        <f>Inputs!$D$27*(1+Inputs!$D$28)^($A240/12)*IF(Inputs!$B$70=1,$G240,1)*(1-Inputs!$C$70*$H240*(1-Inputs!$E$54*Inputs!$B$70))*(1+$I240)*IF(Inputs!$D$29=0,1,(MAX(AI239,0)/Inputs!$D$6)^Inputs!$D$29)</f>
        <v>0</v>
      </c>
      <c r="AG240" s="38">
        <f>Inputs!$D$32*AI239/Inputs!$D$6</f>
        <v>0</v>
      </c>
      <c r="AH240" s="38">
        <f>Inputs!$D$33</f>
        <v>1500</v>
      </c>
      <c r="AI240" s="38">
        <f t="shared" si="156"/>
        <v>0</v>
      </c>
      <c r="AJ240" s="38">
        <f t="shared" si="157"/>
        <v>0</v>
      </c>
      <c r="AK240" s="38">
        <f>Inputs!$D$19*(1-Inputs!$C$70*$H240)+Inputs!$D$21+Inputs!$B$70*$J240</f>
        <v>404800</v>
      </c>
      <c r="AL240" s="38">
        <f t="shared" si="158"/>
        <v>-404800</v>
      </c>
      <c r="AM240" s="38">
        <f t="shared" si="159"/>
        <v>1</v>
      </c>
      <c r="AN240" s="38">
        <f>MAX(0,MIN(Inputs!$B$36,AS239,AO240+AP240+AQ240+Inputs!$B$6-AR239))</f>
        <v>0</v>
      </c>
      <c r="AO240" s="38">
        <f>Inputs!$B$27*(1+Inputs!$B$28)^($A240/12)*IF(Inputs!$B$71=1,$G240,1)*(1-Inputs!$C$71*$H240*(1-Inputs!$E$54*Inputs!$B$71))*(1+$I240)*IF(Inputs!$B$29=0,1,(MAX(AR239,0)/Inputs!$B$6)^Inputs!$B$29)</f>
        <v>33834.437702045587</v>
      </c>
      <c r="AP240" s="38">
        <f>Inputs!$B$32*AR239/Inputs!$B$6</f>
        <v>0</v>
      </c>
      <c r="AQ240" s="38">
        <f>Inputs!$B$33</f>
        <v>2500</v>
      </c>
      <c r="AR240" s="38">
        <f t="shared" si="160"/>
        <v>0</v>
      </c>
      <c r="AS240" s="38">
        <f t="shared" si="161"/>
        <v>0</v>
      </c>
      <c r="AT240" s="38">
        <f>Inputs!$B$19*(1-Inputs!$C$71*$H240)+Inputs!$B$21+Inputs!$B$71*$J240</f>
        <v>601000</v>
      </c>
      <c r="AU240" s="38">
        <f t="shared" si="162"/>
        <v>-601000</v>
      </c>
      <c r="AV240" s="38">
        <f t="shared" si="163"/>
        <v>1</v>
      </c>
      <c r="AW240" s="38">
        <f>MAX(0,MIN(Inputs!$C$36,BB239,AX240+AY240+AZ240+Inputs!$C$6-BA239))</f>
        <v>0</v>
      </c>
      <c r="AX240" s="38">
        <f>Inputs!$C$27*(1+Inputs!$C$28)^($A240/12)*IF(Inputs!$B$71=1,$G240,1)*(1-Inputs!$C$71*$H240*(1-Inputs!$E$54*Inputs!$B$71))*(1+$I240)*IF(Inputs!$C$29=0,1,(MAX(BA239,0)/Inputs!$C$6)^Inputs!$C$29)</f>
        <v>0</v>
      </c>
      <c r="AY240" s="38">
        <f>Inputs!$C$32*BA239/Inputs!$C$6</f>
        <v>0</v>
      </c>
      <c r="AZ240" s="38">
        <f>Inputs!$C$33</f>
        <v>2000</v>
      </c>
      <c r="BA240" s="38">
        <f t="shared" si="164"/>
        <v>0</v>
      </c>
      <c r="BB240" s="38">
        <f t="shared" si="165"/>
        <v>0</v>
      </c>
      <c r="BC240" s="38">
        <f>Inputs!$C$19*(1-Inputs!$C$71*$H240)+Inputs!$C$21+Inputs!$B$71*$J240</f>
        <v>501000</v>
      </c>
      <c r="BD240" s="38">
        <f t="shared" si="166"/>
        <v>-501000</v>
      </c>
      <c r="BE240" s="38">
        <f t="shared" si="167"/>
        <v>1</v>
      </c>
      <c r="BF240" s="38">
        <f>MAX(0,MIN(Inputs!$D$36,BK239,BG240+BH240+BI240+Inputs!$D$6-BJ239))</f>
        <v>0</v>
      </c>
      <c r="BG240" s="38">
        <f>Inputs!$D$27*(1+Inputs!$D$28)^($A240/12)*IF(Inputs!$B$71=1,$G240,1)*(1-Inputs!$C$71*$H240*(1-Inputs!$E$54*Inputs!$B$71))*(1+$I240)*IF(Inputs!$D$29=0,1,(MAX(BJ239,0)/Inputs!$D$6)^Inputs!$D$29)</f>
        <v>0</v>
      </c>
      <c r="BH240" s="38">
        <f>Inputs!$D$32*BJ239/Inputs!$D$6</f>
        <v>0</v>
      </c>
      <c r="BI240" s="38">
        <f>Inputs!$D$33</f>
        <v>1500</v>
      </c>
      <c r="BJ240" s="38">
        <f t="shared" si="168"/>
        <v>0</v>
      </c>
      <c r="BK240" s="38">
        <f t="shared" si="169"/>
        <v>0</v>
      </c>
      <c r="BL240" s="38">
        <f>Inputs!$D$19*(1-Inputs!$C$71*$H240)+Inputs!$D$21+Inputs!$B$71*$J240</f>
        <v>410800</v>
      </c>
      <c r="BM240" s="38">
        <f t="shared" si="170"/>
        <v>-410800</v>
      </c>
      <c r="BN240" s="38">
        <f t="shared" si="171"/>
        <v>1</v>
      </c>
      <c r="BO240" s="38">
        <f>MAX(0,MIN(Inputs!$B$36,BT239,BP240+BQ240+BR240+Inputs!$B$6-BS239))</f>
        <v>0</v>
      </c>
      <c r="BP240" s="38">
        <f>Inputs!$B$27*(1+Inputs!$B$28)^($A240/12)*IF(Inputs!$B$72=1,$G240,1)*(1-Inputs!$C$72*$H240*(1-Inputs!$E$54*Inputs!$B$72))*(1+$I240)*IF(Inputs!$B$29=0,1,(MAX(BS239,0)/Inputs!$B$6)^Inputs!$B$29)</f>
        <v>36151.648022045272</v>
      </c>
      <c r="BQ240" s="38">
        <f>Inputs!$B$32*BS239/Inputs!$B$6</f>
        <v>0</v>
      </c>
      <c r="BR240" s="38">
        <f>Inputs!$B$33</f>
        <v>2500</v>
      </c>
      <c r="BS240" s="38">
        <f t="shared" si="172"/>
        <v>0</v>
      </c>
      <c r="BT240" s="38">
        <f t="shared" si="173"/>
        <v>0</v>
      </c>
      <c r="BU240" s="38">
        <f>Inputs!$B$19*(1-Inputs!$C$72*$H240)+Inputs!$B$21+Inputs!$B$72*$J240</f>
        <v>577500</v>
      </c>
      <c r="BV240" s="38">
        <f t="shared" si="174"/>
        <v>-577500</v>
      </c>
      <c r="BW240" s="38">
        <f t="shared" si="175"/>
        <v>1</v>
      </c>
      <c r="BX240" s="38">
        <f>MAX(0,MIN(Inputs!$C$36,CC239,BY240+BZ240+CA240+Inputs!$C$6-CB239))</f>
        <v>0</v>
      </c>
      <c r="BY240" s="38">
        <f>Inputs!$C$27*(1+Inputs!$C$28)^($A240/12)*IF(Inputs!$B$72=1,$G240,1)*(1-Inputs!$C$72*$H240*(1-Inputs!$E$54*Inputs!$B$72))*(1+$I240)*IF(Inputs!$C$29=0,1,(MAX(CB239,0)/Inputs!$C$6)^Inputs!$C$29)</f>
        <v>0</v>
      </c>
      <c r="BZ240" s="38">
        <f>Inputs!$C$32*CB239/Inputs!$C$6</f>
        <v>0</v>
      </c>
      <c r="CA240" s="38">
        <f>Inputs!$C$33</f>
        <v>2000</v>
      </c>
      <c r="CB240" s="38">
        <f t="shared" si="176"/>
        <v>0</v>
      </c>
      <c r="CC240" s="38">
        <f t="shared" si="177"/>
        <v>0</v>
      </c>
      <c r="CD240" s="38">
        <f>Inputs!$C$19*(1-Inputs!$C$72*$H240)+Inputs!$C$21+Inputs!$B$72*$J240</f>
        <v>480000</v>
      </c>
      <c r="CE240" s="38">
        <f t="shared" si="178"/>
        <v>-480000</v>
      </c>
      <c r="CF240" s="38">
        <f t="shared" si="179"/>
        <v>1</v>
      </c>
      <c r="CG240" s="38">
        <f>MAX(0,MIN(Inputs!$D$36,CL239,CH240+CI240+CJ240+Inputs!$D$6-CK239))</f>
        <v>0</v>
      </c>
      <c r="CH240" s="38">
        <f>Inputs!$D$27*(1+Inputs!$D$28)^($A240/12)*IF(Inputs!$B$72=1,$G240,1)*(1-Inputs!$C$72*$H240*(1-Inputs!$E$54*Inputs!$B$72))*(1+$I240)*IF(Inputs!$D$29=0,1,(MAX(CK239,0)/Inputs!$D$6)^Inputs!$D$29)</f>
        <v>0</v>
      </c>
      <c r="CI240" s="38">
        <f>Inputs!$D$32*CK239/Inputs!$D$6</f>
        <v>0</v>
      </c>
      <c r="CJ240" s="38">
        <f>Inputs!$D$33</f>
        <v>1500</v>
      </c>
      <c r="CK240" s="38">
        <f t="shared" si="180"/>
        <v>0</v>
      </c>
      <c r="CL240" s="38">
        <f t="shared" si="181"/>
        <v>0</v>
      </c>
      <c r="CM240" s="38">
        <f>Inputs!$D$19*(1-Inputs!$C$72*$H240)+Inputs!$D$21+Inputs!$B$72*$J240</f>
        <v>392150</v>
      </c>
      <c r="CN240" s="38">
        <f t="shared" si="182"/>
        <v>-392150</v>
      </c>
      <c r="CO240" s="38">
        <f t="shared" si="183"/>
        <v>1</v>
      </c>
      <c r="CP240" s="38">
        <f>MAX(0,MIN(Inputs!$B$36,CU239,CQ240+CR240+CS240+Inputs!$B$6-CT239))</f>
        <v>0</v>
      </c>
      <c r="CQ240" s="38">
        <f>Inputs!$B$27*(1+Inputs!$B$28)^($A240/12)*IF(Inputs!$B$73=1,$G240,1)*(1-Inputs!$C$73*$H240*(1-Inputs!$E$54*Inputs!$B$73))*(1+$I240)*IF(Inputs!$B$29=0,1,(MAX(CT239,0)/Inputs!$B$6)^Inputs!$B$29)</f>
        <v>32142.715816943306</v>
      </c>
      <c r="CR240" s="38">
        <f>Inputs!$B$32*CT239/Inputs!$B$6</f>
        <v>0</v>
      </c>
      <c r="CS240" s="38">
        <f>Inputs!$B$33</f>
        <v>2500</v>
      </c>
      <c r="CT240" s="38">
        <f t="shared" si="184"/>
        <v>0</v>
      </c>
      <c r="CU240" s="38">
        <f t="shared" si="185"/>
        <v>0</v>
      </c>
      <c r="CV240" s="38">
        <f>Inputs!$B$19*(1-Inputs!$C$73*$H240)+Inputs!$B$21+Inputs!$B$73*$J240</f>
        <v>583500</v>
      </c>
      <c r="CW240" s="38">
        <f t="shared" si="186"/>
        <v>-583500</v>
      </c>
      <c r="CX240" s="38">
        <f t="shared" si="187"/>
        <v>1</v>
      </c>
      <c r="CY240" s="38">
        <f>MAX(0,MIN(Inputs!$C$36,DD239,CZ240+DA240+DB240+Inputs!$C$6-DC239))</f>
        <v>0</v>
      </c>
      <c r="CZ240" s="38">
        <f>Inputs!$C$27*(1+Inputs!$C$28)^($A240/12)*IF(Inputs!$B$73=1,$G240,1)*(1-Inputs!$C$73*$H240*(1-Inputs!$E$54*Inputs!$B$73))*(1+$I240)*IF(Inputs!$C$29=0,1,(MAX(DC239,0)/Inputs!$C$6)^Inputs!$C$29)</f>
        <v>0</v>
      </c>
      <c r="DA240" s="38">
        <f>Inputs!$C$32*DC239/Inputs!$C$6</f>
        <v>0</v>
      </c>
      <c r="DB240" s="38">
        <f>Inputs!$C$33</f>
        <v>2000</v>
      </c>
      <c r="DC240" s="38">
        <f t="shared" si="188"/>
        <v>0</v>
      </c>
      <c r="DD240" s="38">
        <f t="shared" si="189"/>
        <v>0</v>
      </c>
      <c r="DE240" s="38">
        <f>Inputs!$C$19*(1-Inputs!$C$73*$H240)+Inputs!$C$21+Inputs!$B$73*$J240</f>
        <v>486000</v>
      </c>
      <c r="DF240" s="38">
        <f t="shared" si="190"/>
        <v>-486000</v>
      </c>
      <c r="DG240" s="38">
        <f t="shared" si="191"/>
        <v>1</v>
      </c>
      <c r="DH240" s="38">
        <f>MAX(0,MIN(Inputs!$D$36,DM239,DI240+DJ240+DK240+Inputs!$D$6-DL239))</f>
        <v>0</v>
      </c>
      <c r="DI240" s="38">
        <f>Inputs!$D$27*(1+Inputs!$D$28)^($A240/12)*IF(Inputs!$B$73=1,$G240,1)*(1-Inputs!$C$73*$H240*(1-Inputs!$E$54*Inputs!$B$73))*(1+$I240)*IF(Inputs!$D$29=0,1,(MAX(DL239,0)/Inputs!$D$6)^Inputs!$D$29)</f>
        <v>0</v>
      </c>
      <c r="DJ240" s="38">
        <f>Inputs!$D$32*DL239/Inputs!$D$6</f>
        <v>0</v>
      </c>
      <c r="DK240" s="38">
        <f>Inputs!$D$33</f>
        <v>1500</v>
      </c>
      <c r="DL240" s="38">
        <f t="shared" si="192"/>
        <v>0</v>
      </c>
      <c r="DM240" s="38">
        <f t="shared" si="193"/>
        <v>0</v>
      </c>
      <c r="DN240" s="38">
        <f>Inputs!$D$19*(1-Inputs!$C$73*$H240)+Inputs!$D$21+Inputs!$B$73*$J240</f>
        <v>398150</v>
      </c>
      <c r="DO240" s="38">
        <f t="shared" si="194"/>
        <v>-398150</v>
      </c>
      <c r="DP240" s="38">
        <f t="shared" si="195"/>
        <v>1</v>
      </c>
    </row>
    <row r="241" spans="1:120" x14ac:dyDescent="0.35">
      <c r="A241" s="29">
        <v>236</v>
      </c>
      <c r="B241" s="34">
        <f>EDATE(Inputs!$B$67,$A241)</f>
        <v>53448</v>
      </c>
      <c r="C241" s="35">
        <f>IF(Inputs!$E$47&lt;=0,Inputs!$E$46,Inputs!$E$44+(Inputs!$E$46-Inputs!$E$44)*MIN($A241/Inputs!$E$47,1))</f>
        <v>0.7</v>
      </c>
      <c r="D241" s="35">
        <f>MIN(Inputs!$E$57,Inputs!$E$55*(1+Inputs!$E$56)^($A241/12))*Inputs!$E$58*(1+Inputs!$E$59)^($A241/12)/Inputs!$E$45</f>
        <v>1.5</v>
      </c>
      <c r="E241" s="35">
        <f>MAX(Inputs!$E$44,MIN(C241,D241))</f>
        <v>0.7</v>
      </c>
      <c r="F241" s="35">
        <f>IF(Inputs!$E$50&lt;=0,Inputs!$E$49,Inputs!$E$48+(Inputs!$E$49-Inputs!$E$48)*MIN($A241/Inputs!$E$50,1))</f>
        <v>0.12</v>
      </c>
      <c r="G241" s="36">
        <f>(Inputs!$E$41*(1-E241*Inputs!$E$51)+Inputs!$E$42*(1-F241*Inputs!$E$51))/(Inputs!$E$41*(1-Inputs!$E$44*Inputs!$E$51)+Inputs!$E$42*(1-Inputs!$E$48*Inputs!$E$51))</f>
        <v>0.8423127463863338</v>
      </c>
      <c r="H241" s="35">
        <f>IF(Inputs!$E$53&lt;=0,Inputs!$E$52,Inputs!$E$52*MIN($A241/Inputs!$E$53,1))</f>
        <v>0.1</v>
      </c>
      <c r="I241" s="35">
        <f>IF(Inputs!$E$64&lt;=0,Inputs!$E$63,Inputs!$E$62+(Inputs!$E$63-Inputs!$E$62)*MIN($A241/Inputs!$E$64,1))</f>
        <v>0.03</v>
      </c>
      <c r="J241" s="37">
        <f>(E241-Inputs!$E$44)*Inputs!$E$45/Inputs!$E$60*Inputs!$E$61</f>
        <v>5999.9999999999991</v>
      </c>
      <c r="K241" s="29">
        <f t="shared" si="147"/>
        <v>0</v>
      </c>
      <c r="L241" s="29"/>
      <c r="M241" s="38">
        <f>MAX(0,MIN(Inputs!$B$36,R240,N241+O241+P241+Inputs!$B$6-Q240))</f>
        <v>0</v>
      </c>
      <c r="N241" s="38">
        <f>Inputs!$B$27*(1+Inputs!$B$28)^($A241/12)*IF(Inputs!$B$70=1,$G241,1)*(1-Inputs!$C$70*$H241*(1-Inputs!$E$54*Inputs!$B$70))*(1+$I241)*IF(Inputs!$B$29=0,1,(MAX(Q240,0)/Inputs!$B$6)^Inputs!$B$29)</f>
        <v>40332.149234522192</v>
      </c>
      <c r="O241" s="38">
        <f>Inputs!$B$32*Q240/Inputs!$B$6</f>
        <v>0</v>
      </c>
      <c r="P241" s="38">
        <f>Inputs!$B$33</f>
        <v>2500</v>
      </c>
      <c r="Q241" s="38">
        <f t="shared" si="148"/>
        <v>0</v>
      </c>
      <c r="R241" s="38">
        <f t="shared" si="149"/>
        <v>0</v>
      </c>
      <c r="S241" s="38">
        <f>Inputs!$B$19*(1-Inputs!$C$70*$H241)+Inputs!$B$21+Inputs!$B$70*$J241</f>
        <v>595000</v>
      </c>
      <c r="T241" s="38">
        <f t="shared" si="150"/>
        <v>-595000</v>
      </c>
      <c r="U241" s="38">
        <f t="shared" si="151"/>
        <v>1</v>
      </c>
      <c r="V241" s="38">
        <f>MAX(0,MIN(Inputs!$C$36,AA240,W241+X241+Y241+Inputs!$C$6-Z240))</f>
        <v>0</v>
      </c>
      <c r="W241" s="38">
        <f>Inputs!$C$27*(1+Inputs!$C$28)^($A241/12)*IF(Inputs!$B$70=1,$G241,1)*(1-Inputs!$C$70*$H241*(1-Inputs!$E$54*Inputs!$B$70))*(1+$I241)*IF(Inputs!$C$29=0,1,(MAX(Z240,0)/Inputs!$C$6)^Inputs!$C$29)</f>
        <v>0</v>
      </c>
      <c r="X241" s="38">
        <f>Inputs!$C$32*Z240/Inputs!$C$6</f>
        <v>0</v>
      </c>
      <c r="Y241" s="38">
        <f>Inputs!$C$33</f>
        <v>2000</v>
      </c>
      <c r="Z241" s="38">
        <f t="shared" si="152"/>
        <v>0</v>
      </c>
      <c r="AA241" s="38">
        <f t="shared" si="153"/>
        <v>0</v>
      </c>
      <c r="AB241" s="38">
        <f>Inputs!$C$19*(1-Inputs!$C$70*$H241)+Inputs!$C$21+Inputs!$B$70*$J241</f>
        <v>495000</v>
      </c>
      <c r="AC241" s="38">
        <f t="shared" si="154"/>
        <v>-495000</v>
      </c>
      <c r="AD241" s="38">
        <f t="shared" si="155"/>
        <v>1</v>
      </c>
      <c r="AE241" s="38">
        <f>MAX(0,MIN(Inputs!$D$36,AJ240,AF241+AG241+AH241+Inputs!$D$6-AI240))</f>
        <v>0</v>
      </c>
      <c r="AF241" s="38">
        <f>Inputs!$D$27*(1+Inputs!$D$28)^($A241/12)*IF(Inputs!$B$70=1,$G241,1)*(1-Inputs!$C$70*$H241*(1-Inputs!$E$54*Inputs!$B$70))*(1+$I241)*IF(Inputs!$D$29=0,1,(MAX(AI240,0)/Inputs!$D$6)^Inputs!$D$29)</f>
        <v>0</v>
      </c>
      <c r="AG241" s="38">
        <f>Inputs!$D$32*AI240/Inputs!$D$6</f>
        <v>0</v>
      </c>
      <c r="AH241" s="38">
        <f>Inputs!$D$33</f>
        <v>1500</v>
      </c>
      <c r="AI241" s="38">
        <f t="shared" si="156"/>
        <v>0</v>
      </c>
      <c r="AJ241" s="38">
        <f t="shared" si="157"/>
        <v>0</v>
      </c>
      <c r="AK241" s="38">
        <f>Inputs!$D$19*(1-Inputs!$C$70*$H241)+Inputs!$D$21+Inputs!$B$70*$J241</f>
        <v>404800</v>
      </c>
      <c r="AL241" s="38">
        <f t="shared" si="158"/>
        <v>-404800</v>
      </c>
      <c r="AM241" s="38">
        <f t="shared" si="159"/>
        <v>1</v>
      </c>
      <c r="AN241" s="38">
        <f>MAX(0,MIN(Inputs!$B$36,AS240,AO241+AP241+AQ241+Inputs!$B$6-AR240))</f>
        <v>0</v>
      </c>
      <c r="AO241" s="38">
        <f>Inputs!$B$27*(1+Inputs!$B$28)^($A241/12)*IF(Inputs!$B$71=1,$G241,1)*(1-Inputs!$C$71*$H241*(1-Inputs!$E$54*Inputs!$B$71))*(1+$I241)*IF(Inputs!$B$29=0,1,(MAX(AR240,0)/Inputs!$B$6)^Inputs!$B$29)</f>
        <v>33972.283389393859</v>
      </c>
      <c r="AP241" s="38">
        <f>Inputs!$B$32*AR240/Inputs!$B$6</f>
        <v>0</v>
      </c>
      <c r="AQ241" s="38">
        <f>Inputs!$B$33</f>
        <v>2500</v>
      </c>
      <c r="AR241" s="38">
        <f t="shared" si="160"/>
        <v>0</v>
      </c>
      <c r="AS241" s="38">
        <f t="shared" si="161"/>
        <v>0</v>
      </c>
      <c r="AT241" s="38">
        <f>Inputs!$B$19*(1-Inputs!$C$71*$H241)+Inputs!$B$21+Inputs!$B$71*$J241</f>
        <v>601000</v>
      </c>
      <c r="AU241" s="38">
        <f t="shared" si="162"/>
        <v>-601000</v>
      </c>
      <c r="AV241" s="38">
        <f t="shared" si="163"/>
        <v>1</v>
      </c>
      <c r="AW241" s="38">
        <f>MAX(0,MIN(Inputs!$C$36,BB240,AX241+AY241+AZ241+Inputs!$C$6-BA240))</f>
        <v>0</v>
      </c>
      <c r="AX241" s="38">
        <f>Inputs!$C$27*(1+Inputs!$C$28)^($A241/12)*IF(Inputs!$B$71=1,$G241,1)*(1-Inputs!$C$71*$H241*(1-Inputs!$E$54*Inputs!$B$71))*(1+$I241)*IF(Inputs!$C$29=0,1,(MAX(BA240,0)/Inputs!$C$6)^Inputs!$C$29)</f>
        <v>0</v>
      </c>
      <c r="AY241" s="38">
        <f>Inputs!$C$32*BA240/Inputs!$C$6</f>
        <v>0</v>
      </c>
      <c r="AZ241" s="38">
        <f>Inputs!$C$33</f>
        <v>2000</v>
      </c>
      <c r="BA241" s="38">
        <f t="shared" si="164"/>
        <v>0</v>
      </c>
      <c r="BB241" s="38">
        <f t="shared" si="165"/>
        <v>0</v>
      </c>
      <c r="BC241" s="38">
        <f>Inputs!$C$19*(1-Inputs!$C$71*$H241)+Inputs!$C$21+Inputs!$B$71*$J241</f>
        <v>501000</v>
      </c>
      <c r="BD241" s="38">
        <f t="shared" si="166"/>
        <v>-501000</v>
      </c>
      <c r="BE241" s="38">
        <f t="shared" si="167"/>
        <v>1</v>
      </c>
      <c r="BF241" s="38">
        <f>MAX(0,MIN(Inputs!$D$36,BK240,BG241+BH241+BI241+Inputs!$D$6-BJ240))</f>
        <v>0</v>
      </c>
      <c r="BG241" s="38">
        <f>Inputs!$D$27*(1+Inputs!$D$28)^($A241/12)*IF(Inputs!$B$71=1,$G241,1)*(1-Inputs!$C$71*$H241*(1-Inputs!$E$54*Inputs!$B$71))*(1+$I241)*IF(Inputs!$D$29=0,1,(MAX(BJ240,0)/Inputs!$D$6)^Inputs!$D$29)</f>
        <v>0</v>
      </c>
      <c r="BH241" s="38">
        <f>Inputs!$D$32*BJ240/Inputs!$D$6</f>
        <v>0</v>
      </c>
      <c r="BI241" s="38">
        <f>Inputs!$D$33</f>
        <v>1500</v>
      </c>
      <c r="BJ241" s="38">
        <f t="shared" si="168"/>
        <v>0</v>
      </c>
      <c r="BK241" s="38">
        <f t="shared" si="169"/>
        <v>0</v>
      </c>
      <c r="BL241" s="38">
        <f>Inputs!$D$19*(1-Inputs!$C$71*$H241)+Inputs!$D$21+Inputs!$B$71*$J241</f>
        <v>410800</v>
      </c>
      <c r="BM241" s="38">
        <f t="shared" si="170"/>
        <v>-410800</v>
      </c>
      <c r="BN241" s="38">
        <f t="shared" si="171"/>
        <v>1</v>
      </c>
      <c r="BO241" s="38">
        <f>MAX(0,MIN(Inputs!$B$36,BT240,BP241+BQ241+BR241+Inputs!$B$6-BS240))</f>
        <v>0</v>
      </c>
      <c r="BP241" s="38">
        <f>Inputs!$B$27*(1+Inputs!$B$28)^($A241/12)*IF(Inputs!$B$72=1,$G241,1)*(1-Inputs!$C$72*$H241*(1-Inputs!$E$54*Inputs!$B$72))*(1+$I241)*IF(Inputs!$B$29=0,1,(MAX(BS240,0)/Inputs!$B$6)^Inputs!$B$29)</f>
        <v>36298.93431106997</v>
      </c>
      <c r="BQ241" s="38">
        <f>Inputs!$B$32*BS240/Inputs!$B$6</f>
        <v>0</v>
      </c>
      <c r="BR241" s="38">
        <f>Inputs!$B$33</f>
        <v>2500</v>
      </c>
      <c r="BS241" s="38">
        <f t="shared" si="172"/>
        <v>0</v>
      </c>
      <c r="BT241" s="38">
        <f t="shared" si="173"/>
        <v>0</v>
      </c>
      <c r="BU241" s="38">
        <f>Inputs!$B$19*(1-Inputs!$C$72*$H241)+Inputs!$B$21+Inputs!$B$72*$J241</f>
        <v>577500</v>
      </c>
      <c r="BV241" s="38">
        <f t="shared" si="174"/>
        <v>-577500</v>
      </c>
      <c r="BW241" s="38">
        <f t="shared" si="175"/>
        <v>1</v>
      </c>
      <c r="BX241" s="38">
        <f>MAX(0,MIN(Inputs!$C$36,CC240,BY241+BZ241+CA241+Inputs!$C$6-CB240))</f>
        <v>0</v>
      </c>
      <c r="BY241" s="38">
        <f>Inputs!$C$27*(1+Inputs!$C$28)^($A241/12)*IF(Inputs!$B$72=1,$G241,1)*(1-Inputs!$C$72*$H241*(1-Inputs!$E$54*Inputs!$B$72))*(1+$I241)*IF(Inputs!$C$29=0,1,(MAX(CB240,0)/Inputs!$C$6)^Inputs!$C$29)</f>
        <v>0</v>
      </c>
      <c r="BZ241" s="38">
        <f>Inputs!$C$32*CB240/Inputs!$C$6</f>
        <v>0</v>
      </c>
      <c r="CA241" s="38">
        <f>Inputs!$C$33</f>
        <v>2000</v>
      </c>
      <c r="CB241" s="38">
        <f t="shared" si="176"/>
        <v>0</v>
      </c>
      <c r="CC241" s="38">
        <f t="shared" si="177"/>
        <v>0</v>
      </c>
      <c r="CD241" s="38">
        <f>Inputs!$C$19*(1-Inputs!$C$72*$H241)+Inputs!$C$21+Inputs!$B$72*$J241</f>
        <v>480000</v>
      </c>
      <c r="CE241" s="38">
        <f t="shared" si="178"/>
        <v>-480000</v>
      </c>
      <c r="CF241" s="38">
        <f t="shared" si="179"/>
        <v>1</v>
      </c>
      <c r="CG241" s="38">
        <f>MAX(0,MIN(Inputs!$D$36,CL240,CH241+CI241+CJ241+Inputs!$D$6-CK240))</f>
        <v>0</v>
      </c>
      <c r="CH241" s="38">
        <f>Inputs!$D$27*(1+Inputs!$D$28)^($A241/12)*IF(Inputs!$B$72=1,$G241,1)*(1-Inputs!$C$72*$H241*(1-Inputs!$E$54*Inputs!$B$72))*(1+$I241)*IF(Inputs!$D$29=0,1,(MAX(CK240,0)/Inputs!$D$6)^Inputs!$D$29)</f>
        <v>0</v>
      </c>
      <c r="CI241" s="38">
        <f>Inputs!$D$32*CK240/Inputs!$D$6</f>
        <v>0</v>
      </c>
      <c r="CJ241" s="38">
        <f>Inputs!$D$33</f>
        <v>1500</v>
      </c>
      <c r="CK241" s="38">
        <f t="shared" si="180"/>
        <v>0</v>
      </c>
      <c r="CL241" s="38">
        <f t="shared" si="181"/>
        <v>0</v>
      </c>
      <c r="CM241" s="38">
        <f>Inputs!$D$19*(1-Inputs!$C$72*$H241)+Inputs!$D$21+Inputs!$B$72*$J241</f>
        <v>392150</v>
      </c>
      <c r="CN241" s="38">
        <f t="shared" si="182"/>
        <v>-392150</v>
      </c>
      <c r="CO241" s="38">
        <f t="shared" si="183"/>
        <v>1</v>
      </c>
      <c r="CP241" s="38">
        <f>MAX(0,MIN(Inputs!$B$36,CU240,CQ241+CR241+CS241+Inputs!$B$6-CT240))</f>
        <v>0</v>
      </c>
      <c r="CQ241" s="38">
        <f>Inputs!$B$27*(1+Inputs!$B$28)^($A241/12)*IF(Inputs!$B$73=1,$G241,1)*(1-Inputs!$C$73*$H241*(1-Inputs!$E$54*Inputs!$B$73))*(1+$I241)*IF(Inputs!$B$29=0,1,(MAX(CT240,0)/Inputs!$B$6)^Inputs!$B$29)</f>
        <v>32273.669219924162</v>
      </c>
      <c r="CR241" s="38">
        <f>Inputs!$B$32*CT240/Inputs!$B$6</f>
        <v>0</v>
      </c>
      <c r="CS241" s="38">
        <f>Inputs!$B$33</f>
        <v>2500</v>
      </c>
      <c r="CT241" s="38">
        <f t="shared" si="184"/>
        <v>0</v>
      </c>
      <c r="CU241" s="38">
        <f t="shared" si="185"/>
        <v>0</v>
      </c>
      <c r="CV241" s="38">
        <f>Inputs!$B$19*(1-Inputs!$C$73*$H241)+Inputs!$B$21+Inputs!$B$73*$J241</f>
        <v>583500</v>
      </c>
      <c r="CW241" s="38">
        <f t="shared" si="186"/>
        <v>-583500</v>
      </c>
      <c r="CX241" s="38">
        <f t="shared" si="187"/>
        <v>1</v>
      </c>
      <c r="CY241" s="38">
        <f>MAX(0,MIN(Inputs!$C$36,DD240,CZ241+DA241+DB241+Inputs!$C$6-DC240))</f>
        <v>0</v>
      </c>
      <c r="CZ241" s="38">
        <f>Inputs!$C$27*(1+Inputs!$C$28)^($A241/12)*IF(Inputs!$B$73=1,$G241,1)*(1-Inputs!$C$73*$H241*(1-Inputs!$E$54*Inputs!$B$73))*(1+$I241)*IF(Inputs!$C$29=0,1,(MAX(DC240,0)/Inputs!$C$6)^Inputs!$C$29)</f>
        <v>0</v>
      </c>
      <c r="DA241" s="38">
        <f>Inputs!$C$32*DC240/Inputs!$C$6</f>
        <v>0</v>
      </c>
      <c r="DB241" s="38">
        <f>Inputs!$C$33</f>
        <v>2000</v>
      </c>
      <c r="DC241" s="38">
        <f t="shared" si="188"/>
        <v>0</v>
      </c>
      <c r="DD241" s="38">
        <f t="shared" si="189"/>
        <v>0</v>
      </c>
      <c r="DE241" s="38">
        <f>Inputs!$C$19*(1-Inputs!$C$73*$H241)+Inputs!$C$21+Inputs!$B$73*$J241</f>
        <v>486000</v>
      </c>
      <c r="DF241" s="38">
        <f t="shared" si="190"/>
        <v>-486000</v>
      </c>
      <c r="DG241" s="38">
        <f t="shared" si="191"/>
        <v>1</v>
      </c>
      <c r="DH241" s="38">
        <f>MAX(0,MIN(Inputs!$D$36,DM240,DI241+DJ241+DK241+Inputs!$D$6-DL240))</f>
        <v>0</v>
      </c>
      <c r="DI241" s="38">
        <f>Inputs!$D$27*(1+Inputs!$D$28)^($A241/12)*IF(Inputs!$B$73=1,$G241,1)*(1-Inputs!$C$73*$H241*(1-Inputs!$E$54*Inputs!$B$73))*(1+$I241)*IF(Inputs!$D$29=0,1,(MAX(DL240,0)/Inputs!$D$6)^Inputs!$D$29)</f>
        <v>0</v>
      </c>
      <c r="DJ241" s="38">
        <f>Inputs!$D$32*DL240/Inputs!$D$6</f>
        <v>0</v>
      </c>
      <c r="DK241" s="38">
        <f>Inputs!$D$33</f>
        <v>1500</v>
      </c>
      <c r="DL241" s="38">
        <f t="shared" si="192"/>
        <v>0</v>
      </c>
      <c r="DM241" s="38">
        <f t="shared" si="193"/>
        <v>0</v>
      </c>
      <c r="DN241" s="38">
        <f>Inputs!$D$19*(1-Inputs!$C$73*$H241)+Inputs!$D$21+Inputs!$B$73*$J241</f>
        <v>398150</v>
      </c>
      <c r="DO241" s="38">
        <f t="shared" si="194"/>
        <v>-398150</v>
      </c>
      <c r="DP241" s="38">
        <f t="shared" si="195"/>
        <v>1</v>
      </c>
    </row>
    <row r="242" spans="1:120" x14ac:dyDescent="0.35">
      <c r="A242" s="29">
        <v>237</v>
      </c>
      <c r="B242" s="34">
        <f>EDATE(Inputs!$B$67,$A242)</f>
        <v>53479</v>
      </c>
      <c r="C242" s="35">
        <f>IF(Inputs!$E$47&lt;=0,Inputs!$E$46,Inputs!$E$44+(Inputs!$E$46-Inputs!$E$44)*MIN($A242/Inputs!$E$47,1))</f>
        <v>0.7</v>
      </c>
      <c r="D242" s="35">
        <f>MIN(Inputs!$E$57,Inputs!$E$55*(1+Inputs!$E$56)^($A242/12))*Inputs!$E$58*(1+Inputs!$E$59)^($A242/12)/Inputs!$E$45</f>
        <v>1.5</v>
      </c>
      <c r="E242" s="35">
        <f>MAX(Inputs!$E$44,MIN(C242,D242))</f>
        <v>0.7</v>
      </c>
      <c r="F242" s="35">
        <f>IF(Inputs!$E$50&lt;=0,Inputs!$E$49,Inputs!$E$48+(Inputs!$E$49-Inputs!$E$48)*MIN($A242/Inputs!$E$50,1))</f>
        <v>0.12</v>
      </c>
      <c r="G242" s="36">
        <f>(Inputs!$E$41*(1-E242*Inputs!$E$51)+Inputs!$E$42*(1-F242*Inputs!$E$51))/(Inputs!$E$41*(1-Inputs!$E$44*Inputs!$E$51)+Inputs!$E$42*(1-Inputs!$E$48*Inputs!$E$51))</f>
        <v>0.8423127463863338</v>
      </c>
      <c r="H242" s="35">
        <f>IF(Inputs!$E$53&lt;=0,Inputs!$E$52,Inputs!$E$52*MIN($A242/Inputs!$E$53,1))</f>
        <v>0.1</v>
      </c>
      <c r="I242" s="35">
        <f>IF(Inputs!$E$64&lt;=0,Inputs!$E$63,Inputs!$E$62+(Inputs!$E$63-Inputs!$E$62)*MIN($A242/Inputs!$E$64,1))</f>
        <v>0.03</v>
      </c>
      <c r="J242" s="37">
        <f>(E242-Inputs!$E$44)*Inputs!$E$45/Inputs!$E$60*Inputs!$E$61</f>
        <v>5999.9999999999991</v>
      </c>
      <c r="K242" s="29">
        <f t="shared" si="147"/>
        <v>0</v>
      </c>
      <c r="L242" s="29"/>
      <c r="M242" s="38">
        <f>MAX(0,MIN(Inputs!$B$36,R241,N242+O242+P242+Inputs!$B$6-Q241))</f>
        <v>0</v>
      </c>
      <c r="N242" s="38">
        <f>Inputs!$B$27*(1+Inputs!$B$28)^($A242/12)*IF(Inputs!$B$70=1,$G242,1)*(1-Inputs!$C$70*$H242*(1-Inputs!$E$54*Inputs!$B$70))*(1+$I242)*IF(Inputs!$B$29=0,1,(MAX(Q241,0)/Inputs!$B$6)^Inputs!$B$29)</f>
        <v>40496.467402964205</v>
      </c>
      <c r="O242" s="38">
        <f>Inputs!$B$32*Q241/Inputs!$B$6</f>
        <v>0</v>
      </c>
      <c r="P242" s="38">
        <f>Inputs!$B$33</f>
        <v>2500</v>
      </c>
      <c r="Q242" s="38">
        <f t="shared" si="148"/>
        <v>0</v>
      </c>
      <c r="R242" s="38">
        <f t="shared" si="149"/>
        <v>0</v>
      </c>
      <c r="S242" s="38">
        <f>Inputs!$B$19*(1-Inputs!$C$70*$H242)+Inputs!$B$21+Inputs!$B$70*$J242</f>
        <v>595000</v>
      </c>
      <c r="T242" s="38">
        <f t="shared" si="150"/>
        <v>-595000</v>
      </c>
      <c r="U242" s="38">
        <f t="shared" si="151"/>
        <v>1</v>
      </c>
      <c r="V242" s="38">
        <f>MAX(0,MIN(Inputs!$C$36,AA241,W242+X242+Y242+Inputs!$C$6-Z241))</f>
        <v>0</v>
      </c>
      <c r="W242" s="38">
        <f>Inputs!$C$27*(1+Inputs!$C$28)^($A242/12)*IF(Inputs!$B$70=1,$G242,1)*(1-Inputs!$C$70*$H242*(1-Inputs!$E$54*Inputs!$B$70))*(1+$I242)*IF(Inputs!$C$29=0,1,(MAX(Z241,0)/Inputs!$C$6)^Inputs!$C$29)</f>
        <v>0</v>
      </c>
      <c r="X242" s="38">
        <f>Inputs!$C$32*Z241/Inputs!$C$6</f>
        <v>0</v>
      </c>
      <c r="Y242" s="38">
        <f>Inputs!$C$33</f>
        <v>2000</v>
      </c>
      <c r="Z242" s="38">
        <f t="shared" si="152"/>
        <v>0</v>
      </c>
      <c r="AA242" s="38">
        <f t="shared" si="153"/>
        <v>0</v>
      </c>
      <c r="AB242" s="38">
        <f>Inputs!$C$19*(1-Inputs!$C$70*$H242)+Inputs!$C$21+Inputs!$B$70*$J242</f>
        <v>495000</v>
      </c>
      <c r="AC242" s="38">
        <f t="shared" si="154"/>
        <v>-495000</v>
      </c>
      <c r="AD242" s="38">
        <f t="shared" si="155"/>
        <v>1</v>
      </c>
      <c r="AE242" s="38">
        <f>MAX(0,MIN(Inputs!$D$36,AJ241,AF242+AG242+AH242+Inputs!$D$6-AI241))</f>
        <v>0</v>
      </c>
      <c r="AF242" s="38">
        <f>Inputs!$D$27*(1+Inputs!$D$28)^($A242/12)*IF(Inputs!$B$70=1,$G242,1)*(1-Inputs!$C$70*$H242*(1-Inputs!$E$54*Inputs!$B$70))*(1+$I242)*IF(Inputs!$D$29=0,1,(MAX(AI241,0)/Inputs!$D$6)^Inputs!$D$29)</f>
        <v>0</v>
      </c>
      <c r="AG242" s="38">
        <f>Inputs!$D$32*AI241/Inputs!$D$6</f>
        <v>0</v>
      </c>
      <c r="AH242" s="38">
        <f>Inputs!$D$33</f>
        <v>1500</v>
      </c>
      <c r="AI242" s="38">
        <f t="shared" si="156"/>
        <v>0</v>
      </c>
      <c r="AJ242" s="38">
        <f t="shared" si="157"/>
        <v>0</v>
      </c>
      <c r="AK242" s="38">
        <f>Inputs!$D$19*(1-Inputs!$C$70*$H242)+Inputs!$D$21+Inputs!$B$70*$J242</f>
        <v>404800</v>
      </c>
      <c r="AL242" s="38">
        <f t="shared" si="158"/>
        <v>-404800</v>
      </c>
      <c r="AM242" s="38">
        <f t="shared" si="159"/>
        <v>1</v>
      </c>
      <c r="AN242" s="38">
        <f>MAX(0,MIN(Inputs!$B$36,AS241,AO242+AP242+AQ242+Inputs!$B$6-AR241))</f>
        <v>0</v>
      </c>
      <c r="AO242" s="38">
        <f>Inputs!$B$27*(1+Inputs!$B$28)^($A242/12)*IF(Inputs!$B$71=1,$G242,1)*(1-Inputs!$C$71*$H242*(1-Inputs!$E$54*Inputs!$B$71))*(1+$I242)*IF(Inputs!$B$29=0,1,(MAX(AR241,0)/Inputs!$B$6)^Inputs!$B$29)</f>
        <v>34110.690677135419</v>
      </c>
      <c r="AP242" s="38">
        <f>Inputs!$B$32*AR241/Inputs!$B$6</f>
        <v>0</v>
      </c>
      <c r="AQ242" s="38">
        <f>Inputs!$B$33</f>
        <v>2500</v>
      </c>
      <c r="AR242" s="38">
        <f t="shared" si="160"/>
        <v>0</v>
      </c>
      <c r="AS242" s="38">
        <f t="shared" si="161"/>
        <v>0</v>
      </c>
      <c r="AT242" s="38">
        <f>Inputs!$B$19*(1-Inputs!$C$71*$H242)+Inputs!$B$21+Inputs!$B$71*$J242</f>
        <v>601000</v>
      </c>
      <c r="AU242" s="38">
        <f t="shared" si="162"/>
        <v>-601000</v>
      </c>
      <c r="AV242" s="38">
        <f t="shared" si="163"/>
        <v>1</v>
      </c>
      <c r="AW242" s="38">
        <f>MAX(0,MIN(Inputs!$C$36,BB241,AX242+AY242+AZ242+Inputs!$C$6-BA241))</f>
        <v>0</v>
      </c>
      <c r="AX242" s="38">
        <f>Inputs!$C$27*(1+Inputs!$C$28)^($A242/12)*IF(Inputs!$B$71=1,$G242,1)*(1-Inputs!$C$71*$H242*(1-Inputs!$E$54*Inputs!$B$71))*(1+$I242)*IF(Inputs!$C$29=0,1,(MAX(BA241,0)/Inputs!$C$6)^Inputs!$C$29)</f>
        <v>0</v>
      </c>
      <c r="AY242" s="38">
        <f>Inputs!$C$32*BA241/Inputs!$C$6</f>
        <v>0</v>
      </c>
      <c r="AZ242" s="38">
        <f>Inputs!$C$33</f>
        <v>2000</v>
      </c>
      <c r="BA242" s="38">
        <f t="shared" si="164"/>
        <v>0</v>
      </c>
      <c r="BB242" s="38">
        <f t="shared" si="165"/>
        <v>0</v>
      </c>
      <c r="BC242" s="38">
        <f>Inputs!$C$19*(1-Inputs!$C$71*$H242)+Inputs!$C$21+Inputs!$B$71*$J242</f>
        <v>501000</v>
      </c>
      <c r="BD242" s="38">
        <f t="shared" si="166"/>
        <v>-501000</v>
      </c>
      <c r="BE242" s="38">
        <f t="shared" si="167"/>
        <v>1</v>
      </c>
      <c r="BF242" s="38">
        <f>MAX(0,MIN(Inputs!$D$36,BK241,BG242+BH242+BI242+Inputs!$D$6-BJ241))</f>
        <v>0</v>
      </c>
      <c r="BG242" s="38">
        <f>Inputs!$D$27*(1+Inputs!$D$28)^($A242/12)*IF(Inputs!$B$71=1,$G242,1)*(1-Inputs!$C$71*$H242*(1-Inputs!$E$54*Inputs!$B$71))*(1+$I242)*IF(Inputs!$D$29=0,1,(MAX(BJ241,0)/Inputs!$D$6)^Inputs!$D$29)</f>
        <v>0</v>
      </c>
      <c r="BH242" s="38">
        <f>Inputs!$D$32*BJ241/Inputs!$D$6</f>
        <v>0</v>
      </c>
      <c r="BI242" s="38">
        <f>Inputs!$D$33</f>
        <v>1500</v>
      </c>
      <c r="BJ242" s="38">
        <f t="shared" si="168"/>
        <v>0</v>
      </c>
      <c r="BK242" s="38">
        <f t="shared" si="169"/>
        <v>0</v>
      </c>
      <c r="BL242" s="38">
        <f>Inputs!$D$19*(1-Inputs!$C$71*$H242)+Inputs!$D$21+Inputs!$B$71*$J242</f>
        <v>410800</v>
      </c>
      <c r="BM242" s="38">
        <f t="shared" si="170"/>
        <v>-410800</v>
      </c>
      <c r="BN242" s="38">
        <f t="shared" si="171"/>
        <v>1</v>
      </c>
      <c r="BO242" s="38">
        <f>MAX(0,MIN(Inputs!$B$36,BT241,BP242+BQ242+BR242+Inputs!$B$6-BS241))</f>
        <v>0</v>
      </c>
      <c r="BP242" s="38">
        <f>Inputs!$B$27*(1+Inputs!$B$28)^($A242/12)*IF(Inputs!$B$72=1,$G242,1)*(1-Inputs!$C$72*$H242*(1-Inputs!$E$54*Inputs!$B$72))*(1+$I242)*IF(Inputs!$B$29=0,1,(MAX(BS241,0)/Inputs!$B$6)^Inputs!$B$29)</f>
        <v>36446.820662667778</v>
      </c>
      <c r="BQ242" s="38">
        <f>Inputs!$B$32*BS241/Inputs!$B$6</f>
        <v>0</v>
      </c>
      <c r="BR242" s="38">
        <f>Inputs!$B$33</f>
        <v>2500</v>
      </c>
      <c r="BS242" s="38">
        <f t="shared" si="172"/>
        <v>0</v>
      </c>
      <c r="BT242" s="38">
        <f t="shared" si="173"/>
        <v>0</v>
      </c>
      <c r="BU242" s="38">
        <f>Inputs!$B$19*(1-Inputs!$C$72*$H242)+Inputs!$B$21+Inputs!$B$72*$J242</f>
        <v>577500</v>
      </c>
      <c r="BV242" s="38">
        <f t="shared" si="174"/>
        <v>-577500</v>
      </c>
      <c r="BW242" s="38">
        <f t="shared" si="175"/>
        <v>1</v>
      </c>
      <c r="BX242" s="38">
        <f>MAX(0,MIN(Inputs!$C$36,CC241,BY242+BZ242+CA242+Inputs!$C$6-CB241))</f>
        <v>0</v>
      </c>
      <c r="BY242" s="38">
        <f>Inputs!$C$27*(1+Inputs!$C$28)^($A242/12)*IF(Inputs!$B$72=1,$G242,1)*(1-Inputs!$C$72*$H242*(1-Inputs!$E$54*Inputs!$B$72))*(1+$I242)*IF(Inputs!$C$29=0,1,(MAX(CB241,0)/Inputs!$C$6)^Inputs!$C$29)</f>
        <v>0</v>
      </c>
      <c r="BZ242" s="38">
        <f>Inputs!$C$32*CB241/Inputs!$C$6</f>
        <v>0</v>
      </c>
      <c r="CA242" s="38">
        <f>Inputs!$C$33</f>
        <v>2000</v>
      </c>
      <c r="CB242" s="38">
        <f t="shared" si="176"/>
        <v>0</v>
      </c>
      <c r="CC242" s="38">
        <f t="shared" si="177"/>
        <v>0</v>
      </c>
      <c r="CD242" s="38">
        <f>Inputs!$C$19*(1-Inputs!$C$72*$H242)+Inputs!$C$21+Inputs!$B$72*$J242</f>
        <v>480000</v>
      </c>
      <c r="CE242" s="38">
        <f t="shared" si="178"/>
        <v>-480000</v>
      </c>
      <c r="CF242" s="38">
        <f t="shared" si="179"/>
        <v>1</v>
      </c>
      <c r="CG242" s="38">
        <f>MAX(0,MIN(Inputs!$D$36,CL241,CH242+CI242+CJ242+Inputs!$D$6-CK241))</f>
        <v>0</v>
      </c>
      <c r="CH242" s="38">
        <f>Inputs!$D$27*(1+Inputs!$D$28)^($A242/12)*IF(Inputs!$B$72=1,$G242,1)*(1-Inputs!$C$72*$H242*(1-Inputs!$E$54*Inputs!$B$72))*(1+$I242)*IF(Inputs!$D$29=0,1,(MAX(CK241,0)/Inputs!$D$6)^Inputs!$D$29)</f>
        <v>0</v>
      </c>
      <c r="CI242" s="38">
        <f>Inputs!$D$32*CK241/Inputs!$D$6</f>
        <v>0</v>
      </c>
      <c r="CJ242" s="38">
        <f>Inputs!$D$33</f>
        <v>1500</v>
      </c>
      <c r="CK242" s="38">
        <f t="shared" si="180"/>
        <v>0</v>
      </c>
      <c r="CL242" s="38">
        <f t="shared" si="181"/>
        <v>0</v>
      </c>
      <c r="CM242" s="38">
        <f>Inputs!$D$19*(1-Inputs!$C$72*$H242)+Inputs!$D$21+Inputs!$B$72*$J242</f>
        <v>392150</v>
      </c>
      <c r="CN242" s="38">
        <f t="shared" si="182"/>
        <v>-392150</v>
      </c>
      <c r="CO242" s="38">
        <f t="shared" si="183"/>
        <v>1</v>
      </c>
      <c r="CP242" s="38">
        <f>MAX(0,MIN(Inputs!$B$36,CU241,CQ242+CR242+CS242+Inputs!$B$6-CT241))</f>
        <v>0</v>
      </c>
      <c r="CQ242" s="38">
        <f>Inputs!$B$27*(1+Inputs!$B$28)^($A242/12)*IF(Inputs!$B$73=1,$G242,1)*(1-Inputs!$C$73*$H242*(1-Inputs!$E$54*Inputs!$B$73))*(1+$I242)*IF(Inputs!$B$29=0,1,(MAX(CT241,0)/Inputs!$B$6)^Inputs!$B$29)</f>
        <v>32405.156143278648</v>
      </c>
      <c r="CR242" s="38">
        <f>Inputs!$B$32*CT241/Inputs!$B$6</f>
        <v>0</v>
      </c>
      <c r="CS242" s="38">
        <f>Inputs!$B$33</f>
        <v>2500</v>
      </c>
      <c r="CT242" s="38">
        <f t="shared" si="184"/>
        <v>0</v>
      </c>
      <c r="CU242" s="38">
        <f t="shared" si="185"/>
        <v>0</v>
      </c>
      <c r="CV242" s="38">
        <f>Inputs!$B$19*(1-Inputs!$C$73*$H242)+Inputs!$B$21+Inputs!$B$73*$J242</f>
        <v>583500</v>
      </c>
      <c r="CW242" s="38">
        <f t="shared" si="186"/>
        <v>-583500</v>
      </c>
      <c r="CX242" s="38">
        <f t="shared" si="187"/>
        <v>1</v>
      </c>
      <c r="CY242" s="38">
        <f>MAX(0,MIN(Inputs!$C$36,DD241,CZ242+DA242+DB242+Inputs!$C$6-DC241))</f>
        <v>0</v>
      </c>
      <c r="CZ242" s="38">
        <f>Inputs!$C$27*(1+Inputs!$C$28)^($A242/12)*IF(Inputs!$B$73=1,$G242,1)*(1-Inputs!$C$73*$H242*(1-Inputs!$E$54*Inputs!$B$73))*(1+$I242)*IF(Inputs!$C$29=0,1,(MAX(DC241,0)/Inputs!$C$6)^Inputs!$C$29)</f>
        <v>0</v>
      </c>
      <c r="DA242" s="38">
        <f>Inputs!$C$32*DC241/Inputs!$C$6</f>
        <v>0</v>
      </c>
      <c r="DB242" s="38">
        <f>Inputs!$C$33</f>
        <v>2000</v>
      </c>
      <c r="DC242" s="38">
        <f t="shared" si="188"/>
        <v>0</v>
      </c>
      <c r="DD242" s="38">
        <f t="shared" si="189"/>
        <v>0</v>
      </c>
      <c r="DE242" s="38">
        <f>Inputs!$C$19*(1-Inputs!$C$73*$H242)+Inputs!$C$21+Inputs!$B$73*$J242</f>
        <v>486000</v>
      </c>
      <c r="DF242" s="38">
        <f t="shared" si="190"/>
        <v>-486000</v>
      </c>
      <c r="DG242" s="38">
        <f t="shared" si="191"/>
        <v>1</v>
      </c>
      <c r="DH242" s="38">
        <f>MAX(0,MIN(Inputs!$D$36,DM241,DI242+DJ242+DK242+Inputs!$D$6-DL241))</f>
        <v>0</v>
      </c>
      <c r="DI242" s="38">
        <f>Inputs!$D$27*(1+Inputs!$D$28)^($A242/12)*IF(Inputs!$B$73=1,$G242,1)*(1-Inputs!$C$73*$H242*(1-Inputs!$E$54*Inputs!$B$73))*(1+$I242)*IF(Inputs!$D$29=0,1,(MAX(DL241,0)/Inputs!$D$6)^Inputs!$D$29)</f>
        <v>0</v>
      </c>
      <c r="DJ242" s="38">
        <f>Inputs!$D$32*DL241/Inputs!$D$6</f>
        <v>0</v>
      </c>
      <c r="DK242" s="38">
        <f>Inputs!$D$33</f>
        <v>1500</v>
      </c>
      <c r="DL242" s="38">
        <f t="shared" si="192"/>
        <v>0</v>
      </c>
      <c r="DM242" s="38">
        <f t="shared" si="193"/>
        <v>0</v>
      </c>
      <c r="DN242" s="38">
        <f>Inputs!$D$19*(1-Inputs!$C$73*$H242)+Inputs!$D$21+Inputs!$B$73*$J242</f>
        <v>398150</v>
      </c>
      <c r="DO242" s="38">
        <f t="shared" si="194"/>
        <v>-398150</v>
      </c>
      <c r="DP242" s="38">
        <f t="shared" si="195"/>
        <v>1</v>
      </c>
    </row>
    <row r="243" spans="1:120" x14ac:dyDescent="0.35">
      <c r="A243" s="29">
        <v>238</v>
      </c>
      <c r="B243" s="34">
        <f>EDATE(Inputs!$B$67,$A243)</f>
        <v>53509</v>
      </c>
      <c r="C243" s="35">
        <f>IF(Inputs!$E$47&lt;=0,Inputs!$E$46,Inputs!$E$44+(Inputs!$E$46-Inputs!$E$44)*MIN($A243/Inputs!$E$47,1))</f>
        <v>0.7</v>
      </c>
      <c r="D243" s="35">
        <f>MIN(Inputs!$E$57,Inputs!$E$55*(1+Inputs!$E$56)^($A243/12))*Inputs!$E$58*(1+Inputs!$E$59)^($A243/12)/Inputs!$E$45</f>
        <v>1.5</v>
      </c>
      <c r="E243" s="35">
        <f>MAX(Inputs!$E$44,MIN(C243,D243))</f>
        <v>0.7</v>
      </c>
      <c r="F243" s="35">
        <f>IF(Inputs!$E$50&lt;=0,Inputs!$E$49,Inputs!$E$48+(Inputs!$E$49-Inputs!$E$48)*MIN($A243/Inputs!$E$50,1))</f>
        <v>0.12</v>
      </c>
      <c r="G243" s="36">
        <f>(Inputs!$E$41*(1-E243*Inputs!$E$51)+Inputs!$E$42*(1-F243*Inputs!$E$51))/(Inputs!$E$41*(1-Inputs!$E$44*Inputs!$E$51)+Inputs!$E$42*(1-Inputs!$E$48*Inputs!$E$51))</f>
        <v>0.8423127463863338</v>
      </c>
      <c r="H243" s="35">
        <f>IF(Inputs!$E$53&lt;=0,Inputs!$E$52,Inputs!$E$52*MIN($A243/Inputs!$E$53,1))</f>
        <v>0.1</v>
      </c>
      <c r="I243" s="35">
        <f>IF(Inputs!$E$64&lt;=0,Inputs!$E$63,Inputs!$E$62+(Inputs!$E$63-Inputs!$E$62)*MIN($A243/Inputs!$E$64,1))</f>
        <v>0.03</v>
      </c>
      <c r="J243" s="37">
        <f>(E243-Inputs!$E$44)*Inputs!$E$45/Inputs!$E$60*Inputs!$E$61</f>
        <v>5999.9999999999991</v>
      </c>
      <c r="K243" s="29">
        <f t="shared" si="147"/>
        <v>0</v>
      </c>
      <c r="L243" s="29"/>
      <c r="M243" s="38">
        <f>MAX(0,MIN(Inputs!$B$36,R242,N243+O243+P243+Inputs!$B$6-Q242))</f>
        <v>0</v>
      </c>
      <c r="N243" s="38">
        <f>Inputs!$B$27*(1+Inputs!$B$28)^($A243/12)*IF(Inputs!$B$70=1,$G243,1)*(1-Inputs!$C$70*$H243*(1-Inputs!$E$54*Inputs!$B$70))*(1+$I243)*IF(Inputs!$B$29=0,1,(MAX(Q242,0)/Inputs!$B$6)^Inputs!$B$29)</f>
        <v>40661.455023964358</v>
      </c>
      <c r="O243" s="38">
        <f>Inputs!$B$32*Q242/Inputs!$B$6</f>
        <v>0</v>
      </c>
      <c r="P243" s="38">
        <f>Inputs!$B$33</f>
        <v>2500</v>
      </c>
      <c r="Q243" s="38">
        <f t="shared" si="148"/>
        <v>0</v>
      </c>
      <c r="R243" s="38">
        <f t="shared" si="149"/>
        <v>0</v>
      </c>
      <c r="S243" s="38">
        <f>Inputs!$B$19*(1-Inputs!$C$70*$H243)+Inputs!$B$21+Inputs!$B$70*$J243</f>
        <v>595000</v>
      </c>
      <c r="T243" s="38">
        <f t="shared" si="150"/>
        <v>-595000</v>
      </c>
      <c r="U243" s="38">
        <f t="shared" si="151"/>
        <v>1</v>
      </c>
      <c r="V243" s="38">
        <f>MAX(0,MIN(Inputs!$C$36,AA242,W243+X243+Y243+Inputs!$C$6-Z242))</f>
        <v>0</v>
      </c>
      <c r="W243" s="38">
        <f>Inputs!$C$27*(1+Inputs!$C$28)^($A243/12)*IF(Inputs!$B$70=1,$G243,1)*(1-Inputs!$C$70*$H243*(1-Inputs!$E$54*Inputs!$B$70))*(1+$I243)*IF(Inputs!$C$29=0,1,(MAX(Z242,0)/Inputs!$C$6)^Inputs!$C$29)</f>
        <v>0</v>
      </c>
      <c r="X243" s="38">
        <f>Inputs!$C$32*Z242/Inputs!$C$6</f>
        <v>0</v>
      </c>
      <c r="Y243" s="38">
        <f>Inputs!$C$33</f>
        <v>2000</v>
      </c>
      <c r="Z243" s="38">
        <f t="shared" si="152"/>
        <v>0</v>
      </c>
      <c r="AA243" s="38">
        <f t="shared" si="153"/>
        <v>0</v>
      </c>
      <c r="AB243" s="38">
        <f>Inputs!$C$19*(1-Inputs!$C$70*$H243)+Inputs!$C$21+Inputs!$B$70*$J243</f>
        <v>495000</v>
      </c>
      <c r="AC243" s="38">
        <f t="shared" si="154"/>
        <v>-495000</v>
      </c>
      <c r="AD243" s="38">
        <f t="shared" si="155"/>
        <v>1</v>
      </c>
      <c r="AE243" s="38">
        <f>MAX(0,MIN(Inputs!$D$36,AJ242,AF243+AG243+AH243+Inputs!$D$6-AI242))</f>
        <v>0</v>
      </c>
      <c r="AF243" s="38">
        <f>Inputs!$D$27*(1+Inputs!$D$28)^($A243/12)*IF(Inputs!$B$70=1,$G243,1)*(1-Inputs!$C$70*$H243*(1-Inputs!$E$54*Inputs!$B$70))*(1+$I243)*IF(Inputs!$D$29=0,1,(MAX(AI242,0)/Inputs!$D$6)^Inputs!$D$29)</f>
        <v>0</v>
      </c>
      <c r="AG243" s="38">
        <f>Inputs!$D$32*AI242/Inputs!$D$6</f>
        <v>0</v>
      </c>
      <c r="AH243" s="38">
        <f>Inputs!$D$33</f>
        <v>1500</v>
      </c>
      <c r="AI243" s="38">
        <f t="shared" si="156"/>
        <v>0</v>
      </c>
      <c r="AJ243" s="38">
        <f t="shared" si="157"/>
        <v>0</v>
      </c>
      <c r="AK243" s="38">
        <f>Inputs!$D$19*(1-Inputs!$C$70*$H243)+Inputs!$D$21+Inputs!$B$70*$J243</f>
        <v>404800</v>
      </c>
      <c r="AL243" s="38">
        <f t="shared" si="158"/>
        <v>-404800</v>
      </c>
      <c r="AM243" s="38">
        <f t="shared" si="159"/>
        <v>1</v>
      </c>
      <c r="AN243" s="38">
        <f>MAX(0,MIN(Inputs!$B$36,AS242,AO243+AP243+AQ243+Inputs!$B$6-AR242))</f>
        <v>0</v>
      </c>
      <c r="AO243" s="38">
        <f>Inputs!$B$27*(1+Inputs!$B$28)^($A243/12)*IF(Inputs!$B$71=1,$G243,1)*(1-Inputs!$C$71*$H243*(1-Inputs!$E$54*Inputs!$B$71))*(1+$I243)*IF(Inputs!$B$29=0,1,(MAX(AR242,0)/Inputs!$B$6)^Inputs!$B$29)</f>
        <v>34249.661853299804</v>
      </c>
      <c r="AP243" s="38">
        <f>Inputs!$B$32*AR242/Inputs!$B$6</f>
        <v>0</v>
      </c>
      <c r="AQ243" s="38">
        <f>Inputs!$B$33</f>
        <v>2500</v>
      </c>
      <c r="AR243" s="38">
        <f t="shared" si="160"/>
        <v>0</v>
      </c>
      <c r="AS243" s="38">
        <f t="shared" si="161"/>
        <v>0</v>
      </c>
      <c r="AT243" s="38">
        <f>Inputs!$B$19*(1-Inputs!$C$71*$H243)+Inputs!$B$21+Inputs!$B$71*$J243</f>
        <v>601000</v>
      </c>
      <c r="AU243" s="38">
        <f t="shared" si="162"/>
        <v>-601000</v>
      </c>
      <c r="AV243" s="38">
        <f t="shared" si="163"/>
        <v>1</v>
      </c>
      <c r="AW243" s="38">
        <f>MAX(0,MIN(Inputs!$C$36,BB242,AX243+AY243+AZ243+Inputs!$C$6-BA242))</f>
        <v>0</v>
      </c>
      <c r="AX243" s="38">
        <f>Inputs!$C$27*(1+Inputs!$C$28)^($A243/12)*IF(Inputs!$B$71=1,$G243,1)*(1-Inputs!$C$71*$H243*(1-Inputs!$E$54*Inputs!$B$71))*(1+$I243)*IF(Inputs!$C$29=0,1,(MAX(BA242,0)/Inputs!$C$6)^Inputs!$C$29)</f>
        <v>0</v>
      </c>
      <c r="AY243" s="38">
        <f>Inputs!$C$32*BA242/Inputs!$C$6</f>
        <v>0</v>
      </c>
      <c r="AZ243" s="38">
        <f>Inputs!$C$33</f>
        <v>2000</v>
      </c>
      <c r="BA243" s="38">
        <f t="shared" si="164"/>
        <v>0</v>
      </c>
      <c r="BB243" s="38">
        <f t="shared" si="165"/>
        <v>0</v>
      </c>
      <c r="BC243" s="38">
        <f>Inputs!$C$19*(1-Inputs!$C$71*$H243)+Inputs!$C$21+Inputs!$B$71*$J243</f>
        <v>501000</v>
      </c>
      <c r="BD243" s="38">
        <f t="shared" si="166"/>
        <v>-501000</v>
      </c>
      <c r="BE243" s="38">
        <f t="shared" si="167"/>
        <v>1</v>
      </c>
      <c r="BF243" s="38">
        <f>MAX(0,MIN(Inputs!$D$36,BK242,BG243+BH243+BI243+Inputs!$D$6-BJ242))</f>
        <v>0</v>
      </c>
      <c r="BG243" s="38">
        <f>Inputs!$D$27*(1+Inputs!$D$28)^($A243/12)*IF(Inputs!$B$71=1,$G243,1)*(1-Inputs!$C$71*$H243*(1-Inputs!$E$54*Inputs!$B$71))*(1+$I243)*IF(Inputs!$D$29=0,1,(MAX(BJ242,0)/Inputs!$D$6)^Inputs!$D$29)</f>
        <v>0</v>
      </c>
      <c r="BH243" s="38">
        <f>Inputs!$D$32*BJ242/Inputs!$D$6</f>
        <v>0</v>
      </c>
      <c r="BI243" s="38">
        <f>Inputs!$D$33</f>
        <v>1500</v>
      </c>
      <c r="BJ243" s="38">
        <f t="shared" si="168"/>
        <v>0</v>
      </c>
      <c r="BK243" s="38">
        <f t="shared" si="169"/>
        <v>0</v>
      </c>
      <c r="BL243" s="38">
        <f>Inputs!$D$19*(1-Inputs!$C$71*$H243)+Inputs!$D$21+Inputs!$B$71*$J243</f>
        <v>410800</v>
      </c>
      <c r="BM243" s="38">
        <f t="shared" si="170"/>
        <v>-410800</v>
      </c>
      <c r="BN243" s="38">
        <f t="shared" si="171"/>
        <v>1</v>
      </c>
      <c r="BO243" s="38">
        <f>MAX(0,MIN(Inputs!$B$36,BT242,BP243+BQ243+BR243+Inputs!$B$6-BS242))</f>
        <v>0</v>
      </c>
      <c r="BP243" s="38">
        <f>Inputs!$B$27*(1+Inputs!$B$28)^($A243/12)*IF(Inputs!$B$72=1,$G243,1)*(1-Inputs!$C$72*$H243*(1-Inputs!$E$54*Inputs!$B$72))*(1+$I243)*IF(Inputs!$B$29=0,1,(MAX(BS242,0)/Inputs!$B$6)^Inputs!$B$29)</f>
        <v>36595.30952156792</v>
      </c>
      <c r="BQ243" s="38">
        <f>Inputs!$B$32*BS242/Inputs!$B$6</f>
        <v>0</v>
      </c>
      <c r="BR243" s="38">
        <f>Inputs!$B$33</f>
        <v>2500</v>
      </c>
      <c r="BS243" s="38">
        <f t="shared" si="172"/>
        <v>0</v>
      </c>
      <c r="BT243" s="38">
        <f t="shared" si="173"/>
        <v>0</v>
      </c>
      <c r="BU243" s="38">
        <f>Inputs!$B$19*(1-Inputs!$C$72*$H243)+Inputs!$B$21+Inputs!$B$72*$J243</f>
        <v>577500</v>
      </c>
      <c r="BV243" s="38">
        <f t="shared" si="174"/>
        <v>-577500</v>
      </c>
      <c r="BW243" s="38">
        <f t="shared" si="175"/>
        <v>1</v>
      </c>
      <c r="BX243" s="38">
        <f>MAX(0,MIN(Inputs!$C$36,CC242,BY243+BZ243+CA243+Inputs!$C$6-CB242))</f>
        <v>0</v>
      </c>
      <c r="BY243" s="38">
        <f>Inputs!$C$27*(1+Inputs!$C$28)^($A243/12)*IF(Inputs!$B$72=1,$G243,1)*(1-Inputs!$C$72*$H243*(1-Inputs!$E$54*Inputs!$B$72))*(1+$I243)*IF(Inputs!$C$29=0,1,(MAX(CB242,0)/Inputs!$C$6)^Inputs!$C$29)</f>
        <v>0</v>
      </c>
      <c r="BZ243" s="38">
        <f>Inputs!$C$32*CB242/Inputs!$C$6</f>
        <v>0</v>
      </c>
      <c r="CA243" s="38">
        <f>Inputs!$C$33</f>
        <v>2000</v>
      </c>
      <c r="CB243" s="38">
        <f t="shared" si="176"/>
        <v>0</v>
      </c>
      <c r="CC243" s="38">
        <f t="shared" si="177"/>
        <v>0</v>
      </c>
      <c r="CD243" s="38">
        <f>Inputs!$C$19*(1-Inputs!$C$72*$H243)+Inputs!$C$21+Inputs!$B$72*$J243</f>
        <v>480000</v>
      </c>
      <c r="CE243" s="38">
        <f t="shared" si="178"/>
        <v>-480000</v>
      </c>
      <c r="CF243" s="38">
        <f t="shared" si="179"/>
        <v>1</v>
      </c>
      <c r="CG243" s="38">
        <f>MAX(0,MIN(Inputs!$D$36,CL242,CH243+CI243+CJ243+Inputs!$D$6-CK242))</f>
        <v>0</v>
      </c>
      <c r="CH243" s="38">
        <f>Inputs!$D$27*(1+Inputs!$D$28)^($A243/12)*IF(Inputs!$B$72=1,$G243,1)*(1-Inputs!$C$72*$H243*(1-Inputs!$E$54*Inputs!$B$72))*(1+$I243)*IF(Inputs!$D$29=0,1,(MAX(CK242,0)/Inputs!$D$6)^Inputs!$D$29)</f>
        <v>0</v>
      </c>
      <c r="CI243" s="38">
        <f>Inputs!$D$32*CK242/Inputs!$D$6</f>
        <v>0</v>
      </c>
      <c r="CJ243" s="38">
        <f>Inputs!$D$33</f>
        <v>1500</v>
      </c>
      <c r="CK243" s="38">
        <f t="shared" si="180"/>
        <v>0</v>
      </c>
      <c r="CL243" s="38">
        <f t="shared" si="181"/>
        <v>0</v>
      </c>
      <c r="CM243" s="38">
        <f>Inputs!$D$19*(1-Inputs!$C$72*$H243)+Inputs!$D$21+Inputs!$B$72*$J243</f>
        <v>392150</v>
      </c>
      <c r="CN243" s="38">
        <f t="shared" si="182"/>
        <v>-392150</v>
      </c>
      <c r="CO243" s="38">
        <f t="shared" si="183"/>
        <v>1</v>
      </c>
      <c r="CP243" s="38">
        <f>MAX(0,MIN(Inputs!$B$36,CU242,CQ243+CR243+CS243+Inputs!$B$6-CT242))</f>
        <v>0</v>
      </c>
      <c r="CQ243" s="38">
        <f>Inputs!$B$27*(1+Inputs!$B$28)^($A243/12)*IF(Inputs!$B$73=1,$G243,1)*(1-Inputs!$C$73*$H243*(1-Inputs!$E$54*Inputs!$B$73))*(1+$I243)*IF(Inputs!$B$29=0,1,(MAX(CT242,0)/Inputs!$B$6)^Inputs!$B$29)</f>
        <v>32537.178760634815</v>
      </c>
      <c r="CR243" s="38">
        <f>Inputs!$B$32*CT242/Inputs!$B$6</f>
        <v>0</v>
      </c>
      <c r="CS243" s="38">
        <f>Inputs!$B$33</f>
        <v>2500</v>
      </c>
      <c r="CT243" s="38">
        <f t="shared" si="184"/>
        <v>0</v>
      </c>
      <c r="CU243" s="38">
        <f t="shared" si="185"/>
        <v>0</v>
      </c>
      <c r="CV243" s="38">
        <f>Inputs!$B$19*(1-Inputs!$C$73*$H243)+Inputs!$B$21+Inputs!$B$73*$J243</f>
        <v>583500</v>
      </c>
      <c r="CW243" s="38">
        <f t="shared" si="186"/>
        <v>-583500</v>
      </c>
      <c r="CX243" s="38">
        <f t="shared" si="187"/>
        <v>1</v>
      </c>
      <c r="CY243" s="38">
        <f>MAX(0,MIN(Inputs!$C$36,DD242,CZ243+DA243+DB243+Inputs!$C$6-DC242))</f>
        <v>0</v>
      </c>
      <c r="CZ243" s="38">
        <f>Inputs!$C$27*(1+Inputs!$C$28)^($A243/12)*IF(Inputs!$B$73=1,$G243,1)*(1-Inputs!$C$73*$H243*(1-Inputs!$E$54*Inputs!$B$73))*(1+$I243)*IF(Inputs!$C$29=0,1,(MAX(DC242,0)/Inputs!$C$6)^Inputs!$C$29)</f>
        <v>0</v>
      </c>
      <c r="DA243" s="38">
        <f>Inputs!$C$32*DC242/Inputs!$C$6</f>
        <v>0</v>
      </c>
      <c r="DB243" s="38">
        <f>Inputs!$C$33</f>
        <v>2000</v>
      </c>
      <c r="DC243" s="38">
        <f t="shared" si="188"/>
        <v>0</v>
      </c>
      <c r="DD243" s="38">
        <f t="shared" si="189"/>
        <v>0</v>
      </c>
      <c r="DE243" s="38">
        <f>Inputs!$C$19*(1-Inputs!$C$73*$H243)+Inputs!$C$21+Inputs!$B$73*$J243</f>
        <v>486000</v>
      </c>
      <c r="DF243" s="38">
        <f t="shared" si="190"/>
        <v>-486000</v>
      </c>
      <c r="DG243" s="38">
        <f t="shared" si="191"/>
        <v>1</v>
      </c>
      <c r="DH243" s="38">
        <f>MAX(0,MIN(Inputs!$D$36,DM242,DI243+DJ243+DK243+Inputs!$D$6-DL242))</f>
        <v>0</v>
      </c>
      <c r="DI243" s="38">
        <f>Inputs!$D$27*(1+Inputs!$D$28)^($A243/12)*IF(Inputs!$B$73=1,$G243,1)*(1-Inputs!$C$73*$H243*(1-Inputs!$E$54*Inputs!$B$73))*(1+$I243)*IF(Inputs!$D$29=0,1,(MAX(DL242,0)/Inputs!$D$6)^Inputs!$D$29)</f>
        <v>0</v>
      </c>
      <c r="DJ243" s="38">
        <f>Inputs!$D$32*DL242/Inputs!$D$6</f>
        <v>0</v>
      </c>
      <c r="DK243" s="38">
        <f>Inputs!$D$33</f>
        <v>1500</v>
      </c>
      <c r="DL243" s="38">
        <f t="shared" si="192"/>
        <v>0</v>
      </c>
      <c r="DM243" s="38">
        <f t="shared" si="193"/>
        <v>0</v>
      </c>
      <c r="DN243" s="38">
        <f>Inputs!$D$19*(1-Inputs!$C$73*$H243)+Inputs!$D$21+Inputs!$B$73*$J243</f>
        <v>398150</v>
      </c>
      <c r="DO243" s="38">
        <f t="shared" si="194"/>
        <v>-398150</v>
      </c>
      <c r="DP243" s="38">
        <f t="shared" si="195"/>
        <v>1</v>
      </c>
    </row>
    <row r="244" spans="1:120" x14ac:dyDescent="0.35">
      <c r="A244" s="29">
        <v>239</v>
      </c>
      <c r="B244" s="34">
        <f>EDATE(Inputs!$B$67,$A244)</f>
        <v>53540</v>
      </c>
      <c r="C244" s="35">
        <f>IF(Inputs!$E$47&lt;=0,Inputs!$E$46,Inputs!$E$44+(Inputs!$E$46-Inputs!$E$44)*MIN($A244/Inputs!$E$47,1))</f>
        <v>0.7</v>
      </c>
      <c r="D244" s="35">
        <f>MIN(Inputs!$E$57,Inputs!$E$55*(1+Inputs!$E$56)^($A244/12))*Inputs!$E$58*(1+Inputs!$E$59)^($A244/12)/Inputs!$E$45</f>
        <v>1.5</v>
      </c>
      <c r="E244" s="35">
        <f>MAX(Inputs!$E$44,MIN(C244,D244))</f>
        <v>0.7</v>
      </c>
      <c r="F244" s="35">
        <f>IF(Inputs!$E$50&lt;=0,Inputs!$E$49,Inputs!$E$48+(Inputs!$E$49-Inputs!$E$48)*MIN($A244/Inputs!$E$50,1))</f>
        <v>0.12</v>
      </c>
      <c r="G244" s="36">
        <f>(Inputs!$E$41*(1-E244*Inputs!$E$51)+Inputs!$E$42*(1-F244*Inputs!$E$51))/(Inputs!$E$41*(1-Inputs!$E$44*Inputs!$E$51)+Inputs!$E$42*(1-Inputs!$E$48*Inputs!$E$51))</f>
        <v>0.8423127463863338</v>
      </c>
      <c r="H244" s="35">
        <f>IF(Inputs!$E$53&lt;=0,Inputs!$E$52,Inputs!$E$52*MIN($A244/Inputs!$E$53,1))</f>
        <v>0.1</v>
      </c>
      <c r="I244" s="35">
        <f>IF(Inputs!$E$64&lt;=0,Inputs!$E$63,Inputs!$E$62+(Inputs!$E$63-Inputs!$E$62)*MIN($A244/Inputs!$E$64,1))</f>
        <v>0.03</v>
      </c>
      <c r="J244" s="37">
        <f>(E244-Inputs!$E$44)*Inputs!$E$45/Inputs!$E$60*Inputs!$E$61</f>
        <v>5999.9999999999991</v>
      </c>
      <c r="K244" s="29">
        <f t="shared" si="147"/>
        <v>0</v>
      </c>
      <c r="L244" s="29"/>
      <c r="M244" s="38">
        <f>MAX(0,MIN(Inputs!$B$36,R243,N244+O244+P244+Inputs!$B$6-Q243))</f>
        <v>0</v>
      </c>
      <c r="N244" s="38">
        <f>Inputs!$B$27*(1+Inputs!$B$28)^($A244/12)*IF(Inputs!$B$70=1,$G244,1)*(1-Inputs!$C$70*$H244*(1-Inputs!$E$54*Inputs!$B$70))*(1+$I244)*IF(Inputs!$B$29=0,1,(MAX(Q243,0)/Inputs!$B$6)^Inputs!$B$29)</f>
        <v>40827.114824955243</v>
      </c>
      <c r="O244" s="38">
        <f>Inputs!$B$32*Q243/Inputs!$B$6</f>
        <v>0</v>
      </c>
      <c r="P244" s="38">
        <f>Inputs!$B$33</f>
        <v>2500</v>
      </c>
      <c r="Q244" s="38">
        <f t="shared" si="148"/>
        <v>0</v>
      </c>
      <c r="R244" s="38">
        <f t="shared" si="149"/>
        <v>0</v>
      </c>
      <c r="S244" s="38">
        <f>Inputs!$B$19*(1-Inputs!$C$70*$H244)+Inputs!$B$21+Inputs!$B$70*$J244</f>
        <v>595000</v>
      </c>
      <c r="T244" s="38">
        <f t="shared" si="150"/>
        <v>-595000</v>
      </c>
      <c r="U244" s="38">
        <f t="shared" si="151"/>
        <v>1</v>
      </c>
      <c r="V244" s="38">
        <f>MAX(0,MIN(Inputs!$C$36,AA243,W244+X244+Y244+Inputs!$C$6-Z243))</f>
        <v>0</v>
      </c>
      <c r="W244" s="38">
        <f>Inputs!$C$27*(1+Inputs!$C$28)^($A244/12)*IF(Inputs!$B$70=1,$G244,1)*(1-Inputs!$C$70*$H244*(1-Inputs!$E$54*Inputs!$B$70))*(1+$I244)*IF(Inputs!$C$29=0,1,(MAX(Z243,0)/Inputs!$C$6)^Inputs!$C$29)</f>
        <v>0</v>
      </c>
      <c r="X244" s="38">
        <f>Inputs!$C$32*Z243/Inputs!$C$6</f>
        <v>0</v>
      </c>
      <c r="Y244" s="38">
        <f>Inputs!$C$33</f>
        <v>2000</v>
      </c>
      <c r="Z244" s="38">
        <f t="shared" si="152"/>
        <v>0</v>
      </c>
      <c r="AA244" s="38">
        <f t="shared" si="153"/>
        <v>0</v>
      </c>
      <c r="AB244" s="38">
        <f>Inputs!$C$19*(1-Inputs!$C$70*$H244)+Inputs!$C$21+Inputs!$B$70*$J244</f>
        <v>495000</v>
      </c>
      <c r="AC244" s="38">
        <f t="shared" si="154"/>
        <v>-495000</v>
      </c>
      <c r="AD244" s="38">
        <f t="shared" si="155"/>
        <v>1</v>
      </c>
      <c r="AE244" s="38">
        <f>MAX(0,MIN(Inputs!$D$36,AJ243,AF244+AG244+AH244+Inputs!$D$6-AI243))</f>
        <v>0</v>
      </c>
      <c r="AF244" s="38">
        <f>Inputs!$D$27*(1+Inputs!$D$28)^($A244/12)*IF(Inputs!$B$70=1,$G244,1)*(1-Inputs!$C$70*$H244*(1-Inputs!$E$54*Inputs!$B$70))*(1+$I244)*IF(Inputs!$D$29=0,1,(MAX(AI243,0)/Inputs!$D$6)^Inputs!$D$29)</f>
        <v>0</v>
      </c>
      <c r="AG244" s="38">
        <f>Inputs!$D$32*AI243/Inputs!$D$6</f>
        <v>0</v>
      </c>
      <c r="AH244" s="38">
        <f>Inputs!$D$33</f>
        <v>1500</v>
      </c>
      <c r="AI244" s="38">
        <f t="shared" si="156"/>
        <v>0</v>
      </c>
      <c r="AJ244" s="38">
        <f t="shared" si="157"/>
        <v>0</v>
      </c>
      <c r="AK244" s="38">
        <f>Inputs!$D$19*(1-Inputs!$C$70*$H244)+Inputs!$D$21+Inputs!$B$70*$J244</f>
        <v>404800</v>
      </c>
      <c r="AL244" s="38">
        <f t="shared" si="158"/>
        <v>-404800</v>
      </c>
      <c r="AM244" s="38">
        <f t="shared" si="159"/>
        <v>1</v>
      </c>
      <c r="AN244" s="38">
        <f>MAX(0,MIN(Inputs!$B$36,AS243,AO244+AP244+AQ244+Inputs!$B$6-AR243))</f>
        <v>0</v>
      </c>
      <c r="AO244" s="38">
        <f>Inputs!$B$27*(1+Inputs!$B$28)^($A244/12)*IF(Inputs!$B$71=1,$G244,1)*(1-Inputs!$C$71*$H244*(1-Inputs!$E$54*Inputs!$B$71))*(1+$I244)*IF(Inputs!$B$29=0,1,(MAX(AR243,0)/Inputs!$B$6)^Inputs!$B$29)</f>
        <v>34389.199215238259</v>
      </c>
      <c r="AP244" s="38">
        <f>Inputs!$B$32*AR243/Inputs!$B$6</f>
        <v>0</v>
      </c>
      <c r="AQ244" s="38">
        <f>Inputs!$B$33</f>
        <v>2500</v>
      </c>
      <c r="AR244" s="38">
        <f t="shared" si="160"/>
        <v>0</v>
      </c>
      <c r="AS244" s="38">
        <f t="shared" si="161"/>
        <v>0</v>
      </c>
      <c r="AT244" s="38">
        <f>Inputs!$B$19*(1-Inputs!$C$71*$H244)+Inputs!$B$21+Inputs!$B$71*$J244</f>
        <v>601000</v>
      </c>
      <c r="AU244" s="38">
        <f t="shared" si="162"/>
        <v>-601000</v>
      </c>
      <c r="AV244" s="38">
        <f t="shared" si="163"/>
        <v>1</v>
      </c>
      <c r="AW244" s="38">
        <f>MAX(0,MIN(Inputs!$C$36,BB243,AX244+AY244+AZ244+Inputs!$C$6-BA243))</f>
        <v>0</v>
      </c>
      <c r="AX244" s="38">
        <f>Inputs!$C$27*(1+Inputs!$C$28)^($A244/12)*IF(Inputs!$B$71=1,$G244,1)*(1-Inputs!$C$71*$H244*(1-Inputs!$E$54*Inputs!$B$71))*(1+$I244)*IF(Inputs!$C$29=0,1,(MAX(BA243,0)/Inputs!$C$6)^Inputs!$C$29)</f>
        <v>0</v>
      </c>
      <c r="AY244" s="38">
        <f>Inputs!$C$32*BA243/Inputs!$C$6</f>
        <v>0</v>
      </c>
      <c r="AZ244" s="38">
        <f>Inputs!$C$33</f>
        <v>2000</v>
      </c>
      <c r="BA244" s="38">
        <f t="shared" si="164"/>
        <v>0</v>
      </c>
      <c r="BB244" s="38">
        <f t="shared" si="165"/>
        <v>0</v>
      </c>
      <c r="BC244" s="38">
        <f>Inputs!$C$19*(1-Inputs!$C$71*$H244)+Inputs!$C$21+Inputs!$B$71*$J244</f>
        <v>501000</v>
      </c>
      <c r="BD244" s="38">
        <f t="shared" si="166"/>
        <v>-501000</v>
      </c>
      <c r="BE244" s="38">
        <f t="shared" si="167"/>
        <v>1</v>
      </c>
      <c r="BF244" s="38">
        <f>MAX(0,MIN(Inputs!$D$36,BK243,BG244+BH244+BI244+Inputs!$D$6-BJ243))</f>
        <v>0</v>
      </c>
      <c r="BG244" s="38">
        <f>Inputs!$D$27*(1+Inputs!$D$28)^($A244/12)*IF(Inputs!$B$71=1,$G244,1)*(1-Inputs!$C$71*$H244*(1-Inputs!$E$54*Inputs!$B$71))*(1+$I244)*IF(Inputs!$D$29=0,1,(MAX(BJ243,0)/Inputs!$D$6)^Inputs!$D$29)</f>
        <v>0</v>
      </c>
      <c r="BH244" s="38">
        <f>Inputs!$D$32*BJ243/Inputs!$D$6</f>
        <v>0</v>
      </c>
      <c r="BI244" s="38">
        <f>Inputs!$D$33</f>
        <v>1500</v>
      </c>
      <c r="BJ244" s="38">
        <f t="shared" si="168"/>
        <v>0</v>
      </c>
      <c r="BK244" s="38">
        <f t="shared" si="169"/>
        <v>0</v>
      </c>
      <c r="BL244" s="38">
        <f>Inputs!$D$19*(1-Inputs!$C$71*$H244)+Inputs!$D$21+Inputs!$B$71*$J244</f>
        <v>410800</v>
      </c>
      <c r="BM244" s="38">
        <f t="shared" si="170"/>
        <v>-410800</v>
      </c>
      <c r="BN244" s="38">
        <f t="shared" si="171"/>
        <v>1</v>
      </c>
      <c r="BO244" s="38">
        <f>MAX(0,MIN(Inputs!$B$36,BT243,BP244+BQ244+BR244+Inputs!$B$6-BS243))</f>
        <v>0</v>
      </c>
      <c r="BP244" s="38">
        <f>Inputs!$B$27*(1+Inputs!$B$28)^($A244/12)*IF(Inputs!$B$72=1,$G244,1)*(1-Inputs!$C$72*$H244*(1-Inputs!$E$54*Inputs!$B$72))*(1+$I244)*IF(Inputs!$B$29=0,1,(MAX(BS243,0)/Inputs!$B$6)^Inputs!$B$29)</f>
        <v>36744.403342459722</v>
      </c>
      <c r="BQ244" s="38">
        <f>Inputs!$B$32*BS243/Inputs!$B$6</f>
        <v>0</v>
      </c>
      <c r="BR244" s="38">
        <f>Inputs!$B$33</f>
        <v>2500</v>
      </c>
      <c r="BS244" s="38">
        <f t="shared" si="172"/>
        <v>0</v>
      </c>
      <c r="BT244" s="38">
        <f t="shared" si="173"/>
        <v>0</v>
      </c>
      <c r="BU244" s="38">
        <f>Inputs!$B$19*(1-Inputs!$C$72*$H244)+Inputs!$B$21+Inputs!$B$72*$J244</f>
        <v>577500</v>
      </c>
      <c r="BV244" s="38">
        <f t="shared" si="174"/>
        <v>-577500</v>
      </c>
      <c r="BW244" s="38">
        <f t="shared" si="175"/>
        <v>1</v>
      </c>
      <c r="BX244" s="38">
        <f>MAX(0,MIN(Inputs!$C$36,CC243,BY244+BZ244+CA244+Inputs!$C$6-CB243))</f>
        <v>0</v>
      </c>
      <c r="BY244" s="38">
        <f>Inputs!$C$27*(1+Inputs!$C$28)^($A244/12)*IF(Inputs!$B$72=1,$G244,1)*(1-Inputs!$C$72*$H244*(1-Inputs!$E$54*Inputs!$B$72))*(1+$I244)*IF(Inputs!$C$29=0,1,(MAX(CB243,0)/Inputs!$C$6)^Inputs!$C$29)</f>
        <v>0</v>
      </c>
      <c r="BZ244" s="38">
        <f>Inputs!$C$32*CB243/Inputs!$C$6</f>
        <v>0</v>
      </c>
      <c r="CA244" s="38">
        <f>Inputs!$C$33</f>
        <v>2000</v>
      </c>
      <c r="CB244" s="38">
        <f t="shared" si="176"/>
        <v>0</v>
      </c>
      <c r="CC244" s="38">
        <f t="shared" si="177"/>
        <v>0</v>
      </c>
      <c r="CD244" s="38">
        <f>Inputs!$C$19*(1-Inputs!$C$72*$H244)+Inputs!$C$21+Inputs!$B$72*$J244</f>
        <v>480000</v>
      </c>
      <c r="CE244" s="38">
        <f t="shared" si="178"/>
        <v>-480000</v>
      </c>
      <c r="CF244" s="38">
        <f t="shared" si="179"/>
        <v>1</v>
      </c>
      <c r="CG244" s="38">
        <f>MAX(0,MIN(Inputs!$D$36,CL243,CH244+CI244+CJ244+Inputs!$D$6-CK243))</f>
        <v>0</v>
      </c>
      <c r="CH244" s="38">
        <f>Inputs!$D$27*(1+Inputs!$D$28)^($A244/12)*IF(Inputs!$B$72=1,$G244,1)*(1-Inputs!$C$72*$H244*(1-Inputs!$E$54*Inputs!$B$72))*(1+$I244)*IF(Inputs!$D$29=0,1,(MAX(CK243,0)/Inputs!$D$6)^Inputs!$D$29)</f>
        <v>0</v>
      </c>
      <c r="CI244" s="38">
        <f>Inputs!$D$32*CK243/Inputs!$D$6</f>
        <v>0</v>
      </c>
      <c r="CJ244" s="38">
        <f>Inputs!$D$33</f>
        <v>1500</v>
      </c>
      <c r="CK244" s="38">
        <f t="shared" si="180"/>
        <v>0</v>
      </c>
      <c r="CL244" s="38">
        <f t="shared" si="181"/>
        <v>0</v>
      </c>
      <c r="CM244" s="38">
        <f>Inputs!$D$19*(1-Inputs!$C$72*$H244)+Inputs!$D$21+Inputs!$B$72*$J244</f>
        <v>392150</v>
      </c>
      <c r="CN244" s="38">
        <f t="shared" si="182"/>
        <v>-392150</v>
      </c>
      <c r="CO244" s="38">
        <f t="shared" si="183"/>
        <v>1</v>
      </c>
      <c r="CP244" s="38">
        <f>MAX(0,MIN(Inputs!$B$36,CU243,CQ244+CR244+CS244+Inputs!$B$6-CT243))</f>
        <v>0</v>
      </c>
      <c r="CQ244" s="38">
        <f>Inputs!$B$27*(1+Inputs!$B$28)^($A244/12)*IF(Inputs!$B$73=1,$G244,1)*(1-Inputs!$C$73*$H244*(1-Inputs!$E$54*Inputs!$B$73))*(1+$I244)*IF(Inputs!$B$29=0,1,(MAX(CT243,0)/Inputs!$B$6)^Inputs!$B$29)</f>
        <v>32669.739254476342</v>
      </c>
      <c r="CR244" s="38">
        <f>Inputs!$B$32*CT243/Inputs!$B$6</f>
        <v>0</v>
      </c>
      <c r="CS244" s="38">
        <f>Inputs!$B$33</f>
        <v>2500</v>
      </c>
      <c r="CT244" s="38">
        <f t="shared" si="184"/>
        <v>0</v>
      </c>
      <c r="CU244" s="38">
        <f t="shared" si="185"/>
        <v>0</v>
      </c>
      <c r="CV244" s="38">
        <f>Inputs!$B$19*(1-Inputs!$C$73*$H244)+Inputs!$B$21+Inputs!$B$73*$J244</f>
        <v>583500</v>
      </c>
      <c r="CW244" s="38">
        <f t="shared" si="186"/>
        <v>-583500</v>
      </c>
      <c r="CX244" s="38">
        <f t="shared" si="187"/>
        <v>1</v>
      </c>
      <c r="CY244" s="38">
        <f>MAX(0,MIN(Inputs!$C$36,DD243,CZ244+DA244+DB244+Inputs!$C$6-DC243))</f>
        <v>0</v>
      </c>
      <c r="CZ244" s="38">
        <f>Inputs!$C$27*(1+Inputs!$C$28)^($A244/12)*IF(Inputs!$B$73=1,$G244,1)*(1-Inputs!$C$73*$H244*(1-Inputs!$E$54*Inputs!$B$73))*(1+$I244)*IF(Inputs!$C$29=0,1,(MAX(DC243,0)/Inputs!$C$6)^Inputs!$C$29)</f>
        <v>0</v>
      </c>
      <c r="DA244" s="38">
        <f>Inputs!$C$32*DC243/Inputs!$C$6</f>
        <v>0</v>
      </c>
      <c r="DB244" s="38">
        <f>Inputs!$C$33</f>
        <v>2000</v>
      </c>
      <c r="DC244" s="38">
        <f t="shared" si="188"/>
        <v>0</v>
      </c>
      <c r="DD244" s="38">
        <f t="shared" si="189"/>
        <v>0</v>
      </c>
      <c r="DE244" s="38">
        <f>Inputs!$C$19*(1-Inputs!$C$73*$H244)+Inputs!$C$21+Inputs!$B$73*$J244</f>
        <v>486000</v>
      </c>
      <c r="DF244" s="38">
        <f t="shared" si="190"/>
        <v>-486000</v>
      </c>
      <c r="DG244" s="38">
        <f t="shared" si="191"/>
        <v>1</v>
      </c>
      <c r="DH244" s="38">
        <f>MAX(0,MIN(Inputs!$D$36,DM243,DI244+DJ244+DK244+Inputs!$D$6-DL243))</f>
        <v>0</v>
      </c>
      <c r="DI244" s="38">
        <f>Inputs!$D$27*(1+Inputs!$D$28)^($A244/12)*IF(Inputs!$B$73=1,$G244,1)*(1-Inputs!$C$73*$H244*(1-Inputs!$E$54*Inputs!$B$73))*(1+$I244)*IF(Inputs!$D$29=0,1,(MAX(DL243,0)/Inputs!$D$6)^Inputs!$D$29)</f>
        <v>0</v>
      </c>
      <c r="DJ244" s="38">
        <f>Inputs!$D$32*DL243/Inputs!$D$6</f>
        <v>0</v>
      </c>
      <c r="DK244" s="38">
        <f>Inputs!$D$33</f>
        <v>1500</v>
      </c>
      <c r="DL244" s="38">
        <f t="shared" si="192"/>
        <v>0</v>
      </c>
      <c r="DM244" s="38">
        <f t="shared" si="193"/>
        <v>0</v>
      </c>
      <c r="DN244" s="38">
        <f>Inputs!$D$19*(1-Inputs!$C$73*$H244)+Inputs!$D$21+Inputs!$B$73*$J244</f>
        <v>398150</v>
      </c>
      <c r="DO244" s="38">
        <f t="shared" si="194"/>
        <v>-398150</v>
      </c>
      <c r="DP244" s="38">
        <f t="shared" si="195"/>
        <v>1</v>
      </c>
    </row>
    <row r="245" spans="1:120" x14ac:dyDescent="0.35">
      <c r="A245" s="29">
        <v>240</v>
      </c>
      <c r="B245" s="34">
        <f>EDATE(Inputs!$B$67,$A245)</f>
        <v>53571</v>
      </c>
      <c r="C245" s="35">
        <f>IF(Inputs!$E$47&lt;=0,Inputs!$E$46,Inputs!$E$44+(Inputs!$E$46-Inputs!$E$44)*MIN($A245/Inputs!$E$47,1))</f>
        <v>0.7</v>
      </c>
      <c r="D245" s="35">
        <f>MIN(Inputs!$E$57,Inputs!$E$55*(1+Inputs!$E$56)^($A245/12))*Inputs!$E$58*(1+Inputs!$E$59)^($A245/12)/Inputs!$E$45</f>
        <v>1.5</v>
      </c>
      <c r="E245" s="35">
        <f>MAX(Inputs!$E$44,MIN(C245,D245))</f>
        <v>0.7</v>
      </c>
      <c r="F245" s="35">
        <f>IF(Inputs!$E$50&lt;=0,Inputs!$E$49,Inputs!$E$48+(Inputs!$E$49-Inputs!$E$48)*MIN($A245/Inputs!$E$50,1))</f>
        <v>0.12</v>
      </c>
      <c r="G245" s="36">
        <f>(Inputs!$E$41*(1-E245*Inputs!$E$51)+Inputs!$E$42*(1-F245*Inputs!$E$51))/(Inputs!$E$41*(1-Inputs!$E$44*Inputs!$E$51)+Inputs!$E$42*(1-Inputs!$E$48*Inputs!$E$51))</f>
        <v>0.8423127463863338</v>
      </c>
      <c r="H245" s="35">
        <f>IF(Inputs!$E$53&lt;=0,Inputs!$E$52,Inputs!$E$52*MIN($A245/Inputs!$E$53,1))</f>
        <v>0.1</v>
      </c>
      <c r="I245" s="35">
        <f>IF(Inputs!$E$64&lt;=0,Inputs!$E$63,Inputs!$E$62+(Inputs!$E$63-Inputs!$E$62)*MIN($A245/Inputs!$E$64,1))</f>
        <v>0.03</v>
      </c>
      <c r="J245" s="37">
        <f>(E245-Inputs!$E$44)*Inputs!$E$45/Inputs!$E$60*Inputs!$E$61</f>
        <v>5999.9999999999991</v>
      </c>
      <c r="K245" s="29">
        <f t="shared" si="147"/>
        <v>0</v>
      </c>
      <c r="L245" s="29"/>
      <c r="M245" s="38">
        <f>MAX(0,MIN(Inputs!$B$36,R244,N245+O245+P245+Inputs!$B$6-Q244))</f>
        <v>0</v>
      </c>
      <c r="N245" s="38">
        <f>Inputs!$B$27*(1+Inputs!$B$28)^($A245/12)*IF(Inputs!$B$70=1,$G245,1)*(1-Inputs!$C$70*$H245*(1-Inputs!$E$54*Inputs!$B$70))*(1+$I245)*IF(Inputs!$B$29=0,1,(MAX(Q244,0)/Inputs!$B$6)^Inputs!$B$29)</f>
        <v>40993.449544481307</v>
      </c>
      <c r="O245" s="38">
        <f>Inputs!$B$32*Q244/Inputs!$B$6</f>
        <v>0</v>
      </c>
      <c r="P245" s="38">
        <f>Inputs!$B$33</f>
        <v>2500</v>
      </c>
      <c r="Q245" s="38">
        <f t="shared" si="148"/>
        <v>0</v>
      </c>
      <c r="R245" s="38">
        <f t="shared" si="149"/>
        <v>0</v>
      </c>
      <c r="S245" s="38">
        <f>Inputs!$B$19*(1-Inputs!$C$70*$H245)+Inputs!$B$21+Inputs!$B$70*$J245</f>
        <v>595000</v>
      </c>
      <c r="T245" s="38">
        <f t="shared" si="150"/>
        <v>-595000</v>
      </c>
      <c r="U245" s="38">
        <f t="shared" si="151"/>
        <v>1</v>
      </c>
      <c r="V245" s="38">
        <f>MAX(0,MIN(Inputs!$C$36,AA244,W245+X245+Y245+Inputs!$C$6-Z244))</f>
        <v>0</v>
      </c>
      <c r="W245" s="38">
        <f>Inputs!$C$27*(1+Inputs!$C$28)^($A245/12)*IF(Inputs!$B$70=1,$G245,1)*(1-Inputs!$C$70*$H245*(1-Inputs!$E$54*Inputs!$B$70))*(1+$I245)*IF(Inputs!$C$29=0,1,(MAX(Z244,0)/Inputs!$C$6)^Inputs!$C$29)</f>
        <v>0</v>
      </c>
      <c r="X245" s="38">
        <f>Inputs!$C$32*Z244/Inputs!$C$6</f>
        <v>0</v>
      </c>
      <c r="Y245" s="38">
        <f>Inputs!$C$33</f>
        <v>2000</v>
      </c>
      <c r="Z245" s="38">
        <f t="shared" si="152"/>
        <v>0</v>
      </c>
      <c r="AA245" s="38">
        <f t="shared" si="153"/>
        <v>0</v>
      </c>
      <c r="AB245" s="38">
        <f>Inputs!$C$19*(1-Inputs!$C$70*$H245)+Inputs!$C$21+Inputs!$B$70*$J245</f>
        <v>495000</v>
      </c>
      <c r="AC245" s="38">
        <f t="shared" si="154"/>
        <v>-495000</v>
      </c>
      <c r="AD245" s="38">
        <f t="shared" si="155"/>
        <v>1</v>
      </c>
      <c r="AE245" s="38">
        <f>MAX(0,MIN(Inputs!$D$36,AJ244,AF245+AG245+AH245+Inputs!$D$6-AI244))</f>
        <v>0</v>
      </c>
      <c r="AF245" s="38">
        <f>Inputs!$D$27*(1+Inputs!$D$28)^($A245/12)*IF(Inputs!$B$70=1,$G245,1)*(1-Inputs!$C$70*$H245*(1-Inputs!$E$54*Inputs!$B$70))*(1+$I245)*IF(Inputs!$D$29=0,1,(MAX(AI244,0)/Inputs!$D$6)^Inputs!$D$29)</f>
        <v>0</v>
      </c>
      <c r="AG245" s="38">
        <f>Inputs!$D$32*AI244/Inputs!$D$6</f>
        <v>0</v>
      </c>
      <c r="AH245" s="38">
        <f>Inputs!$D$33</f>
        <v>1500</v>
      </c>
      <c r="AI245" s="38">
        <f t="shared" si="156"/>
        <v>0</v>
      </c>
      <c r="AJ245" s="38">
        <f t="shared" si="157"/>
        <v>0</v>
      </c>
      <c r="AK245" s="38">
        <f>Inputs!$D$19*(1-Inputs!$C$70*$H245)+Inputs!$D$21+Inputs!$B$70*$J245</f>
        <v>404800</v>
      </c>
      <c r="AL245" s="38">
        <f t="shared" si="158"/>
        <v>-404800</v>
      </c>
      <c r="AM245" s="38">
        <f t="shared" si="159"/>
        <v>1</v>
      </c>
      <c r="AN245" s="38">
        <f>MAX(0,MIN(Inputs!$B$36,AS244,AO245+AP245+AQ245+Inputs!$B$6-AR244))</f>
        <v>0</v>
      </c>
      <c r="AO245" s="38">
        <f>Inputs!$B$27*(1+Inputs!$B$28)^($A245/12)*IF(Inputs!$B$71=1,$G245,1)*(1-Inputs!$C$71*$H245*(1-Inputs!$E$54*Inputs!$B$71))*(1+$I245)*IF(Inputs!$B$29=0,1,(MAX(AR244,0)/Inputs!$B$6)^Inputs!$B$29)</f>
        <v>34529.305069661656</v>
      </c>
      <c r="AP245" s="38">
        <f>Inputs!$B$32*AR244/Inputs!$B$6</f>
        <v>0</v>
      </c>
      <c r="AQ245" s="38">
        <f>Inputs!$B$33</f>
        <v>2500</v>
      </c>
      <c r="AR245" s="38">
        <f t="shared" si="160"/>
        <v>0</v>
      </c>
      <c r="AS245" s="38">
        <f t="shared" si="161"/>
        <v>0</v>
      </c>
      <c r="AT245" s="38">
        <f>Inputs!$B$19*(1-Inputs!$C$71*$H245)+Inputs!$B$21+Inputs!$B$71*$J245</f>
        <v>601000</v>
      </c>
      <c r="AU245" s="38">
        <f t="shared" si="162"/>
        <v>-601000</v>
      </c>
      <c r="AV245" s="38">
        <f t="shared" si="163"/>
        <v>1</v>
      </c>
      <c r="AW245" s="38">
        <f>MAX(0,MIN(Inputs!$C$36,BB244,AX245+AY245+AZ245+Inputs!$C$6-BA244))</f>
        <v>0</v>
      </c>
      <c r="AX245" s="38">
        <f>Inputs!$C$27*(1+Inputs!$C$28)^($A245/12)*IF(Inputs!$B$71=1,$G245,1)*(1-Inputs!$C$71*$H245*(1-Inputs!$E$54*Inputs!$B$71))*(1+$I245)*IF(Inputs!$C$29=0,1,(MAX(BA244,0)/Inputs!$C$6)^Inputs!$C$29)</f>
        <v>0</v>
      </c>
      <c r="AY245" s="38">
        <f>Inputs!$C$32*BA244/Inputs!$C$6</f>
        <v>0</v>
      </c>
      <c r="AZ245" s="38">
        <f>Inputs!$C$33</f>
        <v>2000</v>
      </c>
      <c r="BA245" s="38">
        <f t="shared" si="164"/>
        <v>0</v>
      </c>
      <c r="BB245" s="38">
        <f t="shared" si="165"/>
        <v>0</v>
      </c>
      <c r="BC245" s="38">
        <f>Inputs!$C$19*(1-Inputs!$C$71*$H245)+Inputs!$C$21+Inputs!$B$71*$J245</f>
        <v>501000</v>
      </c>
      <c r="BD245" s="38">
        <f t="shared" si="166"/>
        <v>-501000</v>
      </c>
      <c r="BE245" s="38">
        <f t="shared" si="167"/>
        <v>1</v>
      </c>
      <c r="BF245" s="38">
        <f>MAX(0,MIN(Inputs!$D$36,BK244,BG245+BH245+BI245+Inputs!$D$6-BJ244))</f>
        <v>0</v>
      </c>
      <c r="BG245" s="38">
        <f>Inputs!$D$27*(1+Inputs!$D$28)^($A245/12)*IF(Inputs!$B$71=1,$G245,1)*(1-Inputs!$C$71*$H245*(1-Inputs!$E$54*Inputs!$B$71))*(1+$I245)*IF(Inputs!$D$29=0,1,(MAX(BJ244,0)/Inputs!$D$6)^Inputs!$D$29)</f>
        <v>0</v>
      </c>
      <c r="BH245" s="38">
        <f>Inputs!$D$32*BJ244/Inputs!$D$6</f>
        <v>0</v>
      </c>
      <c r="BI245" s="38">
        <f>Inputs!$D$33</f>
        <v>1500</v>
      </c>
      <c r="BJ245" s="38">
        <f t="shared" si="168"/>
        <v>0</v>
      </c>
      <c r="BK245" s="38">
        <f t="shared" si="169"/>
        <v>0</v>
      </c>
      <c r="BL245" s="38">
        <f>Inputs!$D$19*(1-Inputs!$C$71*$H245)+Inputs!$D$21+Inputs!$B$71*$J245</f>
        <v>410800</v>
      </c>
      <c r="BM245" s="38">
        <f t="shared" si="170"/>
        <v>-410800</v>
      </c>
      <c r="BN245" s="38">
        <f t="shared" si="171"/>
        <v>1</v>
      </c>
      <c r="BO245" s="38">
        <f>MAX(0,MIN(Inputs!$B$36,BT244,BP245+BQ245+BR245+Inputs!$B$6-BS244))</f>
        <v>0</v>
      </c>
      <c r="BP245" s="38">
        <f>Inputs!$B$27*(1+Inputs!$B$28)^($A245/12)*IF(Inputs!$B$72=1,$G245,1)*(1-Inputs!$C$72*$H245*(1-Inputs!$E$54*Inputs!$B$72))*(1+$I245)*IF(Inputs!$B$29=0,1,(MAX(BS244,0)/Inputs!$B$6)^Inputs!$B$29)</f>
        <v>36894.104590033174</v>
      </c>
      <c r="BQ245" s="38">
        <f>Inputs!$B$32*BS244/Inputs!$B$6</f>
        <v>0</v>
      </c>
      <c r="BR245" s="38">
        <f>Inputs!$B$33</f>
        <v>2500</v>
      </c>
      <c r="BS245" s="38">
        <f t="shared" si="172"/>
        <v>0</v>
      </c>
      <c r="BT245" s="38">
        <f t="shared" si="173"/>
        <v>0</v>
      </c>
      <c r="BU245" s="38">
        <f>Inputs!$B$19*(1-Inputs!$C$72*$H245)+Inputs!$B$21+Inputs!$B$72*$J245</f>
        <v>577500</v>
      </c>
      <c r="BV245" s="38">
        <f t="shared" si="174"/>
        <v>-577500</v>
      </c>
      <c r="BW245" s="38">
        <f t="shared" si="175"/>
        <v>1</v>
      </c>
      <c r="BX245" s="38">
        <f>MAX(0,MIN(Inputs!$C$36,CC244,BY245+BZ245+CA245+Inputs!$C$6-CB244))</f>
        <v>0</v>
      </c>
      <c r="BY245" s="38">
        <f>Inputs!$C$27*(1+Inputs!$C$28)^($A245/12)*IF(Inputs!$B$72=1,$G245,1)*(1-Inputs!$C$72*$H245*(1-Inputs!$E$54*Inputs!$B$72))*(1+$I245)*IF(Inputs!$C$29=0,1,(MAX(CB244,0)/Inputs!$C$6)^Inputs!$C$29)</f>
        <v>0</v>
      </c>
      <c r="BZ245" s="38">
        <f>Inputs!$C$32*CB244/Inputs!$C$6</f>
        <v>0</v>
      </c>
      <c r="CA245" s="38">
        <f>Inputs!$C$33</f>
        <v>2000</v>
      </c>
      <c r="CB245" s="38">
        <f t="shared" si="176"/>
        <v>0</v>
      </c>
      <c r="CC245" s="38">
        <f t="shared" si="177"/>
        <v>0</v>
      </c>
      <c r="CD245" s="38">
        <f>Inputs!$C$19*(1-Inputs!$C$72*$H245)+Inputs!$C$21+Inputs!$B$72*$J245</f>
        <v>480000</v>
      </c>
      <c r="CE245" s="38">
        <f t="shared" si="178"/>
        <v>-480000</v>
      </c>
      <c r="CF245" s="38">
        <f t="shared" si="179"/>
        <v>1</v>
      </c>
      <c r="CG245" s="38">
        <f>MAX(0,MIN(Inputs!$D$36,CL244,CH245+CI245+CJ245+Inputs!$D$6-CK244))</f>
        <v>0</v>
      </c>
      <c r="CH245" s="38">
        <f>Inputs!$D$27*(1+Inputs!$D$28)^($A245/12)*IF(Inputs!$B$72=1,$G245,1)*(1-Inputs!$C$72*$H245*(1-Inputs!$E$54*Inputs!$B$72))*(1+$I245)*IF(Inputs!$D$29=0,1,(MAX(CK244,0)/Inputs!$D$6)^Inputs!$D$29)</f>
        <v>0</v>
      </c>
      <c r="CI245" s="38">
        <f>Inputs!$D$32*CK244/Inputs!$D$6</f>
        <v>0</v>
      </c>
      <c r="CJ245" s="38">
        <f>Inputs!$D$33</f>
        <v>1500</v>
      </c>
      <c r="CK245" s="38">
        <f t="shared" si="180"/>
        <v>0</v>
      </c>
      <c r="CL245" s="38">
        <f t="shared" si="181"/>
        <v>0</v>
      </c>
      <c r="CM245" s="38">
        <f>Inputs!$D$19*(1-Inputs!$C$72*$H245)+Inputs!$D$21+Inputs!$B$72*$J245</f>
        <v>392150</v>
      </c>
      <c r="CN245" s="38">
        <f t="shared" si="182"/>
        <v>-392150</v>
      </c>
      <c r="CO245" s="38">
        <f t="shared" si="183"/>
        <v>1</v>
      </c>
      <c r="CP245" s="38">
        <f>MAX(0,MIN(Inputs!$B$36,CU244,CQ245+CR245+CS245+Inputs!$B$6-CT244))</f>
        <v>0</v>
      </c>
      <c r="CQ245" s="38">
        <f>Inputs!$B$27*(1+Inputs!$B$28)^($A245/12)*IF(Inputs!$B$73=1,$G245,1)*(1-Inputs!$C$73*$H245*(1-Inputs!$E$54*Inputs!$B$73))*(1+$I245)*IF(Inputs!$B$29=0,1,(MAX(CT244,0)/Inputs!$B$6)^Inputs!$B$29)</f>
        <v>32802.839816178574</v>
      </c>
      <c r="CR245" s="38">
        <f>Inputs!$B$32*CT244/Inputs!$B$6</f>
        <v>0</v>
      </c>
      <c r="CS245" s="38">
        <f>Inputs!$B$33</f>
        <v>2500</v>
      </c>
      <c r="CT245" s="38">
        <f t="shared" si="184"/>
        <v>0</v>
      </c>
      <c r="CU245" s="38">
        <f t="shared" si="185"/>
        <v>0</v>
      </c>
      <c r="CV245" s="38">
        <f>Inputs!$B$19*(1-Inputs!$C$73*$H245)+Inputs!$B$21+Inputs!$B$73*$J245</f>
        <v>583500</v>
      </c>
      <c r="CW245" s="38">
        <f t="shared" si="186"/>
        <v>-583500</v>
      </c>
      <c r="CX245" s="38">
        <f t="shared" si="187"/>
        <v>1</v>
      </c>
      <c r="CY245" s="38">
        <f>MAX(0,MIN(Inputs!$C$36,DD244,CZ245+DA245+DB245+Inputs!$C$6-DC244))</f>
        <v>0</v>
      </c>
      <c r="CZ245" s="38">
        <f>Inputs!$C$27*(1+Inputs!$C$28)^($A245/12)*IF(Inputs!$B$73=1,$G245,1)*(1-Inputs!$C$73*$H245*(1-Inputs!$E$54*Inputs!$B$73))*(1+$I245)*IF(Inputs!$C$29=0,1,(MAX(DC244,0)/Inputs!$C$6)^Inputs!$C$29)</f>
        <v>0</v>
      </c>
      <c r="DA245" s="38">
        <f>Inputs!$C$32*DC244/Inputs!$C$6</f>
        <v>0</v>
      </c>
      <c r="DB245" s="38">
        <f>Inputs!$C$33</f>
        <v>2000</v>
      </c>
      <c r="DC245" s="38">
        <f t="shared" si="188"/>
        <v>0</v>
      </c>
      <c r="DD245" s="38">
        <f t="shared" si="189"/>
        <v>0</v>
      </c>
      <c r="DE245" s="38">
        <f>Inputs!$C$19*(1-Inputs!$C$73*$H245)+Inputs!$C$21+Inputs!$B$73*$J245</f>
        <v>486000</v>
      </c>
      <c r="DF245" s="38">
        <f t="shared" si="190"/>
        <v>-486000</v>
      </c>
      <c r="DG245" s="38">
        <f t="shared" si="191"/>
        <v>1</v>
      </c>
      <c r="DH245" s="38">
        <f>MAX(0,MIN(Inputs!$D$36,DM244,DI245+DJ245+DK245+Inputs!$D$6-DL244))</f>
        <v>0</v>
      </c>
      <c r="DI245" s="38">
        <f>Inputs!$D$27*(1+Inputs!$D$28)^($A245/12)*IF(Inputs!$B$73=1,$G245,1)*(1-Inputs!$C$73*$H245*(1-Inputs!$E$54*Inputs!$B$73))*(1+$I245)*IF(Inputs!$D$29=0,1,(MAX(DL244,0)/Inputs!$D$6)^Inputs!$D$29)</f>
        <v>0</v>
      </c>
      <c r="DJ245" s="38">
        <f>Inputs!$D$32*DL244/Inputs!$D$6</f>
        <v>0</v>
      </c>
      <c r="DK245" s="38">
        <f>Inputs!$D$33</f>
        <v>1500</v>
      </c>
      <c r="DL245" s="38">
        <f t="shared" si="192"/>
        <v>0</v>
      </c>
      <c r="DM245" s="38">
        <f t="shared" si="193"/>
        <v>0</v>
      </c>
      <c r="DN245" s="38">
        <f>Inputs!$D$19*(1-Inputs!$C$73*$H245)+Inputs!$D$21+Inputs!$B$73*$J245</f>
        <v>398150</v>
      </c>
      <c r="DO245" s="38">
        <f t="shared" si="194"/>
        <v>-398150</v>
      </c>
      <c r="DP245" s="38">
        <f t="shared" si="195"/>
        <v>1</v>
      </c>
    </row>
  </sheetData>
  <mergeCells count="13">
    <mergeCell ref="AW3:BE3"/>
    <mergeCell ref="C3:K3"/>
    <mergeCell ref="M3:U3"/>
    <mergeCell ref="V3:AD3"/>
    <mergeCell ref="AE3:AM3"/>
    <mergeCell ref="AN3:AV3"/>
    <mergeCell ref="CY3:DG3"/>
    <mergeCell ref="DH3:DP3"/>
    <mergeCell ref="BF3:BN3"/>
    <mergeCell ref="BO3:BW3"/>
    <mergeCell ref="BX3:CF3"/>
    <mergeCell ref="CG3:CO3"/>
    <mergeCell ref="CP3:CX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zoomScaleNormal="100" workbookViewId="0"/>
  </sheetViews>
  <sheetFormatPr defaultColWidth="8.6328125" defaultRowHeight="14.5" x14ac:dyDescent="0.35"/>
  <cols>
    <col min="1" max="1" width="29.08984375" customWidth="1"/>
    <col min="2" max="2" width="16.36328125" customWidth="1"/>
    <col min="3" max="7" width="12.7265625" customWidth="1"/>
  </cols>
  <sheetData>
    <row r="1" spans="1:7" ht="16.5" x14ac:dyDescent="0.35">
      <c r="A1" s="55" t="s">
        <v>315</v>
      </c>
      <c r="B1" s="1"/>
      <c r="C1" s="1"/>
      <c r="D1" s="1"/>
      <c r="E1" s="1"/>
      <c r="F1" s="1"/>
      <c r="G1" s="1"/>
    </row>
    <row r="2" spans="1:7" x14ac:dyDescent="0.35">
      <c r="A2" s="3" t="s">
        <v>316</v>
      </c>
      <c r="B2" s="1"/>
      <c r="C2" s="1"/>
      <c r="D2" s="1"/>
      <c r="E2" s="1"/>
      <c r="F2" s="1"/>
      <c r="G2" s="1"/>
    </row>
    <row r="3" spans="1:7" x14ac:dyDescent="0.35">
      <c r="A3" s="1"/>
      <c r="B3" s="1"/>
      <c r="C3" s="1"/>
      <c r="D3" s="1"/>
      <c r="E3" s="1"/>
      <c r="F3" s="1"/>
      <c r="G3" s="1"/>
    </row>
    <row r="4" spans="1:7" x14ac:dyDescent="0.35">
      <c r="A4" s="1" t="s">
        <v>31</v>
      </c>
      <c r="B4" s="50">
        <f>Inputs!C13</f>
        <v>1394000</v>
      </c>
      <c r="C4" s="1"/>
      <c r="D4" s="1"/>
      <c r="E4" s="1"/>
      <c r="F4" s="1"/>
      <c r="G4" s="1"/>
    </row>
    <row r="5" spans="1:7" x14ac:dyDescent="0.35">
      <c r="A5" s="1" t="s">
        <v>317</v>
      </c>
      <c r="B5" s="50">
        <f>Inputs!C19</f>
        <v>150000</v>
      </c>
      <c r="C5" s="1"/>
      <c r="D5" s="1"/>
      <c r="E5" s="1"/>
      <c r="F5" s="1"/>
      <c r="G5" s="1"/>
    </row>
    <row r="6" spans="1:7" x14ac:dyDescent="0.35">
      <c r="A6" s="1" t="s">
        <v>318</v>
      </c>
      <c r="B6" s="50">
        <f>Inputs!C21</f>
        <v>345000</v>
      </c>
      <c r="C6" s="1"/>
      <c r="D6" s="1"/>
      <c r="E6" s="1"/>
      <c r="F6" s="1"/>
      <c r="G6" s="1"/>
    </row>
    <row r="7" spans="1:7" x14ac:dyDescent="0.35">
      <c r="A7" s="1" t="s">
        <v>246</v>
      </c>
      <c r="B7" s="50">
        <f>Inputs!C27</f>
        <v>12500</v>
      </c>
      <c r="C7" s="1"/>
      <c r="D7" s="1"/>
      <c r="E7" s="1"/>
      <c r="F7" s="1"/>
      <c r="G7" s="1"/>
    </row>
    <row r="8" spans="1:7" x14ac:dyDescent="0.35">
      <c r="A8" s="1" t="s">
        <v>319</v>
      </c>
      <c r="B8" s="50">
        <f>Inputs!C32+Inputs!C33</f>
        <v>8750</v>
      </c>
      <c r="C8" s="1"/>
      <c r="D8" s="1"/>
      <c r="E8" s="1"/>
      <c r="F8" s="1"/>
      <c r="G8" s="1"/>
    </row>
    <row r="9" spans="1:7" x14ac:dyDescent="0.35">
      <c r="A9" s="1"/>
      <c r="B9" s="1"/>
      <c r="C9" s="1"/>
      <c r="D9" s="1"/>
      <c r="E9" s="1"/>
      <c r="F9" s="1"/>
      <c r="G9" s="1"/>
    </row>
    <row r="10" spans="1:7" x14ac:dyDescent="0.35">
      <c r="A10" s="1"/>
      <c r="B10" s="6" t="s">
        <v>320</v>
      </c>
      <c r="C10" s="66">
        <v>0</v>
      </c>
      <c r="D10" s="66">
        <v>0.05</v>
      </c>
      <c r="E10" s="66">
        <v>0.1</v>
      </c>
      <c r="F10" s="66">
        <v>0.15</v>
      </c>
      <c r="G10" s="66">
        <v>0.2</v>
      </c>
    </row>
    <row r="11" spans="1:7" x14ac:dyDescent="0.35">
      <c r="A11" s="1"/>
      <c r="B11" s="66">
        <v>0</v>
      </c>
      <c r="C11" s="67">
        <f>($B$4-($B$5*(1-C$10)+$B$6))/($B$7*(1-$B11)*(1-C$10)+$B$8)/12</f>
        <v>3.5254901960784313</v>
      </c>
      <c r="D11" s="67">
        <f t="shared" ref="D11:G17" si="0">($B$4-($B$5*(1-D$10)+$B$6))/($B$7*(1-$B11)*(1-D$10)+$B$8)/12</f>
        <v>3.6626262626262629</v>
      </c>
      <c r="E11" s="67">
        <f t="shared" si="0"/>
        <v>3.8083333333333336</v>
      </c>
      <c r="F11" s="67">
        <f t="shared" si="0"/>
        <v>3.9634408602150537</v>
      </c>
      <c r="G11" s="67">
        <f t="shared" si="0"/>
        <v>4.1288888888888886</v>
      </c>
    </row>
    <row r="12" spans="1:7" x14ac:dyDescent="0.35">
      <c r="A12" s="1"/>
      <c r="B12" s="66">
        <v>0.05</v>
      </c>
      <c r="C12" s="67">
        <f t="shared" ref="C12:C17" si="1">($B$4-($B$5*(1-C$10)+$B$6))/($B$7*(1-$B12)*(1-C$10)+$B$8)/12</f>
        <v>3.6323232323232322</v>
      </c>
      <c r="D12" s="67">
        <f t="shared" si="0"/>
        <v>3.7711908476339051</v>
      </c>
      <c r="E12" s="67">
        <f t="shared" si="0"/>
        <v>3.9185423365487675</v>
      </c>
      <c r="F12" s="67">
        <f t="shared" si="0"/>
        <v>4.0751796572692092</v>
      </c>
      <c r="G12" s="67">
        <f t="shared" si="0"/>
        <v>4.2420091324200913</v>
      </c>
    </row>
    <row r="13" spans="1:7" x14ac:dyDescent="0.35">
      <c r="A13" s="1"/>
      <c r="B13" s="66">
        <v>0.1</v>
      </c>
      <c r="C13" s="67">
        <f t="shared" si="1"/>
        <v>3.7458333333333336</v>
      </c>
      <c r="D13" s="67">
        <f t="shared" si="0"/>
        <v>3.8863879957127545</v>
      </c>
      <c r="E13" s="67">
        <f t="shared" si="0"/>
        <v>4.0353200883002209</v>
      </c>
      <c r="F13" s="67">
        <f t="shared" si="0"/>
        <v>4.1934015927189989</v>
      </c>
      <c r="G13" s="67">
        <f t="shared" si="0"/>
        <v>4.3615023474178409</v>
      </c>
    </row>
    <row r="14" spans="1:7" x14ac:dyDescent="0.35">
      <c r="A14" s="1"/>
      <c r="B14" s="66">
        <v>0.15</v>
      </c>
      <c r="C14" s="67">
        <f t="shared" si="1"/>
        <v>3.8666666666666667</v>
      </c>
      <c r="D14" s="67">
        <f t="shared" si="0"/>
        <v>4.0088446655610834</v>
      </c>
      <c r="E14" s="68">
        <f t="shared" si="0"/>
        <v>4.1592718998862344</v>
      </c>
      <c r="F14" s="67">
        <f t="shared" si="0"/>
        <v>4.3186877562975985</v>
      </c>
      <c r="G14" s="67">
        <f t="shared" si="0"/>
        <v>4.4879227053140101</v>
      </c>
    </row>
    <row r="15" spans="1:7" x14ac:dyDescent="0.35">
      <c r="A15" s="1"/>
      <c r="B15" s="66">
        <v>0.2</v>
      </c>
      <c r="C15" s="67">
        <f t="shared" si="1"/>
        <v>3.9955555555555553</v>
      </c>
      <c r="D15" s="67">
        <f t="shared" si="0"/>
        <v>4.1392694063926943</v>
      </c>
      <c r="E15" s="67">
        <f t="shared" si="0"/>
        <v>4.291079812206573</v>
      </c>
      <c r="F15" s="67">
        <f t="shared" si="0"/>
        <v>4.4516908212560384</v>
      </c>
      <c r="G15" s="67">
        <f t="shared" si="0"/>
        <v>4.6218905472636811</v>
      </c>
    </row>
    <row r="16" spans="1:7" x14ac:dyDescent="0.35">
      <c r="A16" s="1"/>
      <c r="B16" s="66">
        <v>0.25</v>
      </c>
      <c r="C16" s="67">
        <f t="shared" si="1"/>
        <v>4.1333333333333337</v>
      </c>
      <c r="D16" s="67">
        <f t="shared" si="0"/>
        <v>4.2784660766961649</v>
      </c>
      <c r="E16" s="67">
        <f t="shared" si="0"/>
        <v>4.4315151515151516</v>
      </c>
      <c r="F16" s="67">
        <f t="shared" si="0"/>
        <v>4.5931464174454826</v>
      </c>
      <c r="G16" s="67">
        <f t="shared" si="0"/>
        <v>4.7641025641025641</v>
      </c>
    </row>
    <row r="17" spans="1:7" x14ac:dyDescent="0.35">
      <c r="A17" s="1"/>
      <c r="B17" s="66">
        <v>0.3</v>
      </c>
      <c r="C17" s="67">
        <f t="shared" si="1"/>
        <v>4.2809523809523808</v>
      </c>
      <c r="D17" s="67">
        <f t="shared" si="0"/>
        <v>4.4273504273504276</v>
      </c>
      <c r="E17" s="67">
        <f t="shared" si="0"/>
        <v>4.5814536340852134</v>
      </c>
      <c r="F17" s="67">
        <f t="shared" si="0"/>
        <v>4.743886743886744</v>
      </c>
      <c r="G17" s="67">
        <f t="shared" si="0"/>
        <v>4.9153439153439153</v>
      </c>
    </row>
    <row r="18" spans="1:7" x14ac:dyDescent="0.35">
      <c r="A18" s="1"/>
      <c r="B18" s="1"/>
      <c r="C18" s="1"/>
      <c r="D18" s="1"/>
      <c r="E18" s="1"/>
      <c r="F18" s="1"/>
      <c r="G18" s="1"/>
    </row>
    <row r="19" spans="1:7" x14ac:dyDescent="0.35">
      <c r="A19" s="1"/>
      <c r="B19" s="1" t="s">
        <v>321</v>
      </c>
      <c r="C19" s="1"/>
      <c r="D19" s="1"/>
      <c r="E19" s="67">
        <f>C11</f>
        <v>3.5254901960784313</v>
      </c>
      <c r="F19" s="1"/>
      <c r="G19" s="1"/>
    </row>
    <row r="20" spans="1:7" x14ac:dyDescent="0.35">
      <c r="A20" s="1"/>
      <c r="B20" s="1" t="s">
        <v>322</v>
      </c>
      <c r="C20" s="1"/>
      <c r="D20" s="1"/>
      <c r="E20" s="69">
        <f>Inputs!C14*(1-Inputs!C24)/(Inputs!C27*(1-0.15))/12-Inputs!C14*(1-Inputs!C24)/Inputs!C27/12</f>
        <v>0.61764705882352988</v>
      </c>
      <c r="F20" s="1"/>
      <c r="G20" s="1"/>
    </row>
    <row r="21" spans="1:7" x14ac:dyDescent="0.35">
      <c r="A21" s="1"/>
      <c r="B21" s="1" t="s">
        <v>323</v>
      </c>
      <c r="C21" s="1"/>
      <c r="D21" s="1"/>
      <c r="E21" s="69">
        <f>C14-C11</f>
        <v>0.34117647058823541</v>
      </c>
      <c r="F21" s="1"/>
      <c r="G21" s="1"/>
    </row>
    <row r="22" spans="1:7" x14ac:dyDescent="0.35">
      <c r="A22" s="1"/>
      <c r="B22" s="1"/>
      <c r="C22" s="1"/>
      <c r="D22" s="1"/>
      <c r="E22" s="1"/>
      <c r="F22" s="1"/>
      <c r="G2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0EAF-E10F-4A20-88CE-E9BC3BCAAED8}">
  <dimension ref="A1:AG40"/>
  <sheetViews>
    <sheetView showGridLines="0" tabSelected="1" topLeftCell="AF15" zoomScale="106" zoomScaleNormal="115" workbookViewId="0">
      <selection activeCell="AK28" sqref="AK28"/>
    </sheetView>
  </sheetViews>
  <sheetFormatPr defaultRowHeight="14.5" x14ac:dyDescent="0.35"/>
  <cols>
    <col min="1" max="1" width="38.1796875" customWidth="1"/>
    <col min="2" max="3" width="10" customWidth="1"/>
    <col min="4" max="22" width="12.36328125" customWidth="1"/>
    <col min="23" max="23" width="2.7265625" customWidth="1"/>
    <col min="24" max="24" width="27.26953125" customWidth="1"/>
    <col min="25" max="25" width="19.1796875" customWidth="1"/>
    <col min="26" max="29" width="12.7265625" customWidth="1"/>
  </cols>
  <sheetData>
    <row r="1" spans="1:29" x14ac:dyDescent="0.3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spans="1:29" x14ac:dyDescent="0.35">
      <c r="A2" s="29"/>
      <c r="B2" s="29"/>
      <c r="C2" s="57" t="s">
        <v>233</v>
      </c>
      <c r="D2" s="57">
        <v>1</v>
      </c>
      <c r="E2" s="57">
        <v>2</v>
      </c>
      <c r="F2" s="57">
        <v>3</v>
      </c>
      <c r="G2" s="57">
        <v>4</v>
      </c>
      <c r="H2" s="57">
        <v>5</v>
      </c>
      <c r="I2" s="57">
        <v>6</v>
      </c>
      <c r="J2" s="57">
        <v>7</v>
      </c>
      <c r="K2" s="57">
        <v>8</v>
      </c>
      <c r="L2" s="57">
        <v>9</v>
      </c>
      <c r="M2" s="57">
        <v>10</v>
      </c>
      <c r="N2" s="57">
        <v>11</v>
      </c>
      <c r="O2" s="57">
        <v>12</v>
      </c>
      <c r="P2" s="57">
        <v>13</v>
      </c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29" x14ac:dyDescent="0.35">
      <c r="A3" s="29"/>
      <c r="B3" s="29"/>
      <c r="C3" s="57" t="s">
        <v>234</v>
      </c>
      <c r="D3" s="57">
        <v>6</v>
      </c>
      <c r="E3" s="57">
        <v>7</v>
      </c>
      <c r="F3" s="57">
        <v>8</v>
      </c>
      <c r="G3" s="57">
        <v>9</v>
      </c>
      <c r="H3" s="57">
        <v>11</v>
      </c>
      <c r="I3" s="57">
        <v>17</v>
      </c>
      <c r="J3" s="57">
        <v>18</v>
      </c>
      <c r="K3" s="57">
        <v>20</v>
      </c>
      <c r="L3" s="57">
        <v>27</v>
      </c>
      <c r="M3" s="57">
        <v>30</v>
      </c>
      <c r="N3" s="57">
        <v>31</v>
      </c>
      <c r="O3" s="57">
        <v>33</v>
      </c>
      <c r="P3" s="57">
        <v>36</v>
      </c>
      <c r="Q3" s="29"/>
      <c r="R3" s="29"/>
      <c r="S3" s="29"/>
      <c r="T3" s="29"/>
      <c r="U3" s="29"/>
      <c r="V3" s="29"/>
      <c r="W3" s="29"/>
      <c r="X3" s="29" t="s">
        <v>283</v>
      </c>
      <c r="Y3" s="29"/>
      <c r="Z3" s="29"/>
      <c r="AA3" s="29"/>
      <c r="AB3" s="29"/>
      <c r="AC3" s="29"/>
    </row>
    <row r="4" spans="1:29" ht="40" customHeight="1" x14ac:dyDescent="0.35">
      <c r="A4" s="56" t="s">
        <v>235</v>
      </c>
      <c r="B4" s="56" t="s">
        <v>236</v>
      </c>
      <c r="C4" s="56" t="s">
        <v>237</v>
      </c>
      <c r="D4" s="56" t="s">
        <v>238</v>
      </c>
      <c r="E4" s="56" t="s">
        <v>239</v>
      </c>
      <c r="F4" s="56" t="s">
        <v>240</v>
      </c>
      <c r="G4" s="56" t="s">
        <v>241</v>
      </c>
      <c r="H4" s="56" t="s">
        <v>242</v>
      </c>
      <c r="I4" s="56" t="s">
        <v>243</v>
      </c>
      <c r="J4" s="56" t="s">
        <v>244</v>
      </c>
      <c r="K4" s="56" t="s">
        <v>245</v>
      </c>
      <c r="L4" s="56" t="s">
        <v>246</v>
      </c>
      <c r="M4" s="56" t="s">
        <v>247</v>
      </c>
      <c r="N4" s="56" t="s">
        <v>248</v>
      </c>
      <c r="O4" s="56" t="s">
        <v>249</v>
      </c>
      <c r="P4" s="56" t="s">
        <v>250</v>
      </c>
      <c r="Q4" s="56" t="s">
        <v>251</v>
      </c>
      <c r="R4" s="56" t="s">
        <v>252</v>
      </c>
      <c r="S4" s="56" t="s">
        <v>177</v>
      </c>
      <c r="T4" s="56" t="s">
        <v>253</v>
      </c>
      <c r="U4" s="56" t="s">
        <v>254</v>
      </c>
      <c r="V4" s="56" t="s">
        <v>255</v>
      </c>
      <c r="W4" s="29"/>
      <c r="X4" s="56" t="s">
        <v>284</v>
      </c>
      <c r="Y4" s="56" t="s">
        <v>285</v>
      </c>
      <c r="Z4" s="56" t="s">
        <v>286</v>
      </c>
      <c r="AA4" s="56" t="s">
        <v>287</v>
      </c>
      <c r="AB4" s="56" t="s">
        <v>288</v>
      </c>
      <c r="AC4" s="56" t="s">
        <v>289</v>
      </c>
    </row>
    <row r="5" spans="1:29" x14ac:dyDescent="0.35">
      <c r="A5" s="61" t="s">
        <v>256</v>
      </c>
      <c r="B5" s="61">
        <v>0</v>
      </c>
      <c r="C5" s="61">
        <v>2</v>
      </c>
      <c r="D5" s="62" cm="1">
        <f t="array" ref="D5">IF($B5=D$2,INDEX(Inputs!$B$1:$D$80,D$3,$C5),INDEX(Inputs!$B$1:$D$80,D$3,2))</f>
        <v>800000</v>
      </c>
      <c r="E5" s="62" cm="1">
        <f t="array" ref="E5">IF($B5=E$2,INDEX(Inputs!$B$1:$D$80,E$3,$C5),INDEX(Inputs!$B$1:$D$80,E$3,2))</f>
        <v>4500000</v>
      </c>
      <c r="F5" s="62" cm="1">
        <f t="array" ref="F5">IF($B5=F$2,INDEX(Inputs!$B$1:$D$80,F$3,$C5),INDEX(Inputs!$B$1:$D$80,F$3,2))</f>
        <v>1200000</v>
      </c>
      <c r="G5" s="63" cm="1">
        <f t="array" ref="G5">IF($B5=G$2,INDEX(Inputs!$B$1:$D$80,G$3,$C5),INDEX(Inputs!$B$1:$D$80,G$3,2))</f>
        <v>0.4</v>
      </c>
      <c r="H5" s="63" cm="1">
        <f t="array" ref="H5">IF($B5=H$2,INDEX(Inputs!$B$1:$D$80,H$3,$C5),INDEX(Inputs!$B$1:$D$80,H$3,2))</f>
        <v>0.3</v>
      </c>
      <c r="I5" s="62" cm="1">
        <f t="array" ref="I5">IF($B5=I$2,INDEX(Inputs!$B$1:$D$80,I$3,$C5),INDEX(Inputs!$B$1:$D$80,I$3,2))</f>
        <v>1200</v>
      </c>
      <c r="J5" s="62" cm="1">
        <f t="array" ref="J5">IF($B5=J$2,INDEX(Inputs!$B$1:$D$80,J$3,$C5),INDEX(Inputs!$B$1:$D$80,J$3,2))</f>
        <v>125</v>
      </c>
      <c r="K5" s="63" cm="1">
        <f t="array" ref="K5">IF($B5=K$2,INDEX(Inputs!$B$1:$D$80,K$3,$C5),INDEX(Inputs!$B$1:$D$80,K$3,2))</f>
        <v>2.2999999999999998</v>
      </c>
      <c r="L5" s="62" cm="1">
        <f t="array" ref="L5">IF($B5=L$2,INDEX(Inputs!$B$1:$D$80,L$3,$C5),INDEX(Inputs!$B$1:$D$80,L$3,2))</f>
        <v>12500</v>
      </c>
      <c r="M5" s="62" cm="1">
        <f t="array" ref="M5">IF($B5=M$2,INDEX(Inputs!$B$1:$D$80,M$3,$C5),INDEX(Inputs!$B$1:$D$80,M$3,2))</f>
        <v>15000</v>
      </c>
      <c r="N5" s="63" cm="1">
        <f t="array" ref="N5">IF($B5=N$2,INDEX(Inputs!$B$1:$D$80,N$3,$C5),INDEX(Inputs!$B$1:$D$80,N$3,2))</f>
        <v>0.55000000000000004</v>
      </c>
      <c r="O5" s="62" cm="1">
        <f t="array" ref="O5">IF($B5=O$2,INDEX(Inputs!$B$1:$D$80,O$3,$C5),INDEX(Inputs!$B$1:$D$80,O$3,2))</f>
        <v>2000</v>
      </c>
      <c r="P5" s="62" cm="1">
        <f t="array" ref="P5">IF($B5=P$2,INDEX(Inputs!$B$1:$D$80,P$3,$C5),INDEX(Inputs!$B$1:$D$80,P$3,2))</f>
        <v>30000</v>
      </c>
      <c r="Q5" s="62">
        <f>(E5-F5)*(1-G5)*H5</f>
        <v>594000</v>
      </c>
      <c r="R5" s="62">
        <f>D5+Q5</f>
        <v>1394000</v>
      </c>
      <c r="S5" s="62">
        <f>I5*J5*(1+K5)</f>
        <v>495000</v>
      </c>
      <c r="T5" s="62">
        <f>L5+M5*(1-N5)+O5</f>
        <v>21250</v>
      </c>
      <c r="U5" s="64">
        <f>_xlfn.LET(_xlpm.S0,D5,_xlpm.R0,Q5,_xlpm.Qm,S5,_xlpm.d,T5,_xlpm.c,MIN(P5,_xlpm.d),_xlpm.dec,_xlpm.d-_xlpm.c,_xlpm.TR,_xlpm.R0/_xlpm.c,IF(_xlpm.S0&lt;_xlpm.Qm,0,IF(AND(_xlpm.dec&gt;0,(_xlpm.S0-_xlpm.Qm)/MAX(_xlpm.dec,1)&lt;_xlpm.TR),(_xlpm.S0-_xlpm.Qm)/_xlpm.dec,_xlpm.TR+(_xlpm.S0-_xlpm.dec*_xlpm.TR-_xlpm.Qm)/_xlpm.d))/12)</f>
        <v>3.5254901960784313</v>
      </c>
      <c r="V5" s="61" t="str" cm="1">
        <f t="array" ref="V5">IF(B5=0,"—",INDEX($D$4:$P$4,B5))</f>
        <v>—</v>
      </c>
      <c r="W5" s="29"/>
      <c r="X5" s="29" t="str">
        <f>D$4</f>
        <v>Serving force S0</v>
      </c>
      <c r="Y5" s="59">
        <f>U6</f>
        <v>3.0549019607843135</v>
      </c>
      <c r="Z5" s="59">
        <f>U7</f>
        <v>3.8392156862745099</v>
      </c>
      <c r="AA5" s="59">
        <f t="shared" ref="AA5:AA17" si="0">ABS(Z5-Y5)</f>
        <v>0.7843137254901964</v>
      </c>
      <c r="AB5" s="29">
        <f>D6</f>
        <v>680000</v>
      </c>
      <c r="AC5" s="29">
        <f>D7</f>
        <v>880000</v>
      </c>
    </row>
    <row r="6" spans="1:29" x14ac:dyDescent="0.35">
      <c r="A6" s="29" t="s">
        <v>257</v>
      </c>
      <c r="B6" s="29">
        <v>1</v>
      </c>
      <c r="C6" s="29">
        <v>1</v>
      </c>
      <c r="D6" s="37" cm="1">
        <f t="array" ref="D6">IF($B6=D$2,INDEX(Inputs!$B$1:$D$80,D$3,$C6),INDEX(Inputs!$B$1:$D$80,D$3,2))</f>
        <v>680000</v>
      </c>
      <c r="E6" s="37" cm="1">
        <f t="array" ref="E6">IF($B6=E$2,INDEX(Inputs!$B$1:$D$80,E$3,$C6),INDEX(Inputs!$B$1:$D$80,E$3,2))</f>
        <v>4500000</v>
      </c>
      <c r="F6" s="37" cm="1">
        <f t="array" ref="F6">IF($B6=F$2,INDEX(Inputs!$B$1:$D$80,F$3,$C6),INDEX(Inputs!$B$1:$D$80,F$3,2))</f>
        <v>1200000</v>
      </c>
      <c r="G6" s="58" cm="1">
        <f t="array" ref="G6">IF($B6=G$2,INDEX(Inputs!$B$1:$D$80,G$3,$C6),INDEX(Inputs!$B$1:$D$80,G$3,2))</f>
        <v>0.4</v>
      </c>
      <c r="H6" s="58" cm="1">
        <f t="array" ref="H6">IF($B6=H$2,INDEX(Inputs!$B$1:$D$80,H$3,$C6),INDEX(Inputs!$B$1:$D$80,H$3,2))</f>
        <v>0.3</v>
      </c>
      <c r="I6" s="37" cm="1">
        <f t="array" ref="I6">IF($B6=I$2,INDEX(Inputs!$B$1:$D$80,I$3,$C6),INDEX(Inputs!$B$1:$D$80,I$3,2))</f>
        <v>1200</v>
      </c>
      <c r="J6" s="37" cm="1">
        <f t="array" ref="J6">IF($B6=J$2,INDEX(Inputs!$B$1:$D$80,J$3,$C6),INDEX(Inputs!$B$1:$D$80,J$3,2))</f>
        <v>125</v>
      </c>
      <c r="K6" s="58" cm="1">
        <f t="array" ref="K6">IF($B6=K$2,INDEX(Inputs!$B$1:$D$80,K$3,$C6),INDEX(Inputs!$B$1:$D$80,K$3,2))</f>
        <v>2.2999999999999998</v>
      </c>
      <c r="L6" s="37" cm="1">
        <f t="array" ref="L6">IF($B6=L$2,INDEX(Inputs!$B$1:$D$80,L$3,$C6),INDEX(Inputs!$B$1:$D$80,L$3,2))</f>
        <v>12500</v>
      </c>
      <c r="M6" s="37" cm="1">
        <f t="array" ref="M6">IF($B6=M$2,INDEX(Inputs!$B$1:$D$80,M$3,$C6),INDEX(Inputs!$B$1:$D$80,M$3,2))</f>
        <v>15000</v>
      </c>
      <c r="N6" s="58" cm="1">
        <f t="array" ref="N6">IF($B6=N$2,INDEX(Inputs!$B$1:$D$80,N$3,$C6),INDEX(Inputs!$B$1:$D$80,N$3,2))</f>
        <v>0.55000000000000004</v>
      </c>
      <c r="O6" s="37" cm="1">
        <f t="array" ref="O6">IF($B6=O$2,INDEX(Inputs!$B$1:$D$80,O$3,$C6),INDEX(Inputs!$B$1:$D$80,O$3,2))</f>
        <v>2000</v>
      </c>
      <c r="P6" s="37" cm="1">
        <f t="array" ref="P6">IF($B6=P$2,INDEX(Inputs!$B$1:$D$80,P$3,$C6),INDEX(Inputs!$B$1:$D$80,P$3,2))</f>
        <v>30000</v>
      </c>
      <c r="Q6" s="37">
        <f t="shared" ref="Q6:Q31" si="1">(E6-F6)*(1-G6)*H6</f>
        <v>594000</v>
      </c>
      <c r="R6" s="37">
        <f t="shared" ref="R6:R31" si="2">D6+Q6</f>
        <v>1274000</v>
      </c>
      <c r="S6" s="37">
        <f t="shared" ref="S6:S31" si="3">I6*J6*(1+K6)</f>
        <v>495000</v>
      </c>
      <c r="T6" s="37">
        <f t="shared" ref="T6:T31" si="4">L6+M6*(1-N6)+O6</f>
        <v>21250</v>
      </c>
      <c r="U6" s="59">
        <f t="shared" ref="U6:U31" si="5">_xlfn.LET(_xlpm.S0,D6,_xlpm.R0,Q6,_xlpm.Qm,S6,_xlpm.d,T6,_xlpm.c,MIN(P6,_xlpm.d),_xlpm.dec,_xlpm.d-_xlpm.c,_xlpm.TR,_xlpm.R0/_xlpm.c,IF(_xlpm.S0&lt;_xlpm.Qm,0,IF(AND(_xlpm.dec&gt;0,(_xlpm.S0-_xlpm.Qm)/MAX(_xlpm.dec,1)&lt;_xlpm.TR),(_xlpm.S0-_xlpm.Qm)/_xlpm.dec,_xlpm.TR+(_xlpm.S0-_xlpm.dec*_xlpm.TR-_xlpm.Qm)/_xlpm.d))/12)</f>
        <v>3.0549019607843135</v>
      </c>
      <c r="V6" s="29" t="str" cm="1">
        <f t="array" ref="V6">IF(B6=0,"—",INDEX($D$4:$P$4,B6))</f>
        <v>Serving force S0</v>
      </c>
      <c r="W6" s="29"/>
      <c r="X6" s="29" t="str">
        <f>E$4</f>
        <v>Civilian men 25–60</v>
      </c>
      <c r="Y6" s="59">
        <f>U8</f>
        <v>3.172549019607843</v>
      </c>
      <c r="Z6" s="59">
        <f>U9</f>
        <v>3.8784313725490196</v>
      </c>
      <c r="AA6" s="59">
        <f t="shared" si="0"/>
        <v>0.70588235294117663</v>
      </c>
      <c r="AB6" s="29">
        <f>E8</f>
        <v>4000000</v>
      </c>
      <c r="AC6" s="29">
        <f>E9</f>
        <v>5000000</v>
      </c>
    </row>
    <row r="7" spans="1:29" x14ac:dyDescent="0.35">
      <c r="A7" s="29" t="s">
        <v>258</v>
      </c>
      <c r="B7" s="29">
        <v>1</v>
      </c>
      <c r="C7" s="29">
        <v>3</v>
      </c>
      <c r="D7" s="37" cm="1">
        <f t="array" ref="D7">IF($B7=D$2,INDEX(Inputs!$B$1:$D$80,D$3,$C7),INDEX(Inputs!$B$1:$D$80,D$3,2))</f>
        <v>880000</v>
      </c>
      <c r="E7" s="37" cm="1">
        <f t="array" ref="E7">IF($B7=E$2,INDEX(Inputs!$B$1:$D$80,E$3,$C7),INDEX(Inputs!$B$1:$D$80,E$3,2))</f>
        <v>4500000</v>
      </c>
      <c r="F7" s="37" cm="1">
        <f t="array" ref="F7">IF($B7=F$2,INDEX(Inputs!$B$1:$D$80,F$3,$C7),INDEX(Inputs!$B$1:$D$80,F$3,2))</f>
        <v>1200000</v>
      </c>
      <c r="G7" s="58" cm="1">
        <f t="array" ref="G7">IF($B7=G$2,INDEX(Inputs!$B$1:$D$80,G$3,$C7),INDEX(Inputs!$B$1:$D$80,G$3,2))</f>
        <v>0.4</v>
      </c>
      <c r="H7" s="58" cm="1">
        <f t="array" ref="H7">IF($B7=H$2,INDEX(Inputs!$B$1:$D$80,H$3,$C7),INDEX(Inputs!$B$1:$D$80,H$3,2))</f>
        <v>0.3</v>
      </c>
      <c r="I7" s="37" cm="1">
        <f t="array" ref="I7">IF($B7=I$2,INDEX(Inputs!$B$1:$D$80,I$3,$C7),INDEX(Inputs!$B$1:$D$80,I$3,2))</f>
        <v>1200</v>
      </c>
      <c r="J7" s="37" cm="1">
        <f t="array" ref="J7">IF($B7=J$2,INDEX(Inputs!$B$1:$D$80,J$3,$C7),INDEX(Inputs!$B$1:$D$80,J$3,2))</f>
        <v>125</v>
      </c>
      <c r="K7" s="58" cm="1">
        <f t="array" ref="K7">IF($B7=K$2,INDEX(Inputs!$B$1:$D$80,K$3,$C7),INDEX(Inputs!$B$1:$D$80,K$3,2))</f>
        <v>2.2999999999999998</v>
      </c>
      <c r="L7" s="37" cm="1">
        <f t="array" ref="L7">IF($B7=L$2,INDEX(Inputs!$B$1:$D$80,L$3,$C7),INDEX(Inputs!$B$1:$D$80,L$3,2))</f>
        <v>12500</v>
      </c>
      <c r="M7" s="37" cm="1">
        <f t="array" ref="M7">IF($B7=M$2,INDEX(Inputs!$B$1:$D$80,M$3,$C7),INDEX(Inputs!$B$1:$D$80,M$3,2))</f>
        <v>15000</v>
      </c>
      <c r="N7" s="58" cm="1">
        <f t="array" ref="N7">IF($B7=N$2,INDEX(Inputs!$B$1:$D$80,N$3,$C7),INDEX(Inputs!$B$1:$D$80,N$3,2))</f>
        <v>0.55000000000000004</v>
      </c>
      <c r="O7" s="37" cm="1">
        <f t="array" ref="O7">IF($B7=O$2,INDEX(Inputs!$B$1:$D$80,O$3,$C7),INDEX(Inputs!$B$1:$D$80,O$3,2))</f>
        <v>2000</v>
      </c>
      <c r="P7" s="37" cm="1">
        <f t="array" ref="P7">IF($B7=P$2,INDEX(Inputs!$B$1:$D$80,P$3,$C7),INDEX(Inputs!$B$1:$D$80,P$3,2))</f>
        <v>30000</v>
      </c>
      <c r="Q7" s="37">
        <f t="shared" si="1"/>
        <v>594000</v>
      </c>
      <c r="R7" s="37">
        <f t="shared" si="2"/>
        <v>1474000</v>
      </c>
      <c r="S7" s="37">
        <f t="shared" si="3"/>
        <v>495000</v>
      </c>
      <c r="T7" s="37">
        <f t="shared" si="4"/>
        <v>21250</v>
      </c>
      <c r="U7" s="59">
        <f t="shared" si="5"/>
        <v>3.8392156862745099</v>
      </c>
      <c r="V7" s="29" t="str" cm="1">
        <f t="array" ref="V7">IF(B7=0,"—",INDEX($D$4:$P$4,B7))</f>
        <v>Serving force S0</v>
      </c>
      <c r="W7" s="29"/>
      <c r="X7" s="29" t="str">
        <f>F$4</f>
        <v>Reserved workers</v>
      </c>
      <c r="Y7" s="59">
        <f>U10</f>
        <v>3.4549019607843139</v>
      </c>
      <c r="Z7" s="59">
        <f>U11</f>
        <v>3.6666666666666665</v>
      </c>
      <c r="AA7" s="59">
        <f t="shared" si="0"/>
        <v>0.21176470588235263</v>
      </c>
      <c r="AB7" s="29">
        <f>F10</f>
        <v>1300000</v>
      </c>
      <c r="AC7" s="29">
        <f>F11</f>
        <v>1000000</v>
      </c>
    </row>
    <row r="8" spans="1:29" x14ac:dyDescent="0.35">
      <c r="A8" s="29" t="s">
        <v>259</v>
      </c>
      <c r="B8" s="29">
        <v>2</v>
      </c>
      <c r="C8" s="29">
        <v>1</v>
      </c>
      <c r="D8" s="37" cm="1">
        <f t="array" ref="D8">IF($B8=D$2,INDEX(Inputs!$B$1:$D$80,D$3,$C8),INDEX(Inputs!$B$1:$D$80,D$3,2))</f>
        <v>800000</v>
      </c>
      <c r="E8" s="37" cm="1">
        <f t="array" ref="E8">IF($B8=E$2,INDEX(Inputs!$B$1:$D$80,E$3,$C8),INDEX(Inputs!$B$1:$D$80,E$3,2))</f>
        <v>4000000</v>
      </c>
      <c r="F8" s="37" cm="1">
        <f t="array" ref="F8">IF($B8=F$2,INDEX(Inputs!$B$1:$D$80,F$3,$C8),INDEX(Inputs!$B$1:$D$80,F$3,2))</f>
        <v>1200000</v>
      </c>
      <c r="G8" s="58" cm="1">
        <f t="array" ref="G8">IF($B8=G$2,INDEX(Inputs!$B$1:$D$80,G$3,$C8),INDEX(Inputs!$B$1:$D$80,G$3,2))</f>
        <v>0.4</v>
      </c>
      <c r="H8" s="58" cm="1">
        <f t="array" ref="H8">IF($B8=H$2,INDEX(Inputs!$B$1:$D$80,H$3,$C8),INDEX(Inputs!$B$1:$D$80,H$3,2))</f>
        <v>0.3</v>
      </c>
      <c r="I8" s="37" cm="1">
        <f t="array" ref="I8">IF($B8=I$2,INDEX(Inputs!$B$1:$D$80,I$3,$C8),INDEX(Inputs!$B$1:$D$80,I$3,2))</f>
        <v>1200</v>
      </c>
      <c r="J8" s="37" cm="1">
        <f t="array" ref="J8">IF($B8=J$2,INDEX(Inputs!$B$1:$D$80,J$3,$C8),INDEX(Inputs!$B$1:$D$80,J$3,2))</f>
        <v>125</v>
      </c>
      <c r="K8" s="58" cm="1">
        <f t="array" ref="K8">IF($B8=K$2,INDEX(Inputs!$B$1:$D$80,K$3,$C8),INDEX(Inputs!$B$1:$D$80,K$3,2))</f>
        <v>2.2999999999999998</v>
      </c>
      <c r="L8" s="37" cm="1">
        <f t="array" ref="L8">IF($B8=L$2,INDEX(Inputs!$B$1:$D$80,L$3,$C8),INDEX(Inputs!$B$1:$D$80,L$3,2))</f>
        <v>12500</v>
      </c>
      <c r="M8" s="37" cm="1">
        <f t="array" ref="M8">IF($B8=M$2,INDEX(Inputs!$B$1:$D$80,M$3,$C8),INDEX(Inputs!$B$1:$D$80,M$3,2))</f>
        <v>15000</v>
      </c>
      <c r="N8" s="58" cm="1">
        <f t="array" ref="N8">IF($B8=N$2,INDEX(Inputs!$B$1:$D$80,N$3,$C8),INDEX(Inputs!$B$1:$D$80,N$3,2))</f>
        <v>0.55000000000000004</v>
      </c>
      <c r="O8" s="37" cm="1">
        <f t="array" ref="O8">IF($B8=O$2,INDEX(Inputs!$B$1:$D$80,O$3,$C8),INDEX(Inputs!$B$1:$D$80,O$3,2))</f>
        <v>2000</v>
      </c>
      <c r="P8" s="37" cm="1">
        <f t="array" ref="P8">IF($B8=P$2,INDEX(Inputs!$B$1:$D$80,P$3,$C8),INDEX(Inputs!$B$1:$D$80,P$3,2))</f>
        <v>30000</v>
      </c>
      <c r="Q8" s="37">
        <f t="shared" si="1"/>
        <v>504000</v>
      </c>
      <c r="R8" s="37">
        <f t="shared" si="2"/>
        <v>1304000</v>
      </c>
      <c r="S8" s="37">
        <f t="shared" si="3"/>
        <v>495000</v>
      </c>
      <c r="T8" s="37">
        <f t="shared" si="4"/>
        <v>21250</v>
      </c>
      <c r="U8" s="59">
        <f t="shared" si="5"/>
        <v>3.172549019607843</v>
      </c>
      <c r="V8" s="29" t="str" cm="1">
        <f t="array" ref="V8">IF(B8=0,"—",INDEX($D$4:$P$4,B8))</f>
        <v>Civilian men 25–60</v>
      </c>
      <c r="W8" s="29"/>
      <c r="X8" s="29" t="str">
        <f>G$4</f>
        <v>Unfit/exempt share</v>
      </c>
      <c r="Y8" s="59">
        <f>U12</f>
        <v>3.331372549019608</v>
      </c>
      <c r="Z8" s="59">
        <f>U13</f>
        <v>3.7196078431372546</v>
      </c>
      <c r="AA8" s="59">
        <f t="shared" si="0"/>
        <v>0.38823529411764657</v>
      </c>
      <c r="AB8" s="29">
        <f>G12</f>
        <v>0.45</v>
      </c>
      <c r="AC8" s="29">
        <f>G13</f>
        <v>0.35</v>
      </c>
    </row>
    <row r="9" spans="1:29" x14ac:dyDescent="0.35">
      <c r="A9" s="29" t="s">
        <v>260</v>
      </c>
      <c r="B9" s="29">
        <v>2</v>
      </c>
      <c r="C9" s="29">
        <v>3</v>
      </c>
      <c r="D9" s="37" cm="1">
        <f t="array" ref="D9">IF($B9=D$2,INDEX(Inputs!$B$1:$D$80,D$3,$C9),INDEX(Inputs!$B$1:$D$80,D$3,2))</f>
        <v>800000</v>
      </c>
      <c r="E9" s="37" cm="1">
        <f t="array" ref="E9">IF($B9=E$2,INDEX(Inputs!$B$1:$D$80,E$3,$C9),INDEX(Inputs!$B$1:$D$80,E$3,2))</f>
        <v>5000000</v>
      </c>
      <c r="F9" s="37" cm="1">
        <f t="array" ref="F9">IF($B9=F$2,INDEX(Inputs!$B$1:$D$80,F$3,$C9),INDEX(Inputs!$B$1:$D$80,F$3,2))</f>
        <v>1200000</v>
      </c>
      <c r="G9" s="58" cm="1">
        <f t="array" ref="G9">IF($B9=G$2,INDEX(Inputs!$B$1:$D$80,G$3,$C9),INDEX(Inputs!$B$1:$D$80,G$3,2))</f>
        <v>0.4</v>
      </c>
      <c r="H9" s="58" cm="1">
        <f t="array" ref="H9">IF($B9=H$2,INDEX(Inputs!$B$1:$D$80,H$3,$C9),INDEX(Inputs!$B$1:$D$80,H$3,2))</f>
        <v>0.3</v>
      </c>
      <c r="I9" s="37" cm="1">
        <f t="array" ref="I9">IF($B9=I$2,INDEX(Inputs!$B$1:$D$80,I$3,$C9),INDEX(Inputs!$B$1:$D$80,I$3,2))</f>
        <v>1200</v>
      </c>
      <c r="J9" s="37" cm="1">
        <f t="array" ref="J9">IF($B9=J$2,INDEX(Inputs!$B$1:$D$80,J$3,$C9),INDEX(Inputs!$B$1:$D$80,J$3,2))</f>
        <v>125</v>
      </c>
      <c r="K9" s="58" cm="1">
        <f t="array" ref="K9">IF($B9=K$2,INDEX(Inputs!$B$1:$D$80,K$3,$C9),INDEX(Inputs!$B$1:$D$80,K$3,2))</f>
        <v>2.2999999999999998</v>
      </c>
      <c r="L9" s="37" cm="1">
        <f t="array" ref="L9">IF($B9=L$2,INDEX(Inputs!$B$1:$D$80,L$3,$C9),INDEX(Inputs!$B$1:$D$80,L$3,2))</f>
        <v>12500</v>
      </c>
      <c r="M9" s="37" cm="1">
        <f t="array" ref="M9">IF($B9=M$2,INDEX(Inputs!$B$1:$D$80,M$3,$C9),INDEX(Inputs!$B$1:$D$80,M$3,2))</f>
        <v>15000</v>
      </c>
      <c r="N9" s="58" cm="1">
        <f t="array" ref="N9">IF($B9=N$2,INDEX(Inputs!$B$1:$D$80,N$3,$C9),INDEX(Inputs!$B$1:$D$80,N$3,2))</f>
        <v>0.55000000000000004</v>
      </c>
      <c r="O9" s="37" cm="1">
        <f t="array" ref="O9">IF($B9=O$2,INDEX(Inputs!$B$1:$D$80,O$3,$C9),INDEX(Inputs!$B$1:$D$80,O$3,2))</f>
        <v>2000</v>
      </c>
      <c r="P9" s="37" cm="1">
        <f t="array" ref="P9">IF($B9=P$2,INDEX(Inputs!$B$1:$D$80,P$3,$C9),INDEX(Inputs!$B$1:$D$80,P$3,2))</f>
        <v>30000</v>
      </c>
      <c r="Q9" s="37">
        <f t="shared" si="1"/>
        <v>684000</v>
      </c>
      <c r="R9" s="37">
        <f t="shared" si="2"/>
        <v>1484000</v>
      </c>
      <c r="S9" s="37">
        <f t="shared" si="3"/>
        <v>495000</v>
      </c>
      <c r="T9" s="37">
        <f t="shared" si="4"/>
        <v>21250</v>
      </c>
      <c r="U9" s="59">
        <f t="shared" si="5"/>
        <v>3.8784313725490196</v>
      </c>
      <c r="V9" s="29" t="str" cm="1">
        <f t="array" ref="V9">IF(B9=0,"—",INDEX($D$4:$P$4,B9))</f>
        <v>Civilian men 25–60</v>
      </c>
      <c r="W9" s="29"/>
      <c r="X9" s="29" t="str">
        <f>H$4</f>
        <v>Reachability</v>
      </c>
      <c r="Y9" s="59">
        <f>U14</f>
        <v>3.1372549019607843</v>
      </c>
      <c r="Z9" s="59">
        <f>U15</f>
        <v>3.9137254901960783</v>
      </c>
      <c r="AA9" s="59">
        <f t="shared" si="0"/>
        <v>0.77647058823529402</v>
      </c>
      <c r="AB9" s="29">
        <f>H14</f>
        <v>0.25</v>
      </c>
      <c r="AC9" s="29">
        <f>H15</f>
        <v>0.35</v>
      </c>
    </row>
    <row r="10" spans="1:29" x14ac:dyDescent="0.35">
      <c r="A10" s="29" t="s">
        <v>261</v>
      </c>
      <c r="B10" s="29">
        <v>3</v>
      </c>
      <c r="C10" s="29">
        <v>1</v>
      </c>
      <c r="D10" s="37" cm="1">
        <f t="array" ref="D10">IF($B10=D$2,INDEX(Inputs!$B$1:$D$80,D$3,$C10),INDEX(Inputs!$B$1:$D$80,D$3,2))</f>
        <v>800000</v>
      </c>
      <c r="E10" s="37" cm="1">
        <f t="array" ref="E10">IF($B10=E$2,INDEX(Inputs!$B$1:$D$80,E$3,$C10),INDEX(Inputs!$B$1:$D$80,E$3,2))</f>
        <v>4500000</v>
      </c>
      <c r="F10" s="37" cm="1">
        <f t="array" ref="F10">IF($B10=F$2,INDEX(Inputs!$B$1:$D$80,F$3,$C10),INDEX(Inputs!$B$1:$D$80,F$3,2))</f>
        <v>1300000</v>
      </c>
      <c r="G10" s="58" cm="1">
        <f t="array" ref="G10">IF($B10=G$2,INDEX(Inputs!$B$1:$D$80,G$3,$C10),INDEX(Inputs!$B$1:$D$80,G$3,2))</f>
        <v>0.4</v>
      </c>
      <c r="H10" s="58" cm="1">
        <f t="array" ref="H10">IF($B10=H$2,INDEX(Inputs!$B$1:$D$80,H$3,$C10),INDEX(Inputs!$B$1:$D$80,H$3,2))</f>
        <v>0.3</v>
      </c>
      <c r="I10" s="37" cm="1">
        <f t="array" ref="I10">IF($B10=I$2,INDEX(Inputs!$B$1:$D$80,I$3,$C10),INDEX(Inputs!$B$1:$D$80,I$3,2))</f>
        <v>1200</v>
      </c>
      <c r="J10" s="37" cm="1">
        <f t="array" ref="J10">IF($B10=J$2,INDEX(Inputs!$B$1:$D$80,J$3,$C10),INDEX(Inputs!$B$1:$D$80,J$3,2))</f>
        <v>125</v>
      </c>
      <c r="K10" s="58" cm="1">
        <f t="array" ref="K10">IF($B10=K$2,INDEX(Inputs!$B$1:$D$80,K$3,$C10),INDEX(Inputs!$B$1:$D$80,K$3,2))</f>
        <v>2.2999999999999998</v>
      </c>
      <c r="L10" s="37" cm="1">
        <f t="array" ref="L10">IF($B10=L$2,INDEX(Inputs!$B$1:$D$80,L$3,$C10),INDEX(Inputs!$B$1:$D$80,L$3,2))</f>
        <v>12500</v>
      </c>
      <c r="M10" s="37" cm="1">
        <f t="array" ref="M10">IF($B10=M$2,INDEX(Inputs!$B$1:$D$80,M$3,$C10),INDEX(Inputs!$B$1:$D$80,M$3,2))</f>
        <v>15000</v>
      </c>
      <c r="N10" s="58" cm="1">
        <f t="array" ref="N10">IF($B10=N$2,INDEX(Inputs!$B$1:$D$80,N$3,$C10),INDEX(Inputs!$B$1:$D$80,N$3,2))</f>
        <v>0.55000000000000004</v>
      </c>
      <c r="O10" s="37" cm="1">
        <f t="array" ref="O10">IF($B10=O$2,INDEX(Inputs!$B$1:$D$80,O$3,$C10),INDEX(Inputs!$B$1:$D$80,O$3,2))</f>
        <v>2000</v>
      </c>
      <c r="P10" s="37" cm="1">
        <f t="array" ref="P10">IF($B10=P$2,INDEX(Inputs!$B$1:$D$80,P$3,$C10),INDEX(Inputs!$B$1:$D$80,P$3,2))</f>
        <v>30000</v>
      </c>
      <c r="Q10" s="37">
        <f t="shared" si="1"/>
        <v>576000</v>
      </c>
      <c r="R10" s="37">
        <f t="shared" si="2"/>
        <v>1376000</v>
      </c>
      <c r="S10" s="37">
        <f t="shared" si="3"/>
        <v>495000</v>
      </c>
      <c r="T10" s="37">
        <f t="shared" si="4"/>
        <v>21250</v>
      </c>
      <c r="U10" s="59">
        <f t="shared" si="5"/>
        <v>3.4549019607843139</v>
      </c>
      <c r="V10" s="29" t="str" cm="1">
        <f t="array" ref="V10">IF(B10=0,"—",INDEX($D$4:$P$4,B10))</f>
        <v>Reserved workers</v>
      </c>
      <c r="W10" s="29"/>
      <c r="X10" s="29" t="str">
        <f>I$4</f>
        <v>Front length (km)</v>
      </c>
      <c r="Y10" s="59">
        <f>U16</f>
        <v>3.4446078431372551</v>
      </c>
      <c r="Z10" s="59">
        <f>U17</f>
        <v>3.6063725490196084</v>
      </c>
      <c r="AA10" s="59">
        <f t="shared" si="0"/>
        <v>0.16176470588235325</v>
      </c>
      <c r="AB10" s="29">
        <f>I16</f>
        <v>1250</v>
      </c>
      <c r="AC10" s="29">
        <f>I17</f>
        <v>1150</v>
      </c>
    </row>
    <row r="11" spans="1:29" x14ac:dyDescent="0.35">
      <c r="A11" s="29" t="s">
        <v>262</v>
      </c>
      <c r="B11" s="29">
        <v>3</v>
      </c>
      <c r="C11" s="29">
        <v>3</v>
      </c>
      <c r="D11" s="37" cm="1">
        <f t="array" ref="D11">IF($B11=D$2,INDEX(Inputs!$B$1:$D$80,D$3,$C11),INDEX(Inputs!$B$1:$D$80,D$3,2))</f>
        <v>800000</v>
      </c>
      <c r="E11" s="37" cm="1">
        <f t="array" ref="E11">IF($B11=E$2,INDEX(Inputs!$B$1:$D$80,E$3,$C11),INDEX(Inputs!$B$1:$D$80,E$3,2))</f>
        <v>4500000</v>
      </c>
      <c r="F11" s="37" cm="1">
        <f t="array" ref="F11">IF($B11=F$2,INDEX(Inputs!$B$1:$D$80,F$3,$C11),INDEX(Inputs!$B$1:$D$80,F$3,2))</f>
        <v>1000000</v>
      </c>
      <c r="G11" s="58" cm="1">
        <f t="array" ref="G11">IF($B11=G$2,INDEX(Inputs!$B$1:$D$80,G$3,$C11),INDEX(Inputs!$B$1:$D$80,G$3,2))</f>
        <v>0.4</v>
      </c>
      <c r="H11" s="58" cm="1">
        <f t="array" ref="H11">IF($B11=H$2,INDEX(Inputs!$B$1:$D$80,H$3,$C11),INDEX(Inputs!$B$1:$D$80,H$3,2))</f>
        <v>0.3</v>
      </c>
      <c r="I11" s="37" cm="1">
        <f t="array" ref="I11">IF($B11=I$2,INDEX(Inputs!$B$1:$D$80,I$3,$C11),INDEX(Inputs!$B$1:$D$80,I$3,2))</f>
        <v>1200</v>
      </c>
      <c r="J11" s="37" cm="1">
        <f t="array" ref="J11">IF($B11=J$2,INDEX(Inputs!$B$1:$D$80,J$3,$C11),INDEX(Inputs!$B$1:$D$80,J$3,2))</f>
        <v>125</v>
      </c>
      <c r="K11" s="58" cm="1">
        <f t="array" ref="K11">IF($B11=K$2,INDEX(Inputs!$B$1:$D$80,K$3,$C11),INDEX(Inputs!$B$1:$D$80,K$3,2))</f>
        <v>2.2999999999999998</v>
      </c>
      <c r="L11" s="37" cm="1">
        <f t="array" ref="L11">IF($B11=L$2,INDEX(Inputs!$B$1:$D$80,L$3,$C11),INDEX(Inputs!$B$1:$D$80,L$3,2))</f>
        <v>12500</v>
      </c>
      <c r="M11" s="37" cm="1">
        <f t="array" ref="M11">IF($B11=M$2,INDEX(Inputs!$B$1:$D$80,M$3,$C11),INDEX(Inputs!$B$1:$D$80,M$3,2))</f>
        <v>15000</v>
      </c>
      <c r="N11" s="58" cm="1">
        <f t="array" ref="N11">IF($B11=N$2,INDEX(Inputs!$B$1:$D$80,N$3,$C11),INDEX(Inputs!$B$1:$D$80,N$3,2))</f>
        <v>0.55000000000000004</v>
      </c>
      <c r="O11" s="37" cm="1">
        <f t="array" ref="O11">IF($B11=O$2,INDEX(Inputs!$B$1:$D$80,O$3,$C11),INDEX(Inputs!$B$1:$D$80,O$3,2))</f>
        <v>2000</v>
      </c>
      <c r="P11" s="37" cm="1">
        <f t="array" ref="P11">IF($B11=P$2,INDEX(Inputs!$B$1:$D$80,P$3,$C11),INDEX(Inputs!$B$1:$D$80,P$3,2))</f>
        <v>30000</v>
      </c>
      <c r="Q11" s="37">
        <f t="shared" si="1"/>
        <v>630000</v>
      </c>
      <c r="R11" s="37">
        <f t="shared" si="2"/>
        <v>1430000</v>
      </c>
      <c r="S11" s="37">
        <f t="shared" si="3"/>
        <v>495000</v>
      </c>
      <c r="T11" s="37">
        <f t="shared" si="4"/>
        <v>21250</v>
      </c>
      <c r="U11" s="59">
        <f t="shared" si="5"/>
        <v>3.6666666666666665</v>
      </c>
      <c r="V11" s="29" t="str" cm="1">
        <f t="array" ref="V11">IF(B11=0,"—",INDEX($D$4:$P$4,B11))</f>
        <v>Reserved workers</v>
      </c>
      <c r="W11" s="29"/>
      <c r="X11" s="29" t="str">
        <f>J$4</f>
        <v>Line troops per km</v>
      </c>
      <c r="Y11" s="59">
        <f>U18</f>
        <v>3.2925490196078435</v>
      </c>
      <c r="Z11" s="59">
        <f>U19</f>
        <v>3.7584313725490195</v>
      </c>
      <c r="AA11" s="59">
        <f t="shared" si="0"/>
        <v>0.46588235294117597</v>
      </c>
      <c r="AB11" s="29">
        <f>J18</f>
        <v>140</v>
      </c>
      <c r="AC11" s="29">
        <f>J19</f>
        <v>110</v>
      </c>
    </row>
    <row r="12" spans="1:29" x14ac:dyDescent="0.35">
      <c r="A12" s="29" t="s">
        <v>263</v>
      </c>
      <c r="B12" s="29">
        <v>4</v>
      </c>
      <c r="C12" s="29">
        <v>1</v>
      </c>
      <c r="D12" s="37" cm="1">
        <f t="array" ref="D12">IF($B12=D$2,INDEX(Inputs!$B$1:$D$80,D$3,$C12),INDEX(Inputs!$B$1:$D$80,D$3,2))</f>
        <v>800000</v>
      </c>
      <c r="E12" s="37" cm="1">
        <f t="array" ref="E12">IF($B12=E$2,INDEX(Inputs!$B$1:$D$80,E$3,$C12),INDEX(Inputs!$B$1:$D$80,E$3,2))</f>
        <v>4500000</v>
      </c>
      <c r="F12" s="37" cm="1">
        <f t="array" ref="F12">IF($B12=F$2,INDEX(Inputs!$B$1:$D$80,F$3,$C12),INDEX(Inputs!$B$1:$D$80,F$3,2))</f>
        <v>1200000</v>
      </c>
      <c r="G12" s="58" cm="1">
        <f t="array" ref="G12">IF($B12=G$2,INDEX(Inputs!$B$1:$D$80,G$3,$C12),INDEX(Inputs!$B$1:$D$80,G$3,2))</f>
        <v>0.45</v>
      </c>
      <c r="H12" s="58" cm="1">
        <f t="array" ref="H12">IF($B12=H$2,INDEX(Inputs!$B$1:$D$80,H$3,$C12),INDEX(Inputs!$B$1:$D$80,H$3,2))</f>
        <v>0.3</v>
      </c>
      <c r="I12" s="37" cm="1">
        <f t="array" ref="I12">IF($B12=I$2,INDEX(Inputs!$B$1:$D$80,I$3,$C12),INDEX(Inputs!$B$1:$D$80,I$3,2))</f>
        <v>1200</v>
      </c>
      <c r="J12" s="37" cm="1">
        <f t="array" ref="J12">IF($B12=J$2,INDEX(Inputs!$B$1:$D$80,J$3,$C12),INDEX(Inputs!$B$1:$D$80,J$3,2))</f>
        <v>125</v>
      </c>
      <c r="K12" s="58" cm="1">
        <f t="array" ref="K12">IF($B12=K$2,INDEX(Inputs!$B$1:$D$80,K$3,$C12),INDEX(Inputs!$B$1:$D$80,K$3,2))</f>
        <v>2.2999999999999998</v>
      </c>
      <c r="L12" s="37" cm="1">
        <f t="array" ref="L12">IF($B12=L$2,INDEX(Inputs!$B$1:$D$80,L$3,$C12),INDEX(Inputs!$B$1:$D$80,L$3,2))</f>
        <v>12500</v>
      </c>
      <c r="M12" s="37" cm="1">
        <f t="array" ref="M12">IF($B12=M$2,INDEX(Inputs!$B$1:$D$80,M$3,$C12),INDEX(Inputs!$B$1:$D$80,M$3,2))</f>
        <v>15000</v>
      </c>
      <c r="N12" s="58" cm="1">
        <f t="array" ref="N12">IF($B12=N$2,INDEX(Inputs!$B$1:$D$80,N$3,$C12),INDEX(Inputs!$B$1:$D$80,N$3,2))</f>
        <v>0.55000000000000004</v>
      </c>
      <c r="O12" s="37" cm="1">
        <f t="array" ref="O12">IF($B12=O$2,INDEX(Inputs!$B$1:$D$80,O$3,$C12),INDEX(Inputs!$B$1:$D$80,O$3,2))</f>
        <v>2000</v>
      </c>
      <c r="P12" s="37" cm="1">
        <f t="array" ref="P12">IF($B12=P$2,INDEX(Inputs!$B$1:$D$80,P$3,$C12),INDEX(Inputs!$B$1:$D$80,P$3,2))</f>
        <v>30000</v>
      </c>
      <c r="Q12" s="37">
        <f t="shared" si="1"/>
        <v>544500</v>
      </c>
      <c r="R12" s="37">
        <f t="shared" si="2"/>
        <v>1344500</v>
      </c>
      <c r="S12" s="37">
        <f t="shared" si="3"/>
        <v>495000</v>
      </c>
      <c r="T12" s="37">
        <f t="shared" si="4"/>
        <v>21250</v>
      </c>
      <c r="U12" s="59">
        <f t="shared" si="5"/>
        <v>3.331372549019608</v>
      </c>
      <c r="V12" s="29" t="str" cm="1">
        <f t="array" ref="V12">IF(B12=0,"—",INDEX($D$4:$P$4,B12))</f>
        <v>Unfit/exempt share</v>
      </c>
      <c r="W12" s="29"/>
      <c r="X12" s="29" t="str">
        <f>K$4</f>
        <v>Support ratio</v>
      </c>
      <c r="Y12" s="59">
        <f>U20</f>
        <v>3.4666666666666668</v>
      </c>
      <c r="Z12" s="59">
        <f>U21</f>
        <v>3.5843137254901962</v>
      </c>
      <c r="AA12" s="59">
        <f t="shared" si="0"/>
        <v>0.11764705882352944</v>
      </c>
      <c r="AB12" s="29">
        <f>K20</f>
        <v>2.4</v>
      </c>
      <c r="AC12" s="29">
        <f>K21</f>
        <v>2.2000000000000002</v>
      </c>
    </row>
    <row r="13" spans="1:29" x14ac:dyDescent="0.35">
      <c r="A13" s="29" t="s">
        <v>264</v>
      </c>
      <c r="B13" s="29">
        <v>4</v>
      </c>
      <c r="C13" s="29">
        <v>3</v>
      </c>
      <c r="D13" s="37" cm="1">
        <f t="array" ref="D13">IF($B13=D$2,INDEX(Inputs!$B$1:$D$80,D$3,$C13),INDEX(Inputs!$B$1:$D$80,D$3,2))</f>
        <v>800000</v>
      </c>
      <c r="E13" s="37" cm="1">
        <f t="array" ref="E13">IF($B13=E$2,INDEX(Inputs!$B$1:$D$80,E$3,$C13),INDEX(Inputs!$B$1:$D$80,E$3,2))</f>
        <v>4500000</v>
      </c>
      <c r="F13" s="37" cm="1">
        <f t="array" ref="F13">IF($B13=F$2,INDEX(Inputs!$B$1:$D$80,F$3,$C13),INDEX(Inputs!$B$1:$D$80,F$3,2))</f>
        <v>1200000</v>
      </c>
      <c r="G13" s="58" cm="1">
        <f t="array" ref="G13">IF($B13=G$2,INDEX(Inputs!$B$1:$D$80,G$3,$C13),INDEX(Inputs!$B$1:$D$80,G$3,2))</f>
        <v>0.35</v>
      </c>
      <c r="H13" s="58" cm="1">
        <f t="array" ref="H13">IF($B13=H$2,INDEX(Inputs!$B$1:$D$80,H$3,$C13),INDEX(Inputs!$B$1:$D$80,H$3,2))</f>
        <v>0.3</v>
      </c>
      <c r="I13" s="37" cm="1">
        <f t="array" ref="I13">IF($B13=I$2,INDEX(Inputs!$B$1:$D$80,I$3,$C13),INDEX(Inputs!$B$1:$D$80,I$3,2))</f>
        <v>1200</v>
      </c>
      <c r="J13" s="37" cm="1">
        <f t="array" ref="J13">IF($B13=J$2,INDEX(Inputs!$B$1:$D$80,J$3,$C13),INDEX(Inputs!$B$1:$D$80,J$3,2))</f>
        <v>125</v>
      </c>
      <c r="K13" s="58" cm="1">
        <f t="array" ref="K13">IF($B13=K$2,INDEX(Inputs!$B$1:$D$80,K$3,$C13),INDEX(Inputs!$B$1:$D$80,K$3,2))</f>
        <v>2.2999999999999998</v>
      </c>
      <c r="L13" s="37" cm="1">
        <f t="array" ref="L13">IF($B13=L$2,INDEX(Inputs!$B$1:$D$80,L$3,$C13),INDEX(Inputs!$B$1:$D$80,L$3,2))</f>
        <v>12500</v>
      </c>
      <c r="M13" s="37" cm="1">
        <f t="array" ref="M13">IF($B13=M$2,INDEX(Inputs!$B$1:$D$80,M$3,$C13),INDEX(Inputs!$B$1:$D$80,M$3,2))</f>
        <v>15000</v>
      </c>
      <c r="N13" s="58" cm="1">
        <f t="array" ref="N13">IF($B13=N$2,INDEX(Inputs!$B$1:$D$80,N$3,$C13),INDEX(Inputs!$B$1:$D$80,N$3,2))</f>
        <v>0.55000000000000004</v>
      </c>
      <c r="O13" s="37" cm="1">
        <f t="array" ref="O13">IF($B13=O$2,INDEX(Inputs!$B$1:$D$80,O$3,$C13),INDEX(Inputs!$B$1:$D$80,O$3,2))</f>
        <v>2000</v>
      </c>
      <c r="P13" s="37" cm="1">
        <f t="array" ref="P13">IF($B13=P$2,INDEX(Inputs!$B$1:$D$80,P$3,$C13),INDEX(Inputs!$B$1:$D$80,P$3,2))</f>
        <v>30000</v>
      </c>
      <c r="Q13" s="37">
        <f t="shared" si="1"/>
        <v>643500</v>
      </c>
      <c r="R13" s="37">
        <f t="shared" si="2"/>
        <v>1443500</v>
      </c>
      <c r="S13" s="37">
        <f t="shared" si="3"/>
        <v>495000</v>
      </c>
      <c r="T13" s="37">
        <f t="shared" si="4"/>
        <v>21250</v>
      </c>
      <c r="U13" s="59">
        <f t="shared" si="5"/>
        <v>3.7196078431372546</v>
      </c>
      <c r="V13" s="29" t="str" cm="1">
        <f t="array" ref="V13">IF(B13=0,"—",INDEX($D$4:$P$4,B13))</f>
        <v>Unfit/exempt share</v>
      </c>
      <c r="W13" s="29"/>
      <c r="X13" s="29" t="str">
        <f>L$4</f>
        <v>Irrecoverable losses/mo</v>
      </c>
      <c r="Y13" s="59">
        <f>U22</f>
        <v>3.1543859649122807</v>
      </c>
      <c r="Z13" s="59">
        <f>U23</f>
        <v>3.9955555555555553</v>
      </c>
      <c r="AA13" s="59">
        <f t="shared" si="0"/>
        <v>0.84116959064327457</v>
      </c>
      <c r="AB13" s="29">
        <f>L22</f>
        <v>15000</v>
      </c>
      <c r="AC13" s="29">
        <f>L23</f>
        <v>10000</v>
      </c>
    </row>
    <row r="14" spans="1:29" x14ac:dyDescent="0.35">
      <c r="A14" s="29" t="s">
        <v>265</v>
      </c>
      <c r="B14" s="29">
        <v>5</v>
      </c>
      <c r="C14" s="29">
        <v>1</v>
      </c>
      <c r="D14" s="37" cm="1">
        <f t="array" ref="D14">IF($B14=D$2,INDEX(Inputs!$B$1:$D$80,D$3,$C14),INDEX(Inputs!$B$1:$D$80,D$3,2))</f>
        <v>800000</v>
      </c>
      <c r="E14" s="37" cm="1">
        <f t="array" ref="E14">IF($B14=E$2,INDEX(Inputs!$B$1:$D$80,E$3,$C14),INDEX(Inputs!$B$1:$D$80,E$3,2))</f>
        <v>4500000</v>
      </c>
      <c r="F14" s="37" cm="1">
        <f t="array" ref="F14">IF($B14=F$2,INDEX(Inputs!$B$1:$D$80,F$3,$C14),INDEX(Inputs!$B$1:$D$80,F$3,2))</f>
        <v>1200000</v>
      </c>
      <c r="G14" s="58" cm="1">
        <f t="array" ref="G14">IF($B14=G$2,INDEX(Inputs!$B$1:$D$80,G$3,$C14),INDEX(Inputs!$B$1:$D$80,G$3,2))</f>
        <v>0.4</v>
      </c>
      <c r="H14" s="58" cm="1">
        <f t="array" ref="H14">IF($B14=H$2,INDEX(Inputs!$B$1:$D$80,H$3,$C14),INDEX(Inputs!$B$1:$D$80,H$3,2))</f>
        <v>0.25</v>
      </c>
      <c r="I14" s="37" cm="1">
        <f t="array" ref="I14">IF($B14=I$2,INDEX(Inputs!$B$1:$D$80,I$3,$C14),INDEX(Inputs!$B$1:$D$80,I$3,2))</f>
        <v>1200</v>
      </c>
      <c r="J14" s="37" cm="1">
        <f t="array" ref="J14">IF($B14=J$2,INDEX(Inputs!$B$1:$D$80,J$3,$C14),INDEX(Inputs!$B$1:$D$80,J$3,2))</f>
        <v>125</v>
      </c>
      <c r="K14" s="58" cm="1">
        <f t="array" ref="K14">IF($B14=K$2,INDEX(Inputs!$B$1:$D$80,K$3,$C14),INDEX(Inputs!$B$1:$D$80,K$3,2))</f>
        <v>2.2999999999999998</v>
      </c>
      <c r="L14" s="37" cm="1">
        <f t="array" ref="L14">IF($B14=L$2,INDEX(Inputs!$B$1:$D$80,L$3,$C14),INDEX(Inputs!$B$1:$D$80,L$3,2))</f>
        <v>12500</v>
      </c>
      <c r="M14" s="37" cm="1">
        <f t="array" ref="M14">IF($B14=M$2,INDEX(Inputs!$B$1:$D$80,M$3,$C14),INDEX(Inputs!$B$1:$D$80,M$3,2))</f>
        <v>15000</v>
      </c>
      <c r="N14" s="58" cm="1">
        <f t="array" ref="N14">IF($B14=N$2,INDEX(Inputs!$B$1:$D$80,N$3,$C14),INDEX(Inputs!$B$1:$D$80,N$3,2))</f>
        <v>0.55000000000000004</v>
      </c>
      <c r="O14" s="37" cm="1">
        <f t="array" ref="O14">IF($B14=O$2,INDEX(Inputs!$B$1:$D$80,O$3,$C14),INDEX(Inputs!$B$1:$D$80,O$3,2))</f>
        <v>2000</v>
      </c>
      <c r="P14" s="37" cm="1">
        <f t="array" ref="P14">IF($B14=P$2,INDEX(Inputs!$B$1:$D$80,P$3,$C14),INDEX(Inputs!$B$1:$D$80,P$3,2))</f>
        <v>30000</v>
      </c>
      <c r="Q14" s="37">
        <f t="shared" si="1"/>
        <v>495000</v>
      </c>
      <c r="R14" s="37">
        <f t="shared" si="2"/>
        <v>1295000</v>
      </c>
      <c r="S14" s="37">
        <f t="shared" si="3"/>
        <v>495000</v>
      </c>
      <c r="T14" s="37">
        <f t="shared" si="4"/>
        <v>21250</v>
      </c>
      <c r="U14" s="59">
        <f t="shared" si="5"/>
        <v>3.1372549019607843</v>
      </c>
      <c r="V14" s="29" t="str" cm="1">
        <f t="array" ref="V14">IF(B14=0,"—",INDEX($D$4:$P$4,B14))</f>
        <v>Reachability</v>
      </c>
      <c r="W14" s="29"/>
      <c r="X14" s="29" t="str">
        <f>M$4</f>
        <v>AWOL cases/mo</v>
      </c>
      <c r="Y14" s="59">
        <f>U24</f>
        <v>3.3148967551622417</v>
      </c>
      <c r="Z14" s="59">
        <f>U25</f>
        <v>3.7646566164154103</v>
      </c>
      <c r="AA14" s="59">
        <f t="shared" si="0"/>
        <v>0.44975986125316858</v>
      </c>
      <c r="AB14" s="29">
        <f>M24</f>
        <v>18000</v>
      </c>
      <c r="AC14" s="29">
        <f>M25</f>
        <v>12000</v>
      </c>
    </row>
    <row r="15" spans="1:29" x14ac:dyDescent="0.35">
      <c r="A15" s="29" t="s">
        <v>266</v>
      </c>
      <c r="B15" s="29">
        <v>5</v>
      </c>
      <c r="C15" s="29">
        <v>3</v>
      </c>
      <c r="D15" s="37" cm="1">
        <f t="array" ref="D15">IF($B15=D$2,INDEX(Inputs!$B$1:$D$80,D$3,$C15),INDEX(Inputs!$B$1:$D$80,D$3,2))</f>
        <v>800000</v>
      </c>
      <c r="E15" s="37" cm="1">
        <f t="array" ref="E15">IF($B15=E$2,INDEX(Inputs!$B$1:$D$80,E$3,$C15),INDEX(Inputs!$B$1:$D$80,E$3,2))</f>
        <v>4500000</v>
      </c>
      <c r="F15" s="37" cm="1">
        <f t="array" ref="F15">IF($B15=F$2,INDEX(Inputs!$B$1:$D$80,F$3,$C15),INDEX(Inputs!$B$1:$D$80,F$3,2))</f>
        <v>1200000</v>
      </c>
      <c r="G15" s="58" cm="1">
        <f t="array" ref="G15">IF($B15=G$2,INDEX(Inputs!$B$1:$D$80,G$3,$C15),INDEX(Inputs!$B$1:$D$80,G$3,2))</f>
        <v>0.4</v>
      </c>
      <c r="H15" s="58" cm="1">
        <f t="array" ref="H15">IF($B15=H$2,INDEX(Inputs!$B$1:$D$80,H$3,$C15),INDEX(Inputs!$B$1:$D$80,H$3,2))</f>
        <v>0.35</v>
      </c>
      <c r="I15" s="37" cm="1">
        <f t="array" ref="I15">IF($B15=I$2,INDEX(Inputs!$B$1:$D$80,I$3,$C15),INDEX(Inputs!$B$1:$D$80,I$3,2))</f>
        <v>1200</v>
      </c>
      <c r="J15" s="37" cm="1">
        <f t="array" ref="J15">IF($B15=J$2,INDEX(Inputs!$B$1:$D$80,J$3,$C15),INDEX(Inputs!$B$1:$D$80,J$3,2))</f>
        <v>125</v>
      </c>
      <c r="K15" s="58" cm="1">
        <f t="array" ref="K15">IF($B15=K$2,INDEX(Inputs!$B$1:$D$80,K$3,$C15),INDEX(Inputs!$B$1:$D$80,K$3,2))</f>
        <v>2.2999999999999998</v>
      </c>
      <c r="L15" s="37" cm="1">
        <f t="array" ref="L15">IF($B15=L$2,INDEX(Inputs!$B$1:$D$80,L$3,$C15),INDEX(Inputs!$B$1:$D$80,L$3,2))</f>
        <v>12500</v>
      </c>
      <c r="M15" s="37" cm="1">
        <f t="array" ref="M15">IF($B15=M$2,INDEX(Inputs!$B$1:$D$80,M$3,$C15),INDEX(Inputs!$B$1:$D$80,M$3,2))</f>
        <v>15000</v>
      </c>
      <c r="N15" s="58" cm="1">
        <f t="array" ref="N15">IF($B15=N$2,INDEX(Inputs!$B$1:$D$80,N$3,$C15),INDEX(Inputs!$B$1:$D$80,N$3,2))</f>
        <v>0.55000000000000004</v>
      </c>
      <c r="O15" s="37" cm="1">
        <f t="array" ref="O15">IF($B15=O$2,INDEX(Inputs!$B$1:$D$80,O$3,$C15),INDEX(Inputs!$B$1:$D$80,O$3,2))</f>
        <v>2000</v>
      </c>
      <c r="P15" s="37" cm="1">
        <f t="array" ref="P15">IF($B15=P$2,INDEX(Inputs!$B$1:$D$80,P$3,$C15),INDEX(Inputs!$B$1:$D$80,P$3,2))</f>
        <v>30000</v>
      </c>
      <c r="Q15" s="37">
        <f t="shared" si="1"/>
        <v>693000</v>
      </c>
      <c r="R15" s="37">
        <f t="shared" si="2"/>
        <v>1493000</v>
      </c>
      <c r="S15" s="37">
        <f t="shared" si="3"/>
        <v>495000</v>
      </c>
      <c r="T15" s="37">
        <f t="shared" si="4"/>
        <v>21250</v>
      </c>
      <c r="U15" s="59">
        <f t="shared" si="5"/>
        <v>3.9137254901960783</v>
      </c>
      <c r="V15" s="29" t="str" cm="1">
        <f t="array" ref="V15">IF(B15=0,"—",INDEX($D$4:$P$4,B15))</f>
        <v>Reachability</v>
      </c>
      <c r="W15" s="29"/>
      <c r="X15" s="29" t="str">
        <f>N$4</f>
        <v>AWOL return share</v>
      </c>
      <c r="Y15" s="59">
        <f>U26</f>
        <v>3.1879432624113471</v>
      </c>
      <c r="Z15" s="59">
        <f>U27</f>
        <v>3.7932489451476794</v>
      </c>
      <c r="AA15" s="59">
        <f t="shared" si="0"/>
        <v>0.60530568273633234</v>
      </c>
      <c r="AB15" s="29">
        <f>N26</f>
        <v>0.4</v>
      </c>
      <c r="AC15" s="29">
        <f>N27</f>
        <v>0.65</v>
      </c>
    </row>
    <row r="16" spans="1:29" x14ac:dyDescent="0.35">
      <c r="A16" s="29" t="s">
        <v>267</v>
      </c>
      <c r="B16" s="29">
        <v>6</v>
      </c>
      <c r="C16" s="29">
        <v>1</v>
      </c>
      <c r="D16" s="37" cm="1">
        <f t="array" ref="D16">IF($B16=D$2,INDEX(Inputs!$B$1:$D$80,D$3,$C16),INDEX(Inputs!$B$1:$D$80,D$3,2))</f>
        <v>800000</v>
      </c>
      <c r="E16" s="37" cm="1">
        <f t="array" ref="E16">IF($B16=E$2,INDEX(Inputs!$B$1:$D$80,E$3,$C16),INDEX(Inputs!$B$1:$D$80,E$3,2))</f>
        <v>4500000</v>
      </c>
      <c r="F16" s="37" cm="1">
        <f t="array" ref="F16">IF($B16=F$2,INDEX(Inputs!$B$1:$D$80,F$3,$C16),INDEX(Inputs!$B$1:$D$80,F$3,2))</f>
        <v>1200000</v>
      </c>
      <c r="G16" s="58" cm="1">
        <f t="array" ref="G16">IF($B16=G$2,INDEX(Inputs!$B$1:$D$80,G$3,$C16),INDEX(Inputs!$B$1:$D$80,G$3,2))</f>
        <v>0.4</v>
      </c>
      <c r="H16" s="58" cm="1">
        <f t="array" ref="H16">IF($B16=H$2,INDEX(Inputs!$B$1:$D$80,H$3,$C16),INDEX(Inputs!$B$1:$D$80,H$3,2))</f>
        <v>0.3</v>
      </c>
      <c r="I16" s="37" cm="1">
        <f t="array" ref="I16">IF($B16=I$2,INDEX(Inputs!$B$1:$D$80,I$3,$C16),INDEX(Inputs!$B$1:$D$80,I$3,2))</f>
        <v>1250</v>
      </c>
      <c r="J16" s="37" cm="1">
        <f t="array" ref="J16">IF($B16=J$2,INDEX(Inputs!$B$1:$D$80,J$3,$C16),INDEX(Inputs!$B$1:$D$80,J$3,2))</f>
        <v>125</v>
      </c>
      <c r="K16" s="58" cm="1">
        <f t="array" ref="K16">IF($B16=K$2,INDEX(Inputs!$B$1:$D$80,K$3,$C16),INDEX(Inputs!$B$1:$D$80,K$3,2))</f>
        <v>2.2999999999999998</v>
      </c>
      <c r="L16" s="37" cm="1">
        <f t="array" ref="L16">IF($B16=L$2,INDEX(Inputs!$B$1:$D$80,L$3,$C16),INDEX(Inputs!$B$1:$D$80,L$3,2))</f>
        <v>12500</v>
      </c>
      <c r="M16" s="37" cm="1">
        <f t="array" ref="M16">IF($B16=M$2,INDEX(Inputs!$B$1:$D$80,M$3,$C16),INDEX(Inputs!$B$1:$D$80,M$3,2))</f>
        <v>15000</v>
      </c>
      <c r="N16" s="58" cm="1">
        <f t="array" ref="N16">IF($B16=N$2,INDEX(Inputs!$B$1:$D$80,N$3,$C16),INDEX(Inputs!$B$1:$D$80,N$3,2))</f>
        <v>0.55000000000000004</v>
      </c>
      <c r="O16" s="37" cm="1">
        <f t="array" ref="O16">IF($B16=O$2,INDEX(Inputs!$B$1:$D$80,O$3,$C16),INDEX(Inputs!$B$1:$D$80,O$3,2))</f>
        <v>2000</v>
      </c>
      <c r="P16" s="37" cm="1">
        <f t="array" ref="P16">IF($B16=P$2,INDEX(Inputs!$B$1:$D$80,P$3,$C16),INDEX(Inputs!$B$1:$D$80,P$3,2))</f>
        <v>30000</v>
      </c>
      <c r="Q16" s="37">
        <f t="shared" si="1"/>
        <v>594000</v>
      </c>
      <c r="R16" s="37">
        <f t="shared" si="2"/>
        <v>1394000</v>
      </c>
      <c r="S16" s="37">
        <f t="shared" si="3"/>
        <v>515625</v>
      </c>
      <c r="T16" s="37">
        <f t="shared" si="4"/>
        <v>21250</v>
      </c>
      <c r="U16" s="59">
        <f t="shared" si="5"/>
        <v>3.4446078431372551</v>
      </c>
      <c r="V16" s="29" t="str" cm="1">
        <f t="array" ref="V16">IF(B16=0,"—",INDEX($D$4:$P$4,B16))</f>
        <v>Front length (km)</v>
      </c>
      <c r="W16" s="29"/>
      <c r="X16" s="29" t="str">
        <f>O$4</f>
        <v>Discharges/mo</v>
      </c>
      <c r="Y16" s="59">
        <f>U28</f>
        <v>3.4444444444444442</v>
      </c>
      <c r="Z16" s="59">
        <f>U29</f>
        <v>3.6104417670682731</v>
      </c>
      <c r="AA16" s="59">
        <f t="shared" si="0"/>
        <v>0.16599732262382894</v>
      </c>
      <c r="AB16" s="29">
        <f>O28</f>
        <v>2500</v>
      </c>
      <c r="AC16" s="29">
        <f>O29</f>
        <v>1500</v>
      </c>
    </row>
    <row r="17" spans="1:33" x14ac:dyDescent="0.35">
      <c r="A17" s="29" t="s">
        <v>268</v>
      </c>
      <c r="B17" s="29">
        <v>6</v>
      </c>
      <c r="C17" s="29">
        <v>3</v>
      </c>
      <c r="D17" s="37" cm="1">
        <f t="array" ref="D17">IF($B17=D$2,INDEX(Inputs!$B$1:$D$80,D$3,$C17),INDEX(Inputs!$B$1:$D$80,D$3,2))</f>
        <v>800000</v>
      </c>
      <c r="E17" s="37" cm="1">
        <f t="array" ref="E17">IF($B17=E$2,INDEX(Inputs!$B$1:$D$80,E$3,$C17),INDEX(Inputs!$B$1:$D$80,E$3,2))</f>
        <v>4500000</v>
      </c>
      <c r="F17" s="37" cm="1">
        <f t="array" ref="F17">IF($B17=F$2,INDEX(Inputs!$B$1:$D$80,F$3,$C17),INDEX(Inputs!$B$1:$D$80,F$3,2))</f>
        <v>1200000</v>
      </c>
      <c r="G17" s="58" cm="1">
        <f t="array" ref="G17">IF($B17=G$2,INDEX(Inputs!$B$1:$D$80,G$3,$C17),INDEX(Inputs!$B$1:$D$80,G$3,2))</f>
        <v>0.4</v>
      </c>
      <c r="H17" s="58" cm="1">
        <f t="array" ref="H17">IF($B17=H$2,INDEX(Inputs!$B$1:$D$80,H$3,$C17),INDEX(Inputs!$B$1:$D$80,H$3,2))</f>
        <v>0.3</v>
      </c>
      <c r="I17" s="37" cm="1">
        <f t="array" ref="I17">IF($B17=I$2,INDEX(Inputs!$B$1:$D$80,I$3,$C17),INDEX(Inputs!$B$1:$D$80,I$3,2))</f>
        <v>1150</v>
      </c>
      <c r="J17" s="37" cm="1">
        <f t="array" ref="J17">IF($B17=J$2,INDEX(Inputs!$B$1:$D$80,J$3,$C17),INDEX(Inputs!$B$1:$D$80,J$3,2))</f>
        <v>125</v>
      </c>
      <c r="K17" s="58" cm="1">
        <f t="array" ref="K17">IF($B17=K$2,INDEX(Inputs!$B$1:$D$80,K$3,$C17),INDEX(Inputs!$B$1:$D$80,K$3,2))</f>
        <v>2.2999999999999998</v>
      </c>
      <c r="L17" s="37" cm="1">
        <f t="array" ref="L17">IF($B17=L$2,INDEX(Inputs!$B$1:$D$80,L$3,$C17),INDEX(Inputs!$B$1:$D$80,L$3,2))</f>
        <v>12500</v>
      </c>
      <c r="M17" s="37" cm="1">
        <f t="array" ref="M17">IF($B17=M$2,INDEX(Inputs!$B$1:$D$80,M$3,$C17),INDEX(Inputs!$B$1:$D$80,M$3,2))</f>
        <v>15000</v>
      </c>
      <c r="N17" s="58" cm="1">
        <f t="array" ref="N17">IF($B17=N$2,INDEX(Inputs!$B$1:$D$80,N$3,$C17),INDEX(Inputs!$B$1:$D$80,N$3,2))</f>
        <v>0.55000000000000004</v>
      </c>
      <c r="O17" s="37" cm="1">
        <f t="array" ref="O17">IF($B17=O$2,INDEX(Inputs!$B$1:$D$80,O$3,$C17),INDEX(Inputs!$B$1:$D$80,O$3,2))</f>
        <v>2000</v>
      </c>
      <c r="P17" s="37" cm="1">
        <f t="array" ref="P17">IF($B17=P$2,INDEX(Inputs!$B$1:$D$80,P$3,$C17),INDEX(Inputs!$B$1:$D$80,P$3,2))</f>
        <v>30000</v>
      </c>
      <c r="Q17" s="37">
        <f t="shared" si="1"/>
        <v>594000</v>
      </c>
      <c r="R17" s="37">
        <f t="shared" si="2"/>
        <v>1394000</v>
      </c>
      <c r="S17" s="37">
        <f t="shared" si="3"/>
        <v>474375</v>
      </c>
      <c r="T17" s="37">
        <f t="shared" si="4"/>
        <v>21250</v>
      </c>
      <c r="U17" s="59">
        <f t="shared" si="5"/>
        <v>3.6063725490196084</v>
      </c>
      <c r="V17" s="29" t="str" cm="1">
        <f t="array" ref="V17">IF(B17=0,"—",INDEX($D$4:$P$4,B17))</f>
        <v>Front length (km)</v>
      </c>
      <c r="W17" s="29"/>
      <c r="X17" s="29" t="str">
        <f>P$4</f>
        <v>Mobilization capacity/mo</v>
      </c>
      <c r="Y17" s="59">
        <f>U30</f>
        <v>3.5254901960784313</v>
      </c>
      <c r="Z17" s="59">
        <f>U31</f>
        <v>3.5254901960784313</v>
      </c>
      <c r="AA17" s="59">
        <f t="shared" si="0"/>
        <v>0</v>
      </c>
      <c r="AB17" s="29">
        <f>P30</f>
        <v>22000</v>
      </c>
      <c r="AC17" s="29">
        <f>P31</f>
        <v>34000</v>
      </c>
    </row>
    <row r="18" spans="1:33" x14ac:dyDescent="0.35">
      <c r="A18" s="29" t="s">
        <v>269</v>
      </c>
      <c r="B18" s="29">
        <v>7</v>
      </c>
      <c r="C18" s="29">
        <v>1</v>
      </c>
      <c r="D18" s="37" cm="1">
        <f t="array" ref="D18">IF($B18=D$2,INDEX(Inputs!$B$1:$D$80,D$3,$C18),INDEX(Inputs!$B$1:$D$80,D$3,2))</f>
        <v>800000</v>
      </c>
      <c r="E18" s="37" cm="1">
        <f t="array" ref="E18">IF($B18=E$2,INDEX(Inputs!$B$1:$D$80,E$3,$C18),INDEX(Inputs!$B$1:$D$80,E$3,2))</f>
        <v>4500000</v>
      </c>
      <c r="F18" s="37" cm="1">
        <f t="array" ref="F18">IF($B18=F$2,INDEX(Inputs!$B$1:$D$80,F$3,$C18),INDEX(Inputs!$B$1:$D$80,F$3,2))</f>
        <v>1200000</v>
      </c>
      <c r="G18" s="58" cm="1">
        <f t="array" ref="G18">IF($B18=G$2,INDEX(Inputs!$B$1:$D$80,G$3,$C18),INDEX(Inputs!$B$1:$D$80,G$3,2))</f>
        <v>0.4</v>
      </c>
      <c r="H18" s="58" cm="1">
        <f t="array" ref="H18">IF($B18=H$2,INDEX(Inputs!$B$1:$D$80,H$3,$C18),INDEX(Inputs!$B$1:$D$80,H$3,2))</f>
        <v>0.3</v>
      </c>
      <c r="I18" s="37" cm="1">
        <f t="array" ref="I18">IF($B18=I$2,INDEX(Inputs!$B$1:$D$80,I$3,$C18),INDEX(Inputs!$B$1:$D$80,I$3,2))</f>
        <v>1200</v>
      </c>
      <c r="J18" s="37" cm="1">
        <f t="array" ref="J18">IF($B18=J$2,INDEX(Inputs!$B$1:$D$80,J$3,$C18),INDEX(Inputs!$B$1:$D$80,J$3,2))</f>
        <v>140</v>
      </c>
      <c r="K18" s="58" cm="1">
        <f t="array" ref="K18">IF($B18=K$2,INDEX(Inputs!$B$1:$D$80,K$3,$C18),INDEX(Inputs!$B$1:$D$80,K$3,2))</f>
        <v>2.2999999999999998</v>
      </c>
      <c r="L18" s="37" cm="1">
        <f t="array" ref="L18">IF($B18=L$2,INDEX(Inputs!$B$1:$D$80,L$3,$C18),INDEX(Inputs!$B$1:$D$80,L$3,2))</f>
        <v>12500</v>
      </c>
      <c r="M18" s="37" cm="1">
        <f t="array" ref="M18">IF($B18=M$2,INDEX(Inputs!$B$1:$D$80,M$3,$C18),INDEX(Inputs!$B$1:$D$80,M$3,2))</f>
        <v>15000</v>
      </c>
      <c r="N18" s="58" cm="1">
        <f t="array" ref="N18">IF($B18=N$2,INDEX(Inputs!$B$1:$D$80,N$3,$C18),INDEX(Inputs!$B$1:$D$80,N$3,2))</f>
        <v>0.55000000000000004</v>
      </c>
      <c r="O18" s="37" cm="1">
        <f t="array" ref="O18">IF($B18=O$2,INDEX(Inputs!$B$1:$D$80,O$3,$C18),INDEX(Inputs!$B$1:$D$80,O$3,2))</f>
        <v>2000</v>
      </c>
      <c r="P18" s="37" cm="1">
        <f t="array" ref="P18">IF($B18=P$2,INDEX(Inputs!$B$1:$D$80,P$3,$C18),INDEX(Inputs!$B$1:$D$80,P$3,2))</f>
        <v>30000</v>
      </c>
      <c r="Q18" s="37">
        <f t="shared" si="1"/>
        <v>594000</v>
      </c>
      <c r="R18" s="37">
        <f t="shared" si="2"/>
        <v>1394000</v>
      </c>
      <c r="S18" s="37">
        <f t="shared" si="3"/>
        <v>554400</v>
      </c>
      <c r="T18" s="37">
        <f t="shared" si="4"/>
        <v>21250</v>
      </c>
      <c r="U18" s="59">
        <f t="shared" si="5"/>
        <v>3.2925490196078435</v>
      </c>
      <c r="V18" s="29" t="str" cm="1">
        <f t="array" ref="V18">IF(B18=0,"—",INDEX($D$4:$P$4,B18))</f>
        <v>Line troops per km</v>
      </c>
      <c r="W18" s="29"/>
      <c r="X18" s="29"/>
      <c r="Y18" s="29"/>
      <c r="Z18" s="29"/>
      <c r="AA18" s="29"/>
      <c r="AB18" s="29"/>
      <c r="AC18" s="29"/>
    </row>
    <row r="19" spans="1:33" x14ac:dyDescent="0.35">
      <c r="A19" s="29" t="s">
        <v>270</v>
      </c>
      <c r="B19" s="29">
        <v>7</v>
      </c>
      <c r="C19" s="29">
        <v>3</v>
      </c>
      <c r="D19" s="37" cm="1">
        <f t="array" ref="D19">IF($B19=D$2,INDEX(Inputs!$B$1:$D$80,D$3,$C19),INDEX(Inputs!$B$1:$D$80,D$3,2))</f>
        <v>800000</v>
      </c>
      <c r="E19" s="37" cm="1">
        <f t="array" ref="E19">IF($B19=E$2,INDEX(Inputs!$B$1:$D$80,E$3,$C19),INDEX(Inputs!$B$1:$D$80,E$3,2))</f>
        <v>4500000</v>
      </c>
      <c r="F19" s="37" cm="1">
        <f t="array" ref="F19">IF($B19=F$2,INDEX(Inputs!$B$1:$D$80,F$3,$C19),INDEX(Inputs!$B$1:$D$80,F$3,2))</f>
        <v>1200000</v>
      </c>
      <c r="G19" s="58" cm="1">
        <f t="array" ref="G19">IF($B19=G$2,INDEX(Inputs!$B$1:$D$80,G$3,$C19),INDEX(Inputs!$B$1:$D$80,G$3,2))</f>
        <v>0.4</v>
      </c>
      <c r="H19" s="58" cm="1">
        <f t="array" ref="H19">IF($B19=H$2,INDEX(Inputs!$B$1:$D$80,H$3,$C19),INDEX(Inputs!$B$1:$D$80,H$3,2))</f>
        <v>0.3</v>
      </c>
      <c r="I19" s="37" cm="1">
        <f t="array" ref="I19">IF($B19=I$2,INDEX(Inputs!$B$1:$D$80,I$3,$C19),INDEX(Inputs!$B$1:$D$80,I$3,2))</f>
        <v>1200</v>
      </c>
      <c r="J19" s="37" cm="1">
        <f t="array" ref="J19">IF($B19=J$2,INDEX(Inputs!$B$1:$D$80,J$3,$C19),INDEX(Inputs!$B$1:$D$80,J$3,2))</f>
        <v>110</v>
      </c>
      <c r="K19" s="58" cm="1">
        <f t="array" ref="K19">IF($B19=K$2,INDEX(Inputs!$B$1:$D$80,K$3,$C19),INDEX(Inputs!$B$1:$D$80,K$3,2))</f>
        <v>2.2999999999999998</v>
      </c>
      <c r="L19" s="37" cm="1">
        <f t="array" ref="L19">IF($B19=L$2,INDEX(Inputs!$B$1:$D$80,L$3,$C19),INDEX(Inputs!$B$1:$D$80,L$3,2))</f>
        <v>12500</v>
      </c>
      <c r="M19" s="37" cm="1">
        <f t="array" ref="M19">IF($B19=M$2,INDEX(Inputs!$B$1:$D$80,M$3,$C19),INDEX(Inputs!$B$1:$D$80,M$3,2))</f>
        <v>15000</v>
      </c>
      <c r="N19" s="58" cm="1">
        <f t="array" ref="N19">IF($B19=N$2,INDEX(Inputs!$B$1:$D$80,N$3,$C19),INDEX(Inputs!$B$1:$D$80,N$3,2))</f>
        <v>0.55000000000000004</v>
      </c>
      <c r="O19" s="37" cm="1">
        <f t="array" ref="O19">IF($B19=O$2,INDEX(Inputs!$B$1:$D$80,O$3,$C19),INDEX(Inputs!$B$1:$D$80,O$3,2))</f>
        <v>2000</v>
      </c>
      <c r="P19" s="37" cm="1">
        <f t="array" ref="P19">IF($B19=P$2,INDEX(Inputs!$B$1:$D$80,P$3,$C19),INDEX(Inputs!$B$1:$D$80,P$3,2))</f>
        <v>30000</v>
      </c>
      <c r="Q19" s="37">
        <f t="shared" si="1"/>
        <v>594000</v>
      </c>
      <c r="R19" s="37">
        <f t="shared" si="2"/>
        <v>1394000</v>
      </c>
      <c r="S19" s="37">
        <f t="shared" si="3"/>
        <v>435600</v>
      </c>
      <c r="T19" s="37">
        <f t="shared" si="4"/>
        <v>21250</v>
      </c>
      <c r="U19" s="59">
        <f t="shared" si="5"/>
        <v>3.7584313725490195</v>
      </c>
      <c r="V19" s="29" t="str" cm="1">
        <f t="array" ref="V19">IF(B19=0,"—",INDEX($D$4:$P$4,B19))</f>
        <v>Line troops per km</v>
      </c>
      <c r="W19" s="29"/>
      <c r="X19" s="29"/>
      <c r="Y19" s="29"/>
      <c r="Z19" s="29"/>
      <c r="AA19" s="29"/>
      <c r="AB19" s="29"/>
      <c r="AC19" s="29"/>
    </row>
    <row r="20" spans="1:33" x14ac:dyDescent="0.35">
      <c r="A20" s="29" t="s">
        <v>271</v>
      </c>
      <c r="B20" s="29">
        <v>8</v>
      </c>
      <c r="C20" s="29">
        <v>1</v>
      </c>
      <c r="D20" s="37" cm="1">
        <f t="array" ref="D20">IF($B20=D$2,INDEX(Inputs!$B$1:$D$80,D$3,$C20),INDEX(Inputs!$B$1:$D$80,D$3,2))</f>
        <v>800000</v>
      </c>
      <c r="E20" s="37" cm="1">
        <f t="array" ref="E20">IF($B20=E$2,INDEX(Inputs!$B$1:$D$80,E$3,$C20),INDEX(Inputs!$B$1:$D$80,E$3,2))</f>
        <v>4500000</v>
      </c>
      <c r="F20" s="37" cm="1">
        <f t="array" ref="F20">IF($B20=F$2,INDEX(Inputs!$B$1:$D$80,F$3,$C20),INDEX(Inputs!$B$1:$D$80,F$3,2))</f>
        <v>1200000</v>
      </c>
      <c r="G20" s="58" cm="1">
        <f t="array" ref="G20">IF($B20=G$2,INDEX(Inputs!$B$1:$D$80,G$3,$C20),INDEX(Inputs!$B$1:$D$80,G$3,2))</f>
        <v>0.4</v>
      </c>
      <c r="H20" s="58" cm="1">
        <f t="array" ref="H20">IF($B20=H$2,INDEX(Inputs!$B$1:$D$80,H$3,$C20),INDEX(Inputs!$B$1:$D$80,H$3,2))</f>
        <v>0.3</v>
      </c>
      <c r="I20" s="37" cm="1">
        <f t="array" ref="I20">IF($B20=I$2,INDEX(Inputs!$B$1:$D$80,I$3,$C20),INDEX(Inputs!$B$1:$D$80,I$3,2))</f>
        <v>1200</v>
      </c>
      <c r="J20" s="37" cm="1">
        <f t="array" ref="J20">IF($B20=J$2,INDEX(Inputs!$B$1:$D$80,J$3,$C20),INDEX(Inputs!$B$1:$D$80,J$3,2))</f>
        <v>125</v>
      </c>
      <c r="K20" s="58" cm="1">
        <f t="array" ref="K20">IF($B20=K$2,INDEX(Inputs!$B$1:$D$80,K$3,$C20),INDEX(Inputs!$B$1:$D$80,K$3,2))</f>
        <v>2.4</v>
      </c>
      <c r="L20" s="37" cm="1">
        <f t="array" ref="L20">IF($B20=L$2,INDEX(Inputs!$B$1:$D$80,L$3,$C20),INDEX(Inputs!$B$1:$D$80,L$3,2))</f>
        <v>12500</v>
      </c>
      <c r="M20" s="37" cm="1">
        <f t="array" ref="M20">IF($B20=M$2,INDEX(Inputs!$B$1:$D$80,M$3,$C20),INDEX(Inputs!$B$1:$D$80,M$3,2))</f>
        <v>15000</v>
      </c>
      <c r="N20" s="58" cm="1">
        <f t="array" ref="N20">IF($B20=N$2,INDEX(Inputs!$B$1:$D$80,N$3,$C20),INDEX(Inputs!$B$1:$D$80,N$3,2))</f>
        <v>0.55000000000000004</v>
      </c>
      <c r="O20" s="37" cm="1">
        <f t="array" ref="O20">IF($B20=O$2,INDEX(Inputs!$B$1:$D$80,O$3,$C20),INDEX(Inputs!$B$1:$D$80,O$3,2))</f>
        <v>2000</v>
      </c>
      <c r="P20" s="37" cm="1">
        <f t="array" ref="P20">IF($B20=P$2,INDEX(Inputs!$B$1:$D$80,P$3,$C20),INDEX(Inputs!$B$1:$D$80,P$3,2))</f>
        <v>30000</v>
      </c>
      <c r="Q20" s="37">
        <f t="shared" si="1"/>
        <v>594000</v>
      </c>
      <c r="R20" s="37">
        <f t="shared" si="2"/>
        <v>1394000</v>
      </c>
      <c r="S20" s="37">
        <f t="shared" si="3"/>
        <v>510000</v>
      </c>
      <c r="T20" s="37">
        <f t="shared" si="4"/>
        <v>21250</v>
      </c>
      <c r="U20" s="59">
        <f t="shared" si="5"/>
        <v>3.4666666666666668</v>
      </c>
      <c r="V20" s="29" t="str" cm="1">
        <f t="array" ref="V20">IF(B20=0,"—",INDEX($D$4:$P$4,B20))</f>
        <v>Support ratio</v>
      </c>
      <c r="W20" s="29"/>
      <c r="X20" s="29" t="s">
        <v>290</v>
      </c>
      <c r="Y20" s="29"/>
      <c r="Z20" s="29"/>
      <c r="AA20" s="29"/>
      <c r="AB20" s="29"/>
      <c r="AC20" s="29"/>
      <c r="AE20" s="86" t="s">
        <v>430</v>
      </c>
    </row>
    <row r="21" spans="1:33" x14ac:dyDescent="0.35">
      <c r="A21" s="29" t="s">
        <v>272</v>
      </c>
      <c r="B21" s="29">
        <v>8</v>
      </c>
      <c r="C21" s="29">
        <v>3</v>
      </c>
      <c r="D21" s="37" cm="1">
        <f t="array" ref="D21">IF($B21=D$2,INDEX(Inputs!$B$1:$D$80,D$3,$C21),INDEX(Inputs!$B$1:$D$80,D$3,2))</f>
        <v>800000</v>
      </c>
      <c r="E21" s="37" cm="1">
        <f t="array" ref="E21">IF($B21=E$2,INDEX(Inputs!$B$1:$D$80,E$3,$C21),INDEX(Inputs!$B$1:$D$80,E$3,2))</f>
        <v>4500000</v>
      </c>
      <c r="F21" s="37" cm="1">
        <f t="array" ref="F21">IF($B21=F$2,INDEX(Inputs!$B$1:$D$80,F$3,$C21),INDEX(Inputs!$B$1:$D$80,F$3,2))</f>
        <v>1200000</v>
      </c>
      <c r="G21" s="58" cm="1">
        <f t="array" ref="G21">IF($B21=G$2,INDEX(Inputs!$B$1:$D$80,G$3,$C21),INDEX(Inputs!$B$1:$D$80,G$3,2))</f>
        <v>0.4</v>
      </c>
      <c r="H21" s="58" cm="1">
        <f t="array" ref="H21">IF($B21=H$2,INDEX(Inputs!$B$1:$D$80,H$3,$C21),INDEX(Inputs!$B$1:$D$80,H$3,2))</f>
        <v>0.3</v>
      </c>
      <c r="I21" s="37" cm="1">
        <f t="array" ref="I21">IF($B21=I$2,INDEX(Inputs!$B$1:$D$80,I$3,$C21),INDEX(Inputs!$B$1:$D$80,I$3,2))</f>
        <v>1200</v>
      </c>
      <c r="J21" s="37" cm="1">
        <f t="array" ref="J21">IF($B21=J$2,INDEX(Inputs!$B$1:$D$80,J$3,$C21),INDEX(Inputs!$B$1:$D$80,J$3,2))</f>
        <v>125</v>
      </c>
      <c r="K21" s="58" cm="1">
        <f t="array" ref="K21">IF($B21=K$2,INDEX(Inputs!$B$1:$D$80,K$3,$C21),INDEX(Inputs!$B$1:$D$80,K$3,2))</f>
        <v>2.2000000000000002</v>
      </c>
      <c r="L21" s="37" cm="1">
        <f t="array" ref="L21">IF($B21=L$2,INDEX(Inputs!$B$1:$D$80,L$3,$C21),INDEX(Inputs!$B$1:$D$80,L$3,2))</f>
        <v>12500</v>
      </c>
      <c r="M21" s="37" cm="1">
        <f t="array" ref="M21">IF($B21=M$2,INDEX(Inputs!$B$1:$D$80,M$3,$C21),INDEX(Inputs!$B$1:$D$80,M$3,2))</f>
        <v>15000</v>
      </c>
      <c r="N21" s="58" cm="1">
        <f t="array" ref="N21">IF($B21=N$2,INDEX(Inputs!$B$1:$D$80,N$3,$C21),INDEX(Inputs!$B$1:$D$80,N$3,2))</f>
        <v>0.55000000000000004</v>
      </c>
      <c r="O21" s="37" cm="1">
        <f t="array" ref="O21">IF($B21=O$2,INDEX(Inputs!$B$1:$D$80,O$3,$C21),INDEX(Inputs!$B$1:$D$80,O$3,2))</f>
        <v>2000</v>
      </c>
      <c r="P21" s="37" cm="1">
        <f t="array" ref="P21">IF($B21=P$2,INDEX(Inputs!$B$1:$D$80,P$3,$C21),INDEX(Inputs!$B$1:$D$80,P$3,2))</f>
        <v>30000</v>
      </c>
      <c r="Q21" s="37">
        <f t="shared" si="1"/>
        <v>594000</v>
      </c>
      <c r="R21" s="37">
        <f t="shared" si="2"/>
        <v>1394000</v>
      </c>
      <c r="S21" s="37">
        <f t="shared" si="3"/>
        <v>480000</v>
      </c>
      <c r="T21" s="37">
        <f t="shared" si="4"/>
        <v>21250</v>
      </c>
      <c r="U21" s="59">
        <f t="shared" si="5"/>
        <v>3.5843137254901962</v>
      </c>
      <c r="V21" s="29" t="str" cm="1">
        <f t="array" ref="V21">IF(B21=0,"—",INDEX($D$4:$P$4,B21))</f>
        <v>Support ratio</v>
      </c>
      <c r="W21" s="29"/>
      <c r="X21" s="56" t="s">
        <v>284</v>
      </c>
      <c r="Y21" s="56" t="s">
        <v>285</v>
      </c>
      <c r="Z21" s="56" t="s">
        <v>286</v>
      </c>
      <c r="AA21" s="29"/>
      <c r="AB21" s="29"/>
      <c r="AC21" s="29"/>
      <c r="AE21" s="86" t="s">
        <v>431</v>
      </c>
      <c r="AF21" s="86" t="s">
        <v>37</v>
      </c>
      <c r="AG21" s="86" t="s">
        <v>39</v>
      </c>
    </row>
    <row r="22" spans="1:33" x14ac:dyDescent="0.35">
      <c r="A22" s="29" t="s">
        <v>273</v>
      </c>
      <c r="B22" s="29">
        <v>9</v>
      </c>
      <c r="C22" s="29">
        <v>1</v>
      </c>
      <c r="D22" s="37" cm="1">
        <f t="array" ref="D22">IF($B22=D$2,INDEX(Inputs!$B$1:$D$80,D$3,$C22),INDEX(Inputs!$B$1:$D$80,D$3,2))</f>
        <v>800000</v>
      </c>
      <c r="E22" s="37" cm="1">
        <f t="array" ref="E22">IF($B22=E$2,INDEX(Inputs!$B$1:$D$80,E$3,$C22),INDEX(Inputs!$B$1:$D$80,E$3,2))</f>
        <v>4500000</v>
      </c>
      <c r="F22" s="37" cm="1">
        <f t="array" ref="F22">IF($B22=F$2,INDEX(Inputs!$B$1:$D$80,F$3,$C22),INDEX(Inputs!$B$1:$D$80,F$3,2))</f>
        <v>1200000</v>
      </c>
      <c r="G22" s="58" cm="1">
        <f t="array" ref="G22">IF($B22=G$2,INDEX(Inputs!$B$1:$D$80,G$3,$C22),INDEX(Inputs!$B$1:$D$80,G$3,2))</f>
        <v>0.4</v>
      </c>
      <c r="H22" s="58" cm="1">
        <f t="array" ref="H22">IF($B22=H$2,INDEX(Inputs!$B$1:$D$80,H$3,$C22),INDEX(Inputs!$B$1:$D$80,H$3,2))</f>
        <v>0.3</v>
      </c>
      <c r="I22" s="37" cm="1">
        <f t="array" ref="I22">IF($B22=I$2,INDEX(Inputs!$B$1:$D$80,I$3,$C22),INDEX(Inputs!$B$1:$D$80,I$3,2))</f>
        <v>1200</v>
      </c>
      <c r="J22" s="37" cm="1">
        <f t="array" ref="J22">IF($B22=J$2,INDEX(Inputs!$B$1:$D$80,J$3,$C22),INDEX(Inputs!$B$1:$D$80,J$3,2))</f>
        <v>125</v>
      </c>
      <c r="K22" s="58" cm="1">
        <f t="array" ref="K22">IF($B22=K$2,INDEX(Inputs!$B$1:$D$80,K$3,$C22),INDEX(Inputs!$B$1:$D$80,K$3,2))</f>
        <v>2.2999999999999998</v>
      </c>
      <c r="L22" s="37" cm="1">
        <f t="array" ref="L22">IF($B22=L$2,INDEX(Inputs!$B$1:$D$80,L$3,$C22),INDEX(Inputs!$B$1:$D$80,L$3,2))</f>
        <v>15000</v>
      </c>
      <c r="M22" s="37" cm="1">
        <f t="array" ref="M22">IF($B22=M$2,INDEX(Inputs!$B$1:$D$80,M$3,$C22),INDEX(Inputs!$B$1:$D$80,M$3,2))</f>
        <v>15000</v>
      </c>
      <c r="N22" s="58" cm="1">
        <f t="array" ref="N22">IF($B22=N$2,INDEX(Inputs!$B$1:$D$80,N$3,$C22),INDEX(Inputs!$B$1:$D$80,N$3,2))</f>
        <v>0.55000000000000004</v>
      </c>
      <c r="O22" s="37" cm="1">
        <f t="array" ref="O22">IF($B22=O$2,INDEX(Inputs!$B$1:$D$80,O$3,$C22),INDEX(Inputs!$B$1:$D$80,O$3,2))</f>
        <v>2000</v>
      </c>
      <c r="P22" s="37" cm="1">
        <f t="array" ref="P22">IF($B22=P$2,INDEX(Inputs!$B$1:$D$80,P$3,$C22),INDEX(Inputs!$B$1:$D$80,P$3,2))</f>
        <v>30000</v>
      </c>
      <c r="Q22" s="37">
        <f t="shared" si="1"/>
        <v>594000</v>
      </c>
      <c r="R22" s="37">
        <f t="shared" si="2"/>
        <v>1394000</v>
      </c>
      <c r="S22" s="37">
        <f t="shared" si="3"/>
        <v>495000</v>
      </c>
      <c r="T22" s="37">
        <f t="shared" si="4"/>
        <v>23750</v>
      </c>
      <c r="U22" s="59">
        <f t="shared" si="5"/>
        <v>3.1543859649122807</v>
      </c>
      <c r="V22" s="29" t="str" cm="1">
        <f t="array" ref="V22">IF(B22=0,"—",INDEX($D$4:$P$4,B22))</f>
        <v>Irrecoverable losses/mo</v>
      </c>
      <c r="W22" s="29"/>
      <c r="X22" s="29" t="str" cm="1">
        <f t="array" ref="X22:Z34">_xlfn.CHOOSECOLS(_xlfn.SORTBY(X5:AC17,AA5:AA17,-1),1,2,3)</f>
        <v>Irrecoverable losses/mo</v>
      </c>
      <c r="Y22" s="59">
        <v>3.1543859649122807</v>
      </c>
      <c r="Z22" s="59">
        <v>3.9955555555555553</v>
      </c>
      <c r="AA22" s="29"/>
      <c r="AB22" s="29"/>
      <c r="AC22" s="29"/>
      <c r="AE22" t="str">
        <f>X22&amp;" ("&amp;TEXT(ABS(Z22-Y22),"0.00")&amp;" yr swing)"</f>
        <v>Irrecoverable losses/mo (0.84 yr swing)</v>
      </c>
      <c r="AF22" s="87">
        <f>Y22-$Y$36</f>
        <v>-0.37110423116615054</v>
      </c>
      <c r="AG22" s="87">
        <f>Z22-$Y$36</f>
        <v>0.47006535947712402</v>
      </c>
    </row>
    <row r="23" spans="1:33" x14ac:dyDescent="0.35">
      <c r="A23" s="29" t="s">
        <v>274</v>
      </c>
      <c r="B23" s="29">
        <v>9</v>
      </c>
      <c r="C23" s="29">
        <v>3</v>
      </c>
      <c r="D23" s="37" cm="1">
        <f t="array" ref="D23">IF($B23=D$2,INDEX(Inputs!$B$1:$D$80,D$3,$C23),INDEX(Inputs!$B$1:$D$80,D$3,2))</f>
        <v>800000</v>
      </c>
      <c r="E23" s="37" cm="1">
        <f t="array" ref="E23">IF($B23=E$2,INDEX(Inputs!$B$1:$D$80,E$3,$C23),INDEX(Inputs!$B$1:$D$80,E$3,2))</f>
        <v>4500000</v>
      </c>
      <c r="F23" s="37" cm="1">
        <f t="array" ref="F23">IF($B23=F$2,INDEX(Inputs!$B$1:$D$80,F$3,$C23),INDEX(Inputs!$B$1:$D$80,F$3,2))</f>
        <v>1200000</v>
      </c>
      <c r="G23" s="58" cm="1">
        <f t="array" ref="G23">IF($B23=G$2,INDEX(Inputs!$B$1:$D$80,G$3,$C23),INDEX(Inputs!$B$1:$D$80,G$3,2))</f>
        <v>0.4</v>
      </c>
      <c r="H23" s="58" cm="1">
        <f t="array" ref="H23">IF($B23=H$2,INDEX(Inputs!$B$1:$D$80,H$3,$C23),INDEX(Inputs!$B$1:$D$80,H$3,2))</f>
        <v>0.3</v>
      </c>
      <c r="I23" s="37" cm="1">
        <f t="array" ref="I23">IF($B23=I$2,INDEX(Inputs!$B$1:$D$80,I$3,$C23),INDEX(Inputs!$B$1:$D$80,I$3,2))</f>
        <v>1200</v>
      </c>
      <c r="J23" s="37" cm="1">
        <f t="array" ref="J23">IF($B23=J$2,INDEX(Inputs!$B$1:$D$80,J$3,$C23),INDEX(Inputs!$B$1:$D$80,J$3,2))</f>
        <v>125</v>
      </c>
      <c r="K23" s="58" cm="1">
        <f t="array" ref="K23">IF($B23=K$2,INDEX(Inputs!$B$1:$D$80,K$3,$C23),INDEX(Inputs!$B$1:$D$80,K$3,2))</f>
        <v>2.2999999999999998</v>
      </c>
      <c r="L23" s="37" cm="1">
        <f t="array" ref="L23">IF($B23=L$2,INDEX(Inputs!$B$1:$D$80,L$3,$C23),INDEX(Inputs!$B$1:$D$80,L$3,2))</f>
        <v>10000</v>
      </c>
      <c r="M23" s="37" cm="1">
        <f t="array" ref="M23">IF($B23=M$2,INDEX(Inputs!$B$1:$D$80,M$3,$C23),INDEX(Inputs!$B$1:$D$80,M$3,2))</f>
        <v>15000</v>
      </c>
      <c r="N23" s="58" cm="1">
        <f t="array" ref="N23">IF($B23=N$2,INDEX(Inputs!$B$1:$D$80,N$3,$C23),INDEX(Inputs!$B$1:$D$80,N$3,2))</f>
        <v>0.55000000000000004</v>
      </c>
      <c r="O23" s="37" cm="1">
        <f t="array" ref="O23">IF($B23=O$2,INDEX(Inputs!$B$1:$D$80,O$3,$C23),INDEX(Inputs!$B$1:$D$80,O$3,2))</f>
        <v>2000</v>
      </c>
      <c r="P23" s="37" cm="1">
        <f t="array" ref="P23">IF($B23=P$2,INDEX(Inputs!$B$1:$D$80,P$3,$C23),INDEX(Inputs!$B$1:$D$80,P$3,2))</f>
        <v>30000</v>
      </c>
      <c r="Q23" s="37">
        <f t="shared" si="1"/>
        <v>594000</v>
      </c>
      <c r="R23" s="37">
        <f t="shared" si="2"/>
        <v>1394000</v>
      </c>
      <c r="S23" s="37">
        <f t="shared" si="3"/>
        <v>495000</v>
      </c>
      <c r="T23" s="37">
        <f t="shared" si="4"/>
        <v>18750</v>
      </c>
      <c r="U23" s="59">
        <f t="shared" si="5"/>
        <v>3.9955555555555553</v>
      </c>
      <c r="V23" s="29" t="str" cm="1">
        <f t="array" ref="V23">IF(B23=0,"—",INDEX($D$4:$P$4,B23))</f>
        <v>Irrecoverable losses/mo</v>
      </c>
      <c r="W23" s="29"/>
      <c r="X23" s="29" t="str">
        <v>Serving force S0</v>
      </c>
      <c r="Y23" s="59">
        <v>3.0549019607843135</v>
      </c>
      <c r="Z23" s="59">
        <v>3.8392156862745099</v>
      </c>
      <c r="AA23" s="29"/>
      <c r="AB23" s="29"/>
      <c r="AC23" s="29"/>
      <c r="AE23" t="str">
        <f t="shared" ref="AE23:AE34" si="6">X23&amp;" ("&amp;TEXT(ABS(Z23-Y23),"0.00")&amp;" yr swing)"</f>
        <v>Serving force S0 (0.78 yr swing)</v>
      </c>
      <c r="AF23" s="87">
        <f t="shared" ref="AF23:AF34" si="7">Y23-$Y$36</f>
        <v>-0.47058823529411775</v>
      </c>
      <c r="AG23" s="87">
        <f t="shared" ref="AG23:AG34" si="8">Z23-$Y$36</f>
        <v>0.31372549019607865</v>
      </c>
    </row>
    <row r="24" spans="1:33" x14ac:dyDescent="0.35">
      <c r="A24" s="29" t="s">
        <v>275</v>
      </c>
      <c r="B24" s="29">
        <v>10</v>
      </c>
      <c r="C24" s="29">
        <v>1</v>
      </c>
      <c r="D24" s="37" cm="1">
        <f t="array" ref="D24">IF($B24=D$2,INDEX(Inputs!$B$1:$D$80,D$3,$C24),INDEX(Inputs!$B$1:$D$80,D$3,2))</f>
        <v>800000</v>
      </c>
      <c r="E24" s="37" cm="1">
        <f t="array" ref="E24">IF($B24=E$2,INDEX(Inputs!$B$1:$D$80,E$3,$C24),INDEX(Inputs!$B$1:$D$80,E$3,2))</f>
        <v>4500000</v>
      </c>
      <c r="F24" s="37" cm="1">
        <f t="array" ref="F24">IF($B24=F$2,INDEX(Inputs!$B$1:$D$80,F$3,$C24),INDEX(Inputs!$B$1:$D$80,F$3,2))</f>
        <v>1200000</v>
      </c>
      <c r="G24" s="58" cm="1">
        <f t="array" ref="G24">IF($B24=G$2,INDEX(Inputs!$B$1:$D$80,G$3,$C24),INDEX(Inputs!$B$1:$D$80,G$3,2))</f>
        <v>0.4</v>
      </c>
      <c r="H24" s="58" cm="1">
        <f t="array" ref="H24">IF($B24=H$2,INDEX(Inputs!$B$1:$D$80,H$3,$C24),INDEX(Inputs!$B$1:$D$80,H$3,2))</f>
        <v>0.3</v>
      </c>
      <c r="I24" s="37" cm="1">
        <f t="array" ref="I24">IF($B24=I$2,INDEX(Inputs!$B$1:$D$80,I$3,$C24),INDEX(Inputs!$B$1:$D$80,I$3,2))</f>
        <v>1200</v>
      </c>
      <c r="J24" s="37" cm="1">
        <f t="array" ref="J24">IF($B24=J$2,INDEX(Inputs!$B$1:$D$80,J$3,$C24),INDEX(Inputs!$B$1:$D$80,J$3,2))</f>
        <v>125</v>
      </c>
      <c r="K24" s="58" cm="1">
        <f t="array" ref="K24">IF($B24=K$2,INDEX(Inputs!$B$1:$D$80,K$3,$C24),INDEX(Inputs!$B$1:$D$80,K$3,2))</f>
        <v>2.2999999999999998</v>
      </c>
      <c r="L24" s="37" cm="1">
        <f t="array" ref="L24">IF($B24=L$2,INDEX(Inputs!$B$1:$D$80,L$3,$C24),INDEX(Inputs!$B$1:$D$80,L$3,2))</f>
        <v>12500</v>
      </c>
      <c r="M24" s="37" cm="1">
        <f t="array" ref="M24">IF($B24=M$2,INDEX(Inputs!$B$1:$D$80,M$3,$C24),INDEX(Inputs!$B$1:$D$80,M$3,2))</f>
        <v>18000</v>
      </c>
      <c r="N24" s="58" cm="1">
        <f t="array" ref="N24">IF($B24=N$2,INDEX(Inputs!$B$1:$D$80,N$3,$C24),INDEX(Inputs!$B$1:$D$80,N$3,2))</f>
        <v>0.55000000000000004</v>
      </c>
      <c r="O24" s="37" cm="1">
        <f t="array" ref="O24">IF($B24=O$2,INDEX(Inputs!$B$1:$D$80,O$3,$C24),INDEX(Inputs!$B$1:$D$80,O$3,2))</f>
        <v>2000</v>
      </c>
      <c r="P24" s="37" cm="1">
        <f t="array" ref="P24">IF($B24=P$2,INDEX(Inputs!$B$1:$D$80,P$3,$C24),INDEX(Inputs!$B$1:$D$80,P$3,2))</f>
        <v>30000</v>
      </c>
      <c r="Q24" s="37">
        <f t="shared" si="1"/>
        <v>594000</v>
      </c>
      <c r="R24" s="37">
        <f t="shared" si="2"/>
        <v>1394000</v>
      </c>
      <c r="S24" s="37">
        <f t="shared" si="3"/>
        <v>495000</v>
      </c>
      <c r="T24" s="37">
        <f t="shared" si="4"/>
        <v>22600</v>
      </c>
      <c r="U24" s="59">
        <f t="shared" si="5"/>
        <v>3.3148967551622417</v>
      </c>
      <c r="V24" s="29" t="str" cm="1">
        <f t="array" ref="V24">IF(B24=0,"—",INDEX($D$4:$P$4,B24))</f>
        <v>AWOL cases/mo</v>
      </c>
      <c r="W24" s="29"/>
      <c r="X24" s="29" t="str">
        <v>Reachability</v>
      </c>
      <c r="Y24" s="59">
        <v>3.1372549019607843</v>
      </c>
      <c r="Z24" s="59">
        <v>3.9137254901960783</v>
      </c>
      <c r="AA24" s="29"/>
      <c r="AB24" s="29"/>
      <c r="AC24" s="29"/>
      <c r="AE24" t="str">
        <f t="shared" si="6"/>
        <v>Reachability (0.78 yr swing)</v>
      </c>
      <c r="AF24" s="87">
        <f t="shared" si="7"/>
        <v>-0.38823529411764701</v>
      </c>
      <c r="AG24" s="87">
        <f t="shared" si="8"/>
        <v>0.38823529411764701</v>
      </c>
    </row>
    <row r="25" spans="1:33" x14ac:dyDescent="0.35">
      <c r="A25" s="29" t="s">
        <v>276</v>
      </c>
      <c r="B25" s="29">
        <v>10</v>
      </c>
      <c r="C25" s="29">
        <v>3</v>
      </c>
      <c r="D25" s="37" cm="1">
        <f t="array" ref="D25">IF($B25=D$2,INDEX(Inputs!$B$1:$D$80,D$3,$C25),INDEX(Inputs!$B$1:$D$80,D$3,2))</f>
        <v>800000</v>
      </c>
      <c r="E25" s="37" cm="1">
        <f t="array" ref="E25">IF($B25=E$2,INDEX(Inputs!$B$1:$D$80,E$3,$C25),INDEX(Inputs!$B$1:$D$80,E$3,2))</f>
        <v>4500000</v>
      </c>
      <c r="F25" s="37" cm="1">
        <f t="array" ref="F25">IF($B25=F$2,INDEX(Inputs!$B$1:$D$80,F$3,$C25),INDEX(Inputs!$B$1:$D$80,F$3,2))</f>
        <v>1200000</v>
      </c>
      <c r="G25" s="58" cm="1">
        <f t="array" ref="G25">IF($B25=G$2,INDEX(Inputs!$B$1:$D$80,G$3,$C25),INDEX(Inputs!$B$1:$D$80,G$3,2))</f>
        <v>0.4</v>
      </c>
      <c r="H25" s="58" cm="1">
        <f t="array" ref="H25">IF($B25=H$2,INDEX(Inputs!$B$1:$D$80,H$3,$C25),INDEX(Inputs!$B$1:$D$80,H$3,2))</f>
        <v>0.3</v>
      </c>
      <c r="I25" s="37" cm="1">
        <f t="array" ref="I25">IF($B25=I$2,INDEX(Inputs!$B$1:$D$80,I$3,$C25),INDEX(Inputs!$B$1:$D$80,I$3,2))</f>
        <v>1200</v>
      </c>
      <c r="J25" s="37" cm="1">
        <f t="array" ref="J25">IF($B25=J$2,INDEX(Inputs!$B$1:$D$80,J$3,$C25),INDEX(Inputs!$B$1:$D$80,J$3,2))</f>
        <v>125</v>
      </c>
      <c r="K25" s="58" cm="1">
        <f t="array" ref="K25">IF($B25=K$2,INDEX(Inputs!$B$1:$D$80,K$3,$C25),INDEX(Inputs!$B$1:$D$80,K$3,2))</f>
        <v>2.2999999999999998</v>
      </c>
      <c r="L25" s="37" cm="1">
        <f t="array" ref="L25">IF($B25=L$2,INDEX(Inputs!$B$1:$D$80,L$3,$C25),INDEX(Inputs!$B$1:$D$80,L$3,2))</f>
        <v>12500</v>
      </c>
      <c r="M25" s="37" cm="1">
        <f t="array" ref="M25">IF($B25=M$2,INDEX(Inputs!$B$1:$D$80,M$3,$C25),INDEX(Inputs!$B$1:$D$80,M$3,2))</f>
        <v>12000</v>
      </c>
      <c r="N25" s="58" cm="1">
        <f t="array" ref="N25">IF($B25=N$2,INDEX(Inputs!$B$1:$D$80,N$3,$C25),INDEX(Inputs!$B$1:$D$80,N$3,2))</f>
        <v>0.55000000000000004</v>
      </c>
      <c r="O25" s="37" cm="1">
        <f t="array" ref="O25">IF($B25=O$2,INDEX(Inputs!$B$1:$D$80,O$3,$C25),INDEX(Inputs!$B$1:$D$80,O$3,2))</f>
        <v>2000</v>
      </c>
      <c r="P25" s="37" cm="1">
        <f t="array" ref="P25">IF($B25=P$2,INDEX(Inputs!$B$1:$D$80,P$3,$C25),INDEX(Inputs!$B$1:$D$80,P$3,2))</f>
        <v>30000</v>
      </c>
      <c r="Q25" s="37">
        <f t="shared" si="1"/>
        <v>594000</v>
      </c>
      <c r="R25" s="37">
        <f t="shared" si="2"/>
        <v>1394000</v>
      </c>
      <c r="S25" s="37">
        <f t="shared" si="3"/>
        <v>495000</v>
      </c>
      <c r="T25" s="37">
        <f t="shared" si="4"/>
        <v>19900</v>
      </c>
      <c r="U25" s="59">
        <f t="shared" si="5"/>
        <v>3.7646566164154103</v>
      </c>
      <c r="V25" s="29" t="str" cm="1">
        <f t="array" ref="V25">IF(B25=0,"—",INDEX($D$4:$P$4,B25))</f>
        <v>AWOL cases/mo</v>
      </c>
      <c r="W25" s="29"/>
      <c r="X25" s="29" t="str">
        <v>Civilian men 25–60</v>
      </c>
      <c r="Y25" s="59">
        <v>3.172549019607843</v>
      </c>
      <c r="Z25" s="59">
        <v>3.8784313725490196</v>
      </c>
      <c r="AA25" s="29"/>
      <c r="AB25" s="29"/>
      <c r="AC25" s="29"/>
      <c r="AE25" t="str">
        <f t="shared" si="6"/>
        <v>Civilian men 25–60 (0.71 yr swing)</v>
      </c>
      <c r="AF25" s="87">
        <f t="shared" si="7"/>
        <v>-0.35294117647058831</v>
      </c>
      <c r="AG25" s="87">
        <f t="shared" si="8"/>
        <v>0.35294117647058831</v>
      </c>
    </row>
    <row r="26" spans="1:33" x14ac:dyDescent="0.35">
      <c r="A26" s="29" t="s">
        <v>277</v>
      </c>
      <c r="B26" s="29">
        <v>11</v>
      </c>
      <c r="C26" s="29">
        <v>1</v>
      </c>
      <c r="D26" s="37" cm="1">
        <f t="array" ref="D26">IF($B26=D$2,INDEX(Inputs!$B$1:$D$80,D$3,$C26),INDEX(Inputs!$B$1:$D$80,D$3,2))</f>
        <v>800000</v>
      </c>
      <c r="E26" s="37" cm="1">
        <f t="array" ref="E26">IF($B26=E$2,INDEX(Inputs!$B$1:$D$80,E$3,$C26),INDEX(Inputs!$B$1:$D$80,E$3,2))</f>
        <v>4500000</v>
      </c>
      <c r="F26" s="37" cm="1">
        <f t="array" ref="F26">IF($B26=F$2,INDEX(Inputs!$B$1:$D$80,F$3,$C26),INDEX(Inputs!$B$1:$D$80,F$3,2))</f>
        <v>1200000</v>
      </c>
      <c r="G26" s="58" cm="1">
        <f t="array" ref="G26">IF($B26=G$2,INDEX(Inputs!$B$1:$D$80,G$3,$C26),INDEX(Inputs!$B$1:$D$80,G$3,2))</f>
        <v>0.4</v>
      </c>
      <c r="H26" s="58" cm="1">
        <f t="array" ref="H26">IF($B26=H$2,INDEX(Inputs!$B$1:$D$80,H$3,$C26),INDEX(Inputs!$B$1:$D$80,H$3,2))</f>
        <v>0.3</v>
      </c>
      <c r="I26" s="37" cm="1">
        <f t="array" ref="I26">IF($B26=I$2,INDEX(Inputs!$B$1:$D$80,I$3,$C26),INDEX(Inputs!$B$1:$D$80,I$3,2))</f>
        <v>1200</v>
      </c>
      <c r="J26" s="37" cm="1">
        <f t="array" ref="J26">IF($B26=J$2,INDEX(Inputs!$B$1:$D$80,J$3,$C26),INDEX(Inputs!$B$1:$D$80,J$3,2))</f>
        <v>125</v>
      </c>
      <c r="K26" s="58" cm="1">
        <f t="array" ref="K26">IF($B26=K$2,INDEX(Inputs!$B$1:$D$80,K$3,$C26),INDEX(Inputs!$B$1:$D$80,K$3,2))</f>
        <v>2.2999999999999998</v>
      </c>
      <c r="L26" s="37" cm="1">
        <f t="array" ref="L26">IF($B26=L$2,INDEX(Inputs!$B$1:$D$80,L$3,$C26),INDEX(Inputs!$B$1:$D$80,L$3,2))</f>
        <v>12500</v>
      </c>
      <c r="M26" s="37" cm="1">
        <f t="array" ref="M26">IF($B26=M$2,INDEX(Inputs!$B$1:$D$80,M$3,$C26),INDEX(Inputs!$B$1:$D$80,M$3,2))</f>
        <v>15000</v>
      </c>
      <c r="N26" s="58" cm="1">
        <f t="array" ref="N26">IF($B26=N$2,INDEX(Inputs!$B$1:$D$80,N$3,$C26),INDEX(Inputs!$B$1:$D$80,N$3,2))</f>
        <v>0.4</v>
      </c>
      <c r="O26" s="37" cm="1">
        <f t="array" ref="O26">IF($B26=O$2,INDEX(Inputs!$B$1:$D$80,O$3,$C26),INDEX(Inputs!$B$1:$D$80,O$3,2))</f>
        <v>2000</v>
      </c>
      <c r="P26" s="37" cm="1">
        <f t="array" ref="P26">IF($B26=P$2,INDEX(Inputs!$B$1:$D$80,P$3,$C26),INDEX(Inputs!$B$1:$D$80,P$3,2))</f>
        <v>30000</v>
      </c>
      <c r="Q26" s="37">
        <f t="shared" si="1"/>
        <v>594000</v>
      </c>
      <c r="R26" s="37">
        <f t="shared" si="2"/>
        <v>1394000</v>
      </c>
      <c r="S26" s="37">
        <f t="shared" si="3"/>
        <v>495000</v>
      </c>
      <c r="T26" s="37">
        <f t="shared" si="4"/>
        <v>23500</v>
      </c>
      <c r="U26" s="59">
        <f t="shared" si="5"/>
        <v>3.1879432624113471</v>
      </c>
      <c r="V26" s="29" t="str" cm="1">
        <f t="array" ref="V26">IF(B26=0,"—",INDEX($D$4:$P$4,B26))</f>
        <v>AWOL return share</v>
      </c>
      <c r="W26" s="29"/>
      <c r="X26" s="29" t="str">
        <v>AWOL return share</v>
      </c>
      <c r="Y26" s="59">
        <v>3.1879432624113471</v>
      </c>
      <c r="Z26" s="59">
        <v>3.7932489451476794</v>
      </c>
      <c r="AA26" s="29"/>
      <c r="AB26" s="29"/>
      <c r="AC26" s="29"/>
      <c r="AE26" t="str">
        <f t="shared" si="6"/>
        <v>AWOL return share (0.61 yr swing)</v>
      </c>
      <c r="AF26" s="87">
        <f t="shared" si="7"/>
        <v>-0.33754693366708421</v>
      </c>
      <c r="AG26" s="87">
        <f t="shared" si="8"/>
        <v>0.26775874906924813</v>
      </c>
    </row>
    <row r="27" spans="1:33" x14ac:dyDescent="0.35">
      <c r="A27" s="29" t="s">
        <v>278</v>
      </c>
      <c r="B27" s="29">
        <v>11</v>
      </c>
      <c r="C27" s="29">
        <v>3</v>
      </c>
      <c r="D27" s="37" cm="1">
        <f t="array" ref="D27">IF($B27=D$2,INDEX(Inputs!$B$1:$D$80,D$3,$C27),INDEX(Inputs!$B$1:$D$80,D$3,2))</f>
        <v>800000</v>
      </c>
      <c r="E27" s="37" cm="1">
        <f t="array" ref="E27">IF($B27=E$2,INDEX(Inputs!$B$1:$D$80,E$3,$C27),INDEX(Inputs!$B$1:$D$80,E$3,2))</f>
        <v>4500000</v>
      </c>
      <c r="F27" s="37" cm="1">
        <f t="array" ref="F27">IF($B27=F$2,INDEX(Inputs!$B$1:$D$80,F$3,$C27),INDEX(Inputs!$B$1:$D$80,F$3,2))</f>
        <v>1200000</v>
      </c>
      <c r="G27" s="58" cm="1">
        <f t="array" ref="G27">IF($B27=G$2,INDEX(Inputs!$B$1:$D$80,G$3,$C27),INDEX(Inputs!$B$1:$D$80,G$3,2))</f>
        <v>0.4</v>
      </c>
      <c r="H27" s="58" cm="1">
        <f t="array" ref="H27">IF($B27=H$2,INDEX(Inputs!$B$1:$D$80,H$3,$C27),INDEX(Inputs!$B$1:$D$80,H$3,2))</f>
        <v>0.3</v>
      </c>
      <c r="I27" s="37" cm="1">
        <f t="array" ref="I27">IF($B27=I$2,INDEX(Inputs!$B$1:$D$80,I$3,$C27),INDEX(Inputs!$B$1:$D$80,I$3,2))</f>
        <v>1200</v>
      </c>
      <c r="J27" s="37" cm="1">
        <f t="array" ref="J27">IF($B27=J$2,INDEX(Inputs!$B$1:$D$80,J$3,$C27),INDEX(Inputs!$B$1:$D$80,J$3,2))</f>
        <v>125</v>
      </c>
      <c r="K27" s="58" cm="1">
        <f t="array" ref="K27">IF($B27=K$2,INDEX(Inputs!$B$1:$D$80,K$3,$C27),INDEX(Inputs!$B$1:$D$80,K$3,2))</f>
        <v>2.2999999999999998</v>
      </c>
      <c r="L27" s="37" cm="1">
        <f t="array" ref="L27">IF($B27=L$2,INDEX(Inputs!$B$1:$D$80,L$3,$C27),INDEX(Inputs!$B$1:$D$80,L$3,2))</f>
        <v>12500</v>
      </c>
      <c r="M27" s="37" cm="1">
        <f t="array" ref="M27">IF($B27=M$2,INDEX(Inputs!$B$1:$D$80,M$3,$C27),INDEX(Inputs!$B$1:$D$80,M$3,2))</f>
        <v>15000</v>
      </c>
      <c r="N27" s="58" cm="1">
        <f t="array" ref="N27">IF($B27=N$2,INDEX(Inputs!$B$1:$D$80,N$3,$C27),INDEX(Inputs!$B$1:$D$80,N$3,2))</f>
        <v>0.65</v>
      </c>
      <c r="O27" s="37" cm="1">
        <f t="array" ref="O27">IF($B27=O$2,INDEX(Inputs!$B$1:$D$80,O$3,$C27),INDEX(Inputs!$B$1:$D$80,O$3,2))</f>
        <v>2000</v>
      </c>
      <c r="P27" s="37" cm="1">
        <f t="array" ref="P27">IF($B27=P$2,INDEX(Inputs!$B$1:$D$80,P$3,$C27),INDEX(Inputs!$B$1:$D$80,P$3,2))</f>
        <v>30000</v>
      </c>
      <c r="Q27" s="37">
        <f t="shared" si="1"/>
        <v>594000</v>
      </c>
      <c r="R27" s="37">
        <f t="shared" si="2"/>
        <v>1394000</v>
      </c>
      <c r="S27" s="37">
        <f t="shared" si="3"/>
        <v>495000</v>
      </c>
      <c r="T27" s="37">
        <f t="shared" si="4"/>
        <v>19750</v>
      </c>
      <c r="U27" s="59">
        <f t="shared" si="5"/>
        <v>3.7932489451476794</v>
      </c>
      <c r="V27" s="29" t="str" cm="1">
        <f t="array" ref="V27">IF(B27=0,"—",INDEX($D$4:$P$4,B27))</f>
        <v>AWOL return share</v>
      </c>
      <c r="W27" s="29"/>
      <c r="X27" s="29" t="str">
        <v>Line troops per km</v>
      </c>
      <c r="Y27" s="59">
        <v>3.2925490196078435</v>
      </c>
      <c r="Z27" s="59">
        <v>3.7584313725490195</v>
      </c>
      <c r="AA27" s="29"/>
      <c r="AB27" s="29"/>
      <c r="AC27" s="29"/>
      <c r="AE27" t="str">
        <f t="shared" si="6"/>
        <v>Line troops per km (0.47 yr swing)</v>
      </c>
      <c r="AF27" s="87">
        <f t="shared" si="7"/>
        <v>-0.23294117647058776</v>
      </c>
      <c r="AG27" s="87">
        <f t="shared" si="8"/>
        <v>0.23294117647058821</v>
      </c>
    </row>
    <row r="28" spans="1:33" x14ac:dyDescent="0.35">
      <c r="A28" s="29" t="s">
        <v>279</v>
      </c>
      <c r="B28" s="29">
        <v>12</v>
      </c>
      <c r="C28" s="29">
        <v>1</v>
      </c>
      <c r="D28" s="37" cm="1">
        <f t="array" ref="D28">IF($B28=D$2,INDEX(Inputs!$B$1:$D$80,D$3,$C28),INDEX(Inputs!$B$1:$D$80,D$3,2))</f>
        <v>800000</v>
      </c>
      <c r="E28" s="37" cm="1">
        <f t="array" ref="E28">IF($B28=E$2,INDEX(Inputs!$B$1:$D$80,E$3,$C28),INDEX(Inputs!$B$1:$D$80,E$3,2))</f>
        <v>4500000</v>
      </c>
      <c r="F28" s="37" cm="1">
        <f t="array" ref="F28">IF($B28=F$2,INDEX(Inputs!$B$1:$D$80,F$3,$C28),INDEX(Inputs!$B$1:$D$80,F$3,2))</f>
        <v>1200000</v>
      </c>
      <c r="G28" s="58" cm="1">
        <f t="array" ref="G28">IF($B28=G$2,INDEX(Inputs!$B$1:$D$80,G$3,$C28),INDEX(Inputs!$B$1:$D$80,G$3,2))</f>
        <v>0.4</v>
      </c>
      <c r="H28" s="58" cm="1">
        <f t="array" ref="H28">IF($B28=H$2,INDEX(Inputs!$B$1:$D$80,H$3,$C28),INDEX(Inputs!$B$1:$D$80,H$3,2))</f>
        <v>0.3</v>
      </c>
      <c r="I28" s="37" cm="1">
        <f t="array" ref="I28">IF($B28=I$2,INDEX(Inputs!$B$1:$D$80,I$3,$C28),INDEX(Inputs!$B$1:$D$80,I$3,2))</f>
        <v>1200</v>
      </c>
      <c r="J28" s="37" cm="1">
        <f t="array" ref="J28">IF($B28=J$2,INDEX(Inputs!$B$1:$D$80,J$3,$C28),INDEX(Inputs!$B$1:$D$80,J$3,2))</f>
        <v>125</v>
      </c>
      <c r="K28" s="58" cm="1">
        <f t="array" ref="K28">IF($B28=K$2,INDEX(Inputs!$B$1:$D$80,K$3,$C28),INDEX(Inputs!$B$1:$D$80,K$3,2))</f>
        <v>2.2999999999999998</v>
      </c>
      <c r="L28" s="37" cm="1">
        <f t="array" ref="L28">IF($B28=L$2,INDEX(Inputs!$B$1:$D$80,L$3,$C28),INDEX(Inputs!$B$1:$D$80,L$3,2))</f>
        <v>12500</v>
      </c>
      <c r="M28" s="37" cm="1">
        <f t="array" ref="M28">IF($B28=M$2,INDEX(Inputs!$B$1:$D$80,M$3,$C28),INDEX(Inputs!$B$1:$D$80,M$3,2))</f>
        <v>15000</v>
      </c>
      <c r="N28" s="58" cm="1">
        <f t="array" ref="N28">IF($B28=N$2,INDEX(Inputs!$B$1:$D$80,N$3,$C28),INDEX(Inputs!$B$1:$D$80,N$3,2))</f>
        <v>0.55000000000000004</v>
      </c>
      <c r="O28" s="37" cm="1">
        <f t="array" ref="O28">IF($B28=O$2,INDEX(Inputs!$B$1:$D$80,O$3,$C28),INDEX(Inputs!$B$1:$D$80,O$3,2))</f>
        <v>2500</v>
      </c>
      <c r="P28" s="37" cm="1">
        <f t="array" ref="P28">IF($B28=P$2,INDEX(Inputs!$B$1:$D$80,P$3,$C28),INDEX(Inputs!$B$1:$D$80,P$3,2))</f>
        <v>30000</v>
      </c>
      <c r="Q28" s="37">
        <f t="shared" si="1"/>
        <v>594000</v>
      </c>
      <c r="R28" s="37">
        <f t="shared" si="2"/>
        <v>1394000</v>
      </c>
      <c r="S28" s="37">
        <f t="shared" si="3"/>
        <v>495000</v>
      </c>
      <c r="T28" s="37">
        <f t="shared" si="4"/>
        <v>21750</v>
      </c>
      <c r="U28" s="59">
        <f t="shared" si="5"/>
        <v>3.4444444444444442</v>
      </c>
      <c r="V28" s="29" t="str" cm="1">
        <f t="array" ref="V28">IF(B28=0,"—",INDEX($D$4:$P$4,B28))</f>
        <v>Discharges/mo</v>
      </c>
      <c r="W28" s="29"/>
      <c r="X28" s="29" t="str">
        <v>AWOL cases/mo</v>
      </c>
      <c r="Y28" s="59">
        <v>3.3148967551622417</v>
      </c>
      <c r="Z28" s="59">
        <v>3.7646566164154103</v>
      </c>
      <c r="AA28" s="29"/>
      <c r="AB28" s="29"/>
      <c r="AC28" s="29"/>
      <c r="AE28" t="str">
        <f t="shared" si="6"/>
        <v>AWOL cases/mo (0.45 yr swing)</v>
      </c>
      <c r="AF28" s="87">
        <f t="shared" si="7"/>
        <v>-0.21059344091618959</v>
      </c>
      <c r="AG28" s="87">
        <f t="shared" si="8"/>
        <v>0.23916642033697899</v>
      </c>
    </row>
    <row r="29" spans="1:33" x14ac:dyDescent="0.35">
      <c r="A29" s="29" t="s">
        <v>280</v>
      </c>
      <c r="B29" s="29">
        <v>12</v>
      </c>
      <c r="C29" s="29">
        <v>3</v>
      </c>
      <c r="D29" s="37" cm="1">
        <f t="array" ref="D29">IF($B29=D$2,INDEX(Inputs!$B$1:$D$80,D$3,$C29),INDEX(Inputs!$B$1:$D$80,D$3,2))</f>
        <v>800000</v>
      </c>
      <c r="E29" s="37" cm="1">
        <f t="array" ref="E29">IF($B29=E$2,INDEX(Inputs!$B$1:$D$80,E$3,$C29),INDEX(Inputs!$B$1:$D$80,E$3,2))</f>
        <v>4500000</v>
      </c>
      <c r="F29" s="37" cm="1">
        <f t="array" ref="F29">IF($B29=F$2,INDEX(Inputs!$B$1:$D$80,F$3,$C29),INDEX(Inputs!$B$1:$D$80,F$3,2))</f>
        <v>1200000</v>
      </c>
      <c r="G29" s="58" cm="1">
        <f t="array" ref="G29">IF($B29=G$2,INDEX(Inputs!$B$1:$D$80,G$3,$C29),INDEX(Inputs!$B$1:$D$80,G$3,2))</f>
        <v>0.4</v>
      </c>
      <c r="H29" s="58" cm="1">
        <f t="array" ref="H29">IF($B29=H$2,INDEX(Inputs!$B$1:$D$80,H$3,$C29),INDEX(Inputs!$B$1:$D$80,H$3,2))</f>
        <v>0.3</v>
      </c>
      <c r="I29" s="37" cm="1">
        <f t="array" ref="I29">IF($B29=I$2,INDEX(Inputs!$B$1:$D$80,I$3,$C29),INDEX(Inputs!$B$1:$D$80,I$3,2))</f>
        <v>1200</v>
      </c>
      <c r="J29" s="37" cm="1">
        <f t="array" ref="J29">IF($B29=J$2,INDEX(Inputs!$B$1:$D$80,J$3,$C29),INDEX(Inputs!$B$1:$D$80,J$3,2))</f>
        <v>125</v>
      </c>
      <c r="K29" s="58" cm="1">
        <f t="array" ref="K29">IF($B29=K$2,INDEX(Inputs!$B$1:$D$80,K$3,$C29),INDEX(Inputs!$B$1:$D$80,K$3,2))</f>
        <v>2.2999999999999998</v>
      </c>
      <c r="L29" s="37" cm="1">
        <f t="array" ref="L29">IF($B29=L$2,INDEX(Inputs!$B$1:$D$80,L$3,$C29),INDEX(Inputs!$B$1:$D$80,L$3,2))</f>
        <v>12500</v>
      </c>
      <c r="M29" s="37" cm="1">
        <f t="array" ref="M29">IF($B29=M$2,INDEX(Inputs!$B$1:$D$80,M$3,$C29),INDEX(Inputs!$B$1:$D$80,M$3,2))</f>
        <v>15000</v>
      </c>
      <c r="N29" s="58" cm="1">
        <f t="array" ref="N29">IF($B29=N$2,INDEX(Inputs!$B$1:$D$80,N$3,$C29),INDEX(Inputs!$B$1:$D$80,N$3,2))</f>
        <v>0.55000000000000004</v>
      </c>
      <c r="O29" s="37" cm="1">
        <f t="array" ref="O29">IF($B29=O$2,INDEX(Inputs!$B$1:$D$80,O$3,$C29),INDEX(Inputs!$B$1:$D$80,O$3,2))</f>
        <v>1500</v>
      </c>
      <c r="P29" s="37" cm="1">
        <f t="array" ref="P29">IF($B29=P$2,INDEX(Inputs!$B$1:$D$80,P$3,$C29),INDEX(Inputs!$B$1:$D$80,P$3,2))</f>
        <v>30000</v>
      </c>
      <c r="Q29" s="37">
        <f t="shared" si="1"/>
        <v>594000</v>
      </c>
      <c r="R29" s="37">
        <f t="shared" si="2"/>
        <v>1394000</v>
      </c>
      <c r="S29" s="37">
        <f t="shared" si="3"/>
        <v>495000</v>
      </c>
      <c r="T29" s="37">
        <f t="shared" si="4"/>
        <v>20750</v>
      </c>
      <c r="U29" s="59">
        <f t="shared" si="5"/>
        <v>3.6104417670682731</v>
      </c>
      <c r="V29" s="29" t="str" cm="1">
        <f t="array" ref="V29">IF(B29=0,"—",INDEX($D$4:$P$4,B29))</f>
        <v>Discharges/mo</v>
      </c>
      <c r="W29" s="29"/>
      <c r="X29" s="29" t="str">
        <v>Unfit/exempt share</v>
      </c>
      <c r="Y29" s="59">
        <v>3.331372549019608</v>
      </c>
      <c r="Z29" s="59">
        <v>3.7196078431372546</v>
      </c>
      <c r="AA29" s="29"/>
      <c r="AB29" s="29"/>
      <c r="AC29" s="29"/>
      <c r="AE29" t="str">
        <f t="shared" si="6"/>
        <v>Unfit/exempt share (0.39 yr swing)</v>
      </c>
      <c r="AF29" s="87">
        <f t="shared" si="7"/>
        <v>-0.19411764705882328</v>
      </c>
      <c r="AG29" s="87">
        <f t="shared" si="8"/>
        <v>0.19411764705882328</v>
      </c>
    </row>
    <row r="30" spans="1:33" x14ac:dyDescent="0.35">
      <c r="A30" s="29" t="s">
        <v>281</v>
      </c>
      <c r="B30" s="29">
        <v>13</v>
      </c>
      <c r="C30" s="29">
        <v>1</v>
      </c>
      <c r="D30" s="37" cm="1">
        <f t="array" ref="D30">IF($B30=D$2,INDEX(Inputs!$B$1:$D$80,D$3,$C30),INDEX(Inputs!$B$1:$D$80,D$3,2))</f>
        <v>800000</v>
      </c>
      <c r="E30" s="37" cm="1">
        <f t="array" ref="E30">IF($B30=E$2,INDEX(Inputs!$B$1:$D$80,E$3,$C30),INDEX(Inputs!$B$1:$D$80,E$3,2))</f>
        <v>4500000</v>
      </c>
      <c r="F30" s="37" cm="1">
        <f t="array" ref="F30">IF($B30=F$2,INDEX(Inputs!$B$1:$D$80,F$3,$C30),INDEX(Inputs!$B$1:$D$80,F$3,2))</f>
        <v>1200000</v>
      </c>
      <c r="G30" s="58" cm="1">
        <f t="array" ref="G30">IF($B30=G$2,INDEX(Inputs!$B$1:$D$80,G$3,$C30),INDEX(Inputs!$B$1:$D$80,G$3,2))</f>
        <v>0.4</v>
      </c>
      <c r="H30" s="58" cm="1">
        <f t="array" ref="H30">IF($B30=H$2,INDEX(Inputs!$B$1:$D$80,H$3,$C30),INDEX(Inputs!$B$1:$D$80,H$3,2))</f>
        <v>0.3</v>
      </c>
      <c r="I30" s="37" cm="1">
        <f t="array" ref="I30">IF($B30=I$2,INDEX(Inputs!$B$1:$D$80,I$3,$C30),INDEX(Inputs!$B$1:$D$80,I$3,2))</f>
        <v>1200</v>
      </c>
      <c r="J30" s="37" cm="1">
        <f t="array" ref="J30">IF($B30=J$2,INDEX(Inputs!$B$1:$D$80,J$3,$C30),INDEX(Inputs!$B$1:$D$80,J$3,2))</f>
        <v>125</v>
      </c>
      <c r="K30" s="58" cm="1">
        <f t="array" ref="K30">IF($B30=K$2,INDEX(Inputs!$B$1:$D$80,K$3,$C30),INDEX(Inputs!$B$1:$D$80,K$3,2))</f>
        <v>2.2999999999999998</v>
      </c>
      <c r="L30" s="37" cm="1">
        <f t="array" ref="L30">IF($B30=L$2,INDEX(Inputs!$B$1:$D$80,L$3,$C30),INDEX(Inputs!$B$1:$D$80,L$3,2))</f>
        <v>12500</v>
      </c>
      <c r="M30" s="37" cm="1">
        <f t="array" ref="M30">IF($B30=M$2,INDEX(Inputs!$B$1:$D$80,M$3,$C30),INDEX(Inputs!$B$1:$D$80,M$3,2))</f>
        <v>15000</v>
      </c>
      <c r="N30" s="58" cm="1">
        <f t="array" ref="N30">IF($B30=N$2,INDEX(Inputs!$B$1:$D$80,N$3,$C30),INDEX(Inputs!$B$1:$D$80,N$3,2))</f>
        <v>0.55000000000000004</v>
      </c>
      <c r="O30" s="37" cm="1">
        <f t="array" ref="O30">IF($B30=O$2,INDEX(Inputs!$B$1:$D$80,O$3,$C30),INDEX(Inputs!$B$1:$D$80,O$3,2))</f>
        <v>2000</v>
      </c>
      <c r="P30" s="37" cm="1">
        <f t="array" ref="P30">IF($B30=P$2,INDEX(Inputs!$B$1:$D$80,P$3,$C30),INDEX(Inputs!$B$1:$D$80,P$3,2))</f>
        <v>22000</v>
      </c>
      <c r="Q30" s="37">
        <f t="shared" si="1"/>
        <v>594000</v>
      </c>
      <c r="R30" s="37">
        <f t="shared" si="2"/>
        <v>1394000</v>
      </c>
      <c r="S30" s="37">
        <f t="shared" si="3"/>
        <v>495000</v>
      </c>
      <c r="T30" s="37">
        <f t="shared" si="4"/>
        <v>21250</v>
      </c>
      <c r="U30" s="59">
        <f t="shared" si="5"/>
        <v>3.5254901960784313</v>
      </c>
      <c r="V30" s="29" t="str" cm="1">
        <f t="array" ref="V30">IF(B30=0,"—",INDEX($D$4:$P$4,B30))</f>
        <v>Mobilization capacity/mo</v>
      </c>
      <c r="W30" s="29"/>
      <c r="X30" s="29" t="str">
        <v>Reserved workers</v>
      </c>
      <c r="Y30" s="59">
        <v>3.4549019607843139</v>
      </c>
      <c r="Z30" s="59">
        <v>3.6666666666666665</v>
      </c>
      <c r="AA30" s="29"/>
      <c r="AB30" s="29"/>
      <c r="AC30" s="29"/>
      <c r="AE30" t="str">
        <f t="shared" si="6"/>
        <v>Reserved workers (0.21 yr swing)</v>
      </c>
      <c r="AF30" s="87">
        <f t="shared" si="7"/>
        <v>-7.0588235294117396E-2</v>
      </c>
      <c r="AG30" s="87">
        <f t="shared" si="8"/>
        <v>0.14117647058823524</v>
      </c>
    </row>
    <row r="31" spans="1:33" x14ac:dyDescent="0.35">
      <c r="A31" s="29" t="s">
        <v>282</v>
      </c>
      <c r="B31" s="29">
        <v>13</v>
      </c>
      <c r="C31" s="29">
        <v>3</v>
      </c>
      <c r="D31" s="37" cm="1">
        <f t="array" ref="D31">IF($B31=D$2,INDEX(Inputs!$B$1:$D$80,D$3,$C31),INDEX(Inputs!$B$1:$D$80,D$3,2))</f>
        <v>800000</v>
      </c>
      <c r="E31" s="37" cm="1">
        <f t="array" ref="E31">IF($B31=E$2,INDEX(Inputs!$B$1:$D$80,E$3,$C31),INDEX(Inputs!$B$1:$D$80,E$3,2))</f>
        <v>4500000</v>
      </c>
      <c r="F31" s="37" cm="1">
        <f t="array" ref="F31">IF($B31=F$2,INDEX(Inputs!$B$1:$D$80,F$3,$C31),INDEX(Inputs!$B$1:$D$80,F$3,2))</f>
        <v>1200000</v>
      </c>
      <c r="G31" s="58" cm="1">
        <f t="array" ref="G31">IF($B31=G$2,INDEX(Inputs!$B$1:$D$80,G$3,$C31),INDEX(Inputs!$B$1:$D$80,G$3,2))</f>
        <v>0.4</v>
      </c>
      <c r="H31" s="58" cm="1">
        <f t="array" ref="H31">IF($B31=H$2,INDEX(Inputs!$B$1:$D$80,H$3,$C31),INDEX(Inputs!$B$1:$D$80,H$3,2))</f>
        <v>0.3</v>
      </c>
      <c r="I31" s="37" cm="1">
        <f t="array" ref="I31">IF($B31=I$2,INDEX(Inputs!$B$1:$D$80,I$3,$C31),INDEX(Inputs!$B$1:$D$80,I$3,2))</f>
        <v>1200</v>
      </c>
      <c r="J31" s="37" cm="1">
        <f t="array" ref="J31">IF($B31=J$2,INDEX(Inputs!$B$1:$D$80,J$3,$C31),INDEX(Inputs!$B$1:$D$80,J$3,2))</f>
        <v>125</v>
      </c>
      <c r="K31" s="58" cm="1">
        <f t="array" ref="K31">IF($B31=K$2,INDEX(Inputs!$B$1:$D$80,K$3,$C31),INDEX(Inputs!$B$1:$D$80,K$3,2))</f>
        <v>2.2999999999999998</v>
      </c>
      <c r="L31" s="37" cm="1">
        <f t="array" ref="L31">IF($B31=L$2,INDEX(Inputs!$B$1:$D$80,L$3,$C31),INDEX(Inputs!$B$1:$D$80,L$3,2))</f>
        <v>12500</v>
      </c>
      <c r="M31" s="37" cm="1">
        <f t="array" ref="M31">IF($B31=M$2,INDEX(Inputs!$B$1:$D$80,M$3,$C31),INDEX(Inputs!$B$1:$D$80,M$3,2))</f>
        <v>15000</v>
      </c>
      <c r="N31" s="58" cm="1">
        <f t="array" ref="N31">IF($B31=N$2,INDEX(Inputs!$B$1:$D$80,N$3,$C31),INDEX(Inputs!$B$1:$D$80,N$3,2))</f>
        <v>0.55000000000000004</v>
      </c>
      <c r="O31" s="37" cm="1">
        <f t="array" ref="O31">IF($B31=O$2,INDEX(Inputs!$B$1:$D$80,O$3,$C31),INDEX(Inputs!$B$1:$D$80,O$3,2))</f>
        <v>2000</v>
      </c>
      <c r="P31" s="37" cm="1">
        <f t="array" ref="P31">IF($B31=P$2,INDEX(Inputs!$B$1:$D$80,P$3,$C31),INDEX(Inputs!$B$1:$D$80,P$3,2))</f>
        <v>34000</v>
      </c>
      <c r="Q31" s="37">
        <f t="shared" si="1"/>
        <v>594000</v>
      </c>
      <c r="R31" s="37">
        <f t="shared" si="2"/>
        <v>1394000</v>
      </c>
      <c r="S31" s="37">
        <f t="shared" si="3"/>
        <v>495000</v>
      </c>
      <c r="T31" s="37">
        <f t="shared" si="4"/>
        <v>21250</v>
      </c>
      <c r="U31" s="59">
        <f t="shared" si="5"/>
        <v>3.5254901960784313</v>
      </c>
      <c r="V31" s="29" t="str" cm="1">
        <f t="array" ref="V31">IF(B31=0,"—",INDEX($D$4:$P$4,B31))</f>
        <v>Mobilization capacity/mo</v>
      </c>
      <c r="W31" s="29"/>
      <c r="X31" s="29" t="str">
        <v>Discharges/mo</v>
      </c>
      <c r="Y31" s="59">
        <v>3.4444444444444442</v>
      </c>
      <c r="Z31" s="59">
        <v>3.6104417670682731</v>
      </c>
      <c r="AA31" s="29"/>
      <c r="AB31" s="29"/>
      <c r="AC31" s="29"/>
      <c r="AE31" t="str">
        <f t="shared" si="6"/>
        <v>Discharges/mo (0.17 yr swing)</v>
      </c>
      <c r="AF31" s="87">
        <f t="shared" si="7"/>
        <v>-8.1045751633987084E-2</v>
      </c>
      <c r="AG31" s="87">
        <f t="shared" si="8"/>
        <v>8.4951570989841851E-2</v>
      </c>
    </row>
    <row r="32" spans="1:33" x14ac:dyDescent="0.3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 t="str">
        <v>Front length (km)</v>
      </c>
      <c r="Y32" s="59">
        <v>3.4446078431372551</v>
      </c>
      <c r="Z32" s="59">
        <v>3.6063725490196084</v>
      </c>
      <c r="AA32" s="29"/>
      <c r="AB32" s="29"/>
      <c r="AC32" s="29"/>
      <c r="AE32" t="str">
        <f t="shared" si="6"/>
        <v>Front length (km) (0.16 yr swing)</v>
      </c>
      <c r="AF32" s="87">
        <f t="shared" si="7"/>
        <v>-8.0882352941176183E-2</v>
      </c>
      <c r="AG32" s="87">
        <f t="shared" si="8"/>
        <v>8.0882352941177071E-2</v>
      </c>
    </row>
    <row r="33" spans="1:33" x14ac:dyDescent="0.35">
      <c r="A33" s="29" t="s">
        <v>292</v>
      </c>
      <c r="B33" s="29"/>
      <c r="C33" s="29"/>
      <c r="D33" s="29" t="s">
        <v>294</v>
      </c>
      <c r="E33" s="29" t="s">
        <v>295</v>
      </c>
      <c r="F33" s="29" t="s">
        <v>296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 t="str">
        <v>Support ratio</v>
      </c>
      <c r="Y33" s="59">
        <v>3.4666666666666668</v>
      </c>
      <c r="Z33" s="59">
        <v>3.5843137254901962</v>
      </c>
      <c r="AA33" s="29"/>
      <c r="AB33" s="29"/>
      <c r="AC33" s="29"/>
      <c r="AE33" t="str">
        <f t="shared" si="6"/>
        <v>Support ratio (0.12 yr swing)</v>
      </c>
      <c r="AF33" s="87">
        <f t="shared" si="7"/>
        <v>-5.8823529411764497E-2</v>
      </c>
      <c r="AG33" s="87">
        <f t="shared" si="8"/>
        <v>5.8823529411764941E-2</v>
      </c>
    </row>
    <row r="34" spans="1:33" x14ac:dyDescent="0.35">
      <c r="A34" s="29" t="s">
        <v>293</v>
      </c>
      <c r="B34" s="29"/>
      <c r="C34" s="29"/>
      <c r="D34" s="59">
        <f>U5</f>
        <v>3.5254901960784313</v>
      </c>
      <c r="E34" s="59">
        <f>Dashboard!B6</f>
        <v>3.5950011682224736</v>
      </c>
      <c r="F34" s="60">
        <f>E34-D34</f>
        <v>6.9510972144042338E-2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 t="str">
        <v>Mobilization capacity/mo</v>
      </c>
      <c r="Y34" s="59">
        <v>3.5254901960784313</v>
      </c>
      <c r="Z34" s="59">
        <v>3.5254901960784313</v>
      </c>
      <c r="AA34" s="29"/>
      <c r="AB34" s="29"/>
      <c r="AC34" s="29"/>
      <c r="AE34" t="str">
        <f t="shared" si="6"/>
        <v>Mobilization capacity/mo (0.00 yr swing)</v>
      </c>
      <c r="AF34" s="87">
        <f t="shared" si="7"/>
        <v>0</v>
      </c>
      <c r="AG34" s="87">
        <f t="shared" si="8"/>
        <v>0</v>
      </c>
    </row>
    <row r="35" spans="1:33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spans="1:33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 t="s">
        <v>291</v>
      </c>
      <c r="Y36" s="59">
        <f>U5</f>
        <v>3.5254901960784313</v>
      </c>
      <c r="Z36" s="29"/>
      <c r="AA36" s="29"/>
      <c r="AB36" s="29"/>
      <c r="AC36" s="29"/>
    </row>
    <row r="37" spans="1:33" x14ac:dyDescent="0.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E37" s="86" t="s">
        <v>432</v>
      </c>
      <c r="AF37" s="86" t="s">
        <v>433</v>
      </c>
      <c r="AG37" s="86" t="s">
        <v>434</v>
      </c>
    </row>
    <row r="38" spans="1:33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E38" t="s">
        <v>435</v>
      </c>
      <c r="AF38" s="88">
        <f>Dashboard!$B$49</f>
        <v>0.36518871303391354</v>
      </c>
      <c r="AG38" s="89">
        <v>0.03</v>
      </c>
    </row>
    <row r="39" spans="1:33" x14ac:dyDescent="0.35">
      <c r="AE39" t="s">
        <v>436</v>
      </c>
      <c r="AF39" s="88">
        <f>Dashboard!$B$49</f>
        <v>0.36518871303391354</v>
      </c>
      <c r="AG39" s="89">
        <v>1</v>
      </c>
    </row>
    <row r="40" spans="1:33" x14ac:dyDescent="0.35">
      <c r="AE40" t="s">
        <v>437</v>
      </c>
      <c r="AF40" t="str">
        <f>"Entire UGV effect ("&amp;TEXT(AF38,"0.00")&amp;" yrs)"</f>
        <v>Entire UGV effect (0.37 yrs)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8CDE-3B40-4F6B-877C-87CB2E025806}">
  <dimension ref="A1:E20"/>
  <sheetViews>
    <sheetView workbookViewId="0"/>
  </sheetViews>
  <sheetFormatPr defaultRowHeight="14.5" x14ac:dyDescent="0.35"/>
  <cols>
    <col min="1" max="1" width="4.54296875" customWidth="1"/>
    <col min="2" max="2" width="85.453125" customWidth="1"/>
    <col min="3" max="5" width="16.36328125" customWidth="1"/>
  </cols>
  <sheetData>
    <row r="1" spans="1:5" ht="16.5" x14ac:dyDescent="0.35">
      <c r="A1" s="55" t="s">
        <v>297</v>
      </c>
      <c r="B1" s="1"/>
      <c r="C1" s="1"/>
      <c r="D1" s="1"/>
      <c r="E1" s="1"/>
    </row>
    <row r="2" spans="1:5" x14ac:dyDescent="0.35">
      <c r="A2" s="1"/>
      <c r="B2" s="1"/>
      <c r="C2" s="1"/>
      <c r="D2" s="1"/>
      <c r="E2" s="1"/>
    </row>
    <row r="3" spans="1:5" x14ac:dyDescent="0.35">
      <c r="A3" s="5" t="s">
        <v>298</v>
      </c>
      <c r="B3" s="5" t="s">
        <v>299</v>
      </c>
      <c r="C3" s="5" t="s">
        <v>7</v>
      </c>
      <c r="D3" s="5" t="s">
        <v>300</v>
      </c>
      <c r="E3" s="5" t="s">
        <v>301</v>
      </c>
    </row>
    <row r="4" spans="1:5" x14ac:dyDescent="0.35">
      <c r="A4" s="1">
        <v>1</v>
      </c>
      <c r="B4" s="1" t="s">
        <v>302</v>
      </c>
      <c r="C4" s="45">
        <f>Engine!Z5</f>
        <v>800000</v>
      </c>
      <c r="D4" s="45">
        <f>Inputs!C6</f>
        <v>800000</v>
      </c>
      <c r="E4" s="1" t="str">
        <f>IF(ABS(C4-D4)&lt;1,"OK","CHECK")</f>
        <v>OK</v>
      </c>
    </row>
    <row r="5" spans="1:5" x14ac:dyDescent="0.35">
      <c r="A5" s="1">
        <v>2</v>
      </c>
      <c r="B5" s="1" t="s">
        <v>303</v>
      </c>
      <c r="C5" s="45">
        <f>Engine!Z41+Engine!AA41</f>
        <v>628001.37187452253</v>
      </c>
      <c r="D5" s="45">
        <f>Inputs!C13-SUM(Engine!W6:Y41)</f>
        <v>628001.37187452253</v>
      </c>
      <c r="E5" s="1" t="str">
        <f>IF(ABS(C5-D5)&lt;1,"OK","CHECK")</f>
        <v>OK</v>
      </c>
    </row>
    <row r="6" spans="1:5" x14ac:dyDescent="0.35">
      <c r="A6" s="1">
        <v>3</v>
      </c>
      <c r="B6" s="1" t="s">
        <v>304</v>
      </c>
      <c r="C6" s="45">
        <f>Inputs!C35</f>
        <v>29500</v>
      </c>
      <c r="D6" s="45">
        <v>30000</v>
      </c>
      <c r="E6" s="1" t="str">
        <f>IF(ABS(C6/D6-1)&lt;=0.15,"OK","CHECK")</f>
        <v>OK</v>
      </c>
    </row>
    <row r="7" spans="1:5" x14ac:dyDescent="0.35">
      <c r="A7" s="1">
        <v>4</v>
      </c>
      <c r="B7" s="1" t="s">
        <v>305</v>
      </c>
      <c r="C7" s="65">
        <f>Engine!G5</f>
        <v>1</v>
      </c>
      <c r="D7" s="65">
        <v>1</v>
      </c>
      <c r="E7" s="1" t="str">
        <f>IF(ABS(C7-D7)&lt;0.0001,"OK","CHECK")</f>
        <v>OK</v>
      </c>
    </row>
    <row r="8" spans="1:5" x14ac:dyDescent="0.35">
      <c r="A8" s="1">
        <v>5</v>
      </c>
      <c r="B8" s="1" t="s">
        <v>306</v>
      </c>
      <c r="C8" s="65">
        <f>Engine!E5*Inputs!E45</f>
        <v>24000</v>
      </c>
      <c r="D8" s="65">
        <f>Inputs!E43</f>
        <v>24000</v>
      </c>
      <c r="E8" s="1" t="str">
        <f>IF(ABS(C8-D8)&lt;1,"OK","CHECK")</f>
        <v>OK</v>
      </c>
    </row>
    <row r="9" spans="1:5" x14ac:dyDescent="0.35">
      <c r="A9" s="1">
        <v>6</v>
      </c>
      <c r="B9" s="1" t="s">
        <v>307</v>
      </c>
      <c r="C9" s="45">
        <f>Inputs!B22</f>
        <v>595000</v>
      </c>
      <c r="D9" s="45">
        <f>Inputs!B6</f>
        <v>680000</v>
      </c>
      <c r="E9" s="1" t="str">
        <f>IF(C9&lt;D9,"OK","CHECK")</f>
        <v>OK</v>
      </c>
    </row>
    <row r="10" spans="1:5" x14ac:dyDescent="0.35">
      <c r="A10" s="1">
        <v>7</v>
      </c>
      <c r="B10" s="1" t="s">
        <v>308</v>
      </c>
      <c r="C10" s="45">
        <f>Inputs!C22</f>
        <v>495000</v>
      </c>
      <c r="D10" s="45">
        <f>Inputs!C6</f>
        <v>800000</v>
      </c>
      <c r="E10" s="1" t="str">
        <f>IF(C10&lt;D10,"OK","CHECK")</f>
        <v>OK</v>
      </c>
    </row>
    <row r="11" spans="1:5" x14ac:dyDescent="0.35">
      <c r="A11" s="1">
        <v>8</v>
      </c>
      <c r="B11" s="1" t="s">
        <v>309</v>
      </c>
      <c r="C11" s="45">
        <f>Inputs!D22</f>
        <v>404800</v>
      </c>
      <c r="D11" s="45">
        <f>Inputs!D6</f>
        <v>880000</v>
      </c>
      <c r="E11" s="1" t="str">
        <f>IF(C11&lt;D11,"OK","CHECK")</f>
        <v>OK</v>
      </c>
    </row>
    <row r="12" spans="1:5" x14ac:dyDescent="0.35">
      <c r="A12" s="1">
        <v>9</v>
      </c>
      <c r="B12" s="1" t="s">
        <v>310</v>
      </c>
      <c r="C12" s="45">
        <f>Inputs!C12</f>
        <v>594000</v>
      </c>
      <c r="D12" s="45">
        <v>2000000</v>
      </c>
      <c r="E12" s="1" t="str">
        <f>IF(C12&lt;D12,"OK","CHECK")</f>
        <v>OK</v>
      </c>
    </row>
    <row r="13" spans="1:5" x14ac:dyDescent="0.35">
      <c r="A13" s="1">
        <v>10</v>
      </c>
      <c r="B13" s="1" t="s">
        <v>311</v>
      </c>
      <c r="C13" s="65" cm="1">
        <f t="array" ref="C13">SUMPRODUCT(--ISERROR(Engine!A5:DP245))</f>
        <v>0</v>
      </c>
      <c r="D13" s="65">
        <v>0</v>
      </c>
      <c r="E13" s="1" t="str">
        <f>IF(C13=D13,"OK","CHECK")</f>
        <v>OK</v>
      </c>
    </row>
    <row r="14" spans="1:5" x14ac:dyDescent="0.35">
      <c r="A14" s="1">
        <v>11</v>
      </c>
      <c r="B14" s="1" t="s">
        <v>312</v>
      </c>
      <c r="C14" s="65" cm="1">
        <f t="array" ref="C14">SUMPRODUCT(--ISERROR(Dashboard!B5:E27))</f>
        <v>0</v>
      </c>
      <c r="D14" s="65">
        <v>0</v>
      </c>
      <c r="E14" s="1" t="str">
        <f>IF(C14=D14,"OK","CHECK")</f>
        <v>OK</v>
      </c>
    </row>
    <row r="15" spans="1:5" x14ac:dyDescent="0.35">
      <c r="A15" s="1">
        <v>12</v>
      </c>
      <c r="B15" s="1" t="s">
        <v>313</v>
      </c>
      <c r="C15" s="65">
        <f>Dashboard!B42</f>
        <v>3.5</v>
      </c>
      <c r="D15" s="65">
        <v>3.5</v>
      </c>
      <c r="E15" s="1" t="str">
        <f>IF(ABS(C15-D15)&lt;0.01,"OK","CHECK")</f>
        <v>OK</v>
      </c>
    </row>
    <row r="16" spans="1:5" x14ac:dyDescent="0.35">
      <c r="A16" s="1">
        <v>13</v>
      </c>
      <c r="B16" s="1" t="s">
        <v>314</v>
      </c>
      <c r="C16" s="65">
        <f>Tornado!D34</f>
        <v>3.5254901960784313</v>
      </c>
      <c r="D16" s="65">
        <f>Tornado!E34</f>
        <v>3.5950011682224736</v>
      </c>
      <c r="E16" s="1" t="str">
        <f>IF(ABS(C16-D16)&lt;=0.25,"OK","CHECK")</f>
        <v>OK</v>
      </c>
    </row>
    <row r="17" spans="1:5" x14ac:dyDescent="0.35">
      <c r="A17" s="1"/>
      <c r="B17" s="1"/>
      <c r="C17" s="1"/>
      <c r="D17" s="1"/>
      <c r="E17" s="1"/>
    </row>
    <row r="18" spans="1:5" x14ac:dyDescent="0.35">
      <c r="A18" s="8" t="str">
        <f>IF(COUNTIF(E4:E16,"OK")=13,"ALL CHECKS OK",COUNTIF(E4:E16,"CHECK")&amp;" CHECK(S) FAILING")</f>
        <v>ALL CHECKS OK</v>
      </c>
      <c r="B18" s="1"/>
      <c r="C18" s="1"/>
      <c r="D18" s="1"/>
      <c r="E18" s="1"/>
    </row>
    <row r="19" spans="1:5" x14ac:dyDescent="0.35">
      <c r="A19" s="1"/>
      <c r="B19" s="1"/>
      <c r="C19" s="1"/>
      <c r="D19" s="1"/>
      <c r="E19" s="1"/>
    </row>
    <row r="20" spans="1:5" x14ac:dyDescent="0.35">
      <c r="A20" s="1"/>
      <c r="B20" s="1"/>
      <c r="C20" s="1"/>
      <c r="D20" s="1"/>
      <c r="E20" s="1"/>
    </row>
  </sheetData>
  <conditionalFormatting sqref="E4:E16">
    <cfRule type="containsText" dxfId="0" priority="1" operator="containsText" text="CHECK">
      <formula>NOT(ISERROR(SEARCH("CHECK",E4)))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EE7A-F75C-4D60-AF6B-C4B6678547CD}">
  <dimension ref="A1:D20"/>
  <sheetViews>
    <sheetView workbookViewId="0"/>
  </sheetViews>
  <sheetFormatPr defaultRowHeight="14.5" x14ac:dyDescent="0.35"/>
  <cols>
    <col min="1" max="1" width="4.54296875" customWidth="1"/>
    <col min="2" max="2" width="50.90625" customWidth="1"/>
    <col min="3" max="3" width="94.54296875" customWidth="1"/>
    <col min="4" max="4" width="41.81640625" customWidth="1"/>
  </cols>
  <sheetData>
    <row r="1" spans="1:4" ht="16.5" x14ac:dyDescent="0.35">
      <c r="A1" s="55" t="s">
        <v>347</v>
      </c>
      <c r="B1" s="1"/>
      <c r="C1" s="1"/>
      <c r="D1" s="1"/>
    </row>
    <row r="2" spans="1:4" x14ac:dyDescent="0.35">
      <c r="A2" s="1"/>
      <c r="B2" s="1"/>
      <c r="C2" s="1"/>
      <c r="D2" s="1"/>
    </row>
    <row r="3" spans="1:4" x14ac:dyDescent="0.35">
      <c r="A3" s="5" t="s">
        <v>298</v>
      </c>
      <c r="B3" s="5" t="s">
        <v>348</v>
      </c>
      <c r="C3" s="5" t="s">
        <v>349</v>
      </c>
      <c r="D3" s="5" t="s">
        <v>350</v>
      </c>
    </row>
    <row r="4" spans="1:4" ht="37.5" x14ac:dyDescent="0.35">
      <c r="A4" s="84">
        <v>1</v>
      </c>
      <c r="B4" s="84" t="s">
        <v>351</v>
      </c>
      <c r="C4" s="84" t="s">
        <v>352</v>
      </c>
      <c r="D4" s="84" t="s">
        <v>353</v>
      </c>
    </row>
    <row r="5" spans="1:4" ht="37.5" x14ac:dyDescent="0.35">
      <c r="A5" s="84">
        <v>2</v>
      </c>
      <c r="B5" s="84" t="s">
        <v>354</v>
      </c>
      <c r="C5" s="84" t="s">
        <v>355</v>
      </c>
      <c r="D5" s="84" t="s">
        <v>356</v>
      </c>
    </row>
    <row r="6" spans="1:4" ht="25" x14ac:dyDescent="0.35">
      <c r="A6" s="84">
        <v>3</v>
      </c>
      <c r="B6" s="84" t="s">
        <v>357</v>
      </c>
      <c r="C6" s="84" t="s">
        <v>358</v>
      </c>
      <c r="D6" s="84" t="s">
        <v>359</v>
      </c>
    </row>
    <row r="7" spans="1:4" ht="25" x14ac:dyDescent="0.35">
      <c r="A7" s="84">
        <v>4</v>
      </c>
      <c r="B7" s="84" t="s">
        <v>360</v>
      </c>
      <c r="C7" s="84" t="s">
        <v>361</v>
      </c>
      <c r="D7" s="84" t="s">
        <v>362</v>
      </c>
    </row>
    <row r="8" spans="1:4" ht="25" x14ac:dyDescent="0.35">
      <c r="A8" s="84">
        <v>5</v>
      </c>
      <c r="B8" s="84" t="s">
        <v>363</v>
      </c>
      <c r="C8" s="84" t="s">
        <v>364</v>
      </c>
      <c r="D8" s="84" t="s">
        <v>365</v>
      </c>
    </row>
    <row r="9" spans="1:4" ht="37.5" x14ac:dyDescent="0.35">
      <c r="A9" s="84">
        <v>6</v>
      </c>
      <c r="B9" s="84" t="s">
        <v>366</v>
      </c>
      <c r="C9" s="84" t="s">
        <v>367</v>
      </c>
      <c r="D9" s="84" t="s">
        <v>368</v>
      </c>
    </row>
    <row r="10" spans="1:4" ht="25" x14ac:dyDescent="0.35">
      <c r="A10" s="84">
        <v>7</v>
      </c>
      <c r="B10" s="84" t="s">
        <v>369</v>
      </c>
      <c r="C10" s="84" t="s">
        <v>370</v>
      </c>
      <c r="D10" s="84" t="s">
        <v>371</v>
      </c>
    </row>
    <row r="11" spans="1:4" ht="37.5" x14ac:dyDescent="0.35">
      <c r="A11" s="84">
        <v>8</v>
      </c>
      <c r="B11" s="84" t="s">
        <v>372</v>
      </c>
      <c r="C11" s="84" t="s">
        <v>373</v>
      </c>
      <c r="D11" s="84" t="s">
        <v>374</v>
      </c>
    </row>
    <row r="12" spans="1:4" ht="25" x14ac:dyDescent="0.35">
      <c r="A12" s="84">
        <v>9</v>
      </c>
      <c r="B12" s="84" t="s">
        <v>375</v>
      </c>
      <c r="C12" s="84" t="s">
        <v>376</v>
      </c>
      <c r="D12" s="84" t="s">
        <v>377</v>
      </c>
    </row>
    <row r="13" spans="1:4" ht="25" x14ac:dyDescent="0.35">
      <c r="A13" s="84">
        <v>10</v>
      </c>
      <c r="B13" s="84" t="s">
        <v>378</v>
      </c>
      <c r="C13" s="84" t="s">
        <v>379</v>
      </c>
      <c r="D13" s="84" t="s">
        <v>380</v>
      </c>
    </row>
    <row r="14" spans="1:4" ht="25" x14ac:dyDescent="0.35">
      <c r="A14" s="84">
        <v>11</v>
      </c>
      <c r="B14" s="84" t="s">
        <v>381</v>
      </c>
      <c r="C14" s="84" t="s">
        <v>382</v>
      </c>
      <c r="D14" s="84" t="s">
        <v>383</v>
      </c>
    </row>
    <row r="15" spans="1:4" ht="25" x14ac:dyDescent="0.35">
      <c r="A15" s="84">
        <v>12</v>
      </c>
      <c r="B15" s="84" t="s">
        <v>384</v>
      </c>
      <c r="C15" s="84" t="s">
        <v>385</v>
      </c>
      <c r="D15" s="84" t="s">
        <v>386</v>
      </c>
    </row>
    <row r="16" spans="1:4" ht="25" x14ac:dyDescent="0.35">
      <c r="A16" s="84">
        <v>13</v>
      </c>
      <c r="B16" s="84" t="s">
        <v>387</v>
      </c>
      <c r="C16" s="84" t="s">
        <v>388</v>
      </c>
      <c r="D16" s="84" t="s">
        <v>389</v>
      </c>
    </row>
    <row r="17" spans="1:4" ht="25" x14ac:dyDescent="0.35">
      <c r="A17" s="84">
        <v>14</v>
      </c>
      <c r="B17" s="84" t="s">
        <v>390</v>
      </c>
      <c r="C17" s="84" t="s">
        <v>391</v>
      </c>
      <c r="D17" s="84" t="s">
        <v>392</v>
      </c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Dashboard</vt:lpstr>
      <vt:lpstr>Article Table</vt:lpstr>
      <vt:lpstr>Inputs</vt:lpstr>
      <vt:lpstr>Engine</vt:lpstr>
      <vt:lpstr>Sensitivity</vt:lpstr>
      <vt:lpstr>Tornado</vt:lpstr>
      <vt:lpstr>Checks</vt:lpstr>
      <vt:lpstr>Pushback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Armaan Gandhara</cp:lastModifiedBy>
  <cp:revision>1</cp:revision>
  <dcterms:created xsi:type="dcterms:W3CDTF">2026-09-23T14:26:13Z</dcterms:created>
  <dcterms:modified xsi:type="dcterms:W3CDTF">2026-09-28T16:20:01Z</dcterms:modified>
  <dc:language>en-US</dc:language>
</cp:coreProperties>
</file>